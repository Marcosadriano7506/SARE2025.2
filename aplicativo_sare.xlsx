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_75\Desktop\"/>
    </mc:Choice>
  </mc:AlternateContent>
  <xr:revisionPtr revIDLastSave="0" documentId="13_ncr:1_{E8AEC426-FE2A-4022-B42A-7F4D78959FF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gestores" sheetId="1" r:id="rId1"/>
    <sheet name="2º ANO" sheetId="2" r:id="rId2"/>
    <sheet name="5º ANO" sheetId="3" r:id="rId3"/>
    <sheet name="6º ANO" sheetId="4" r:id="rId4"/>
  </sheets>
  <definedNames>
    <definedName name="_xlnm._FilterDatabase" localSheetId="1" hidden="1">'2º ANO'!$A$1:$AA$310</definedName>
    <definedName name="_xlnm._FilterDatabase" localSheetId="2" hidden="1">'5º ANO'!$A$1:$AU$399</definedName>
    <definedName name="_xlnm._FilterDatabase" localSheetId="3" hidden="1">'6º ANO'!$A$1:$AU$355</definedName>
  </definedNames>
  <calcPr calcId="181029"/>
</workbook>
</file>

<file path=xl/calcChain.xml><?xml version="1.0" encoding="utf-8"?>
<calcChain xmlns="http://schemas.openxmlformats.org/spreadsheetml/2006/main">
  <c r="AV355" i="4" l="1"/>
  <c r="AW355" i="4" s="1"/>
  <c r="AS355" i="4"/>
  <c r="AT355" i="4" s="1"/>
  <c r="AU355" i="4" s="1"/>
  <c r="X355" i="4"/>
  <c r="Y355" i="4" s="1"/>
  <c r="Z355" i="4" s="1"/>
  <c r="AV354" i="4"/>
  <c r="AW354" i="4" s="1"/>
  <c r="AS354" i="4"/>
  <c r="AT354" i="4" s="1"/>
  <c r="AU354" i="4" s="1"/>
  <c r="X354" i="4"/>
  <c r="Y354" i="4" s="1"/>
  <c r="Z354" i="4" s="1"/>
  <c r="AV353" i="4"/>
  <c r="AW353" i="4" s="1"/>
  <c r="AS353" i="4"/>
  <c r="AT353" i="4" s="1"/>
  <c r="AU353" i="4" s="1"/>
  <c r="X353" i="4"/>
  <c r="Y353" i="4" s="1"/>
  <c r="Z353" i="4" s="1"/>
  <c r="AV352" i="4"/>
  <c r="AW352" i="4" s="1"/>
  <c r="AS352" i="4"/>
  <c r="AT352" i="4" s="1"/>
  <c r="AU352" i="4" s="1"/>
  <c r="X352" i="4"/>
  <c r="Y352" i="4" s="1"/>
  <c r="Z352" i="4" s="1"/>
  <c r="AV351" i="4"/>
  <c r="AW351" i="4" s="1"/>
  <c r="AS351" i="4"/>
  <c r="AT351" i="4" s="1"/>
  <c r="AU351" i="4" s="1"/>
  <c r="X351" i="4"/>
  <c r="Y351" i="4" s="1"/>
  <c r="Z351" i="4" s="1"/>
  <c r="AV350" i="4"/>
  <c r="AW350" i="4" s="1"/>
  <c r="AS350" i="4"/>
  <c r="AT350" i="4" s="1"/>
  <c r="AU350" i="4" s="1"/>
  <c r="X350" i="4"/>
  <c r="Y350" i="4" s="1"/>
  <c r="Z350" i="4" s="1"/>
  <c r="AV349" i="4"/>
  <c r="AW349" i="4" s="1"/>
  <c r="AS349" i="4"/>
  <c r="AT349" i="4" s="1"/>
  <c r="AU349" i="4" s="1"/>
  <c r="X349" i="4"/>
  <c r="Y349" i="4" s="1"/>
  <c r="Z349" i="4" s="1"/>
  <c r="AV348" i="4"/>
  <c r="AW348" i="4" s="1"/>
  <c r="AS348" i="4"/>
  <c r="AT348" i="4" s="1"/>
  <c r="AU348" i="4" s="1"/>
  <c r="X348" i="4"/>
  <c r="Y348" i="4" s="1"/>
  <c r="Z348" i="4" s="1"/>
  <c r="AV347" i="4"/>
  <c r="AW347" i="4" s="1"/>
  <c r="AS347" i="4"/>
  <c r="AT347" i="4" s="1"/>
  <c r="AU347" i="4" s="1"/>
  <c r="X347" i="4"/>
  <c r="Y347" i="4" s="1"/>
  <c r="Z347" i="4" s="1"/>
  <c r="AV346" i="4"/>
  <c r="AW346" i="4" s="1"/>
  <c r="AS346" i="4"/>
  <c r="AT346" i="4" s="1"/>
  <c r="AU346" i="4" s="1"/>
  <c r="X346" i="4"/>
  <c r="Y346" i="4" s="1"/>
  <c r="Z346" i="4" s="1"/>
  <c r="AV345" i="4"/>
  <c r="AW345" i="4" s="1"/>
  <c r="AS345" i="4"/>
  <c r="AT345" i="4" s="1"/>
  <c r="AU345" i="4" s="1"/>
  <c r="X345" i="4"/>
  <c r="Y345" i="4" s="1"/>
  <c r="Z345" i="4" s="1"/>
  <c r="AW344" i="4"/>
  <c r="AV344" i="4"/>
  <c r="AT344" i="4"/>
  <c r="AU344" i="4" s="1"/>
  <c r="Y344" i="4"/>
  <c r="Z344" i="4" s="1"/>
  <c r="AV343" i="4"/>
  <c r="AW343" i="4" s="1"/>
  <c r="AS343" i="4"/>
  <c r="AT343" i="4" s="1"/>
  <c r="AU343" i="4" s="1"/>
  <c r="X343" i="4"/>
  <c r="Y343" i="4" s="1"/>
  <c r="Z343" i="4" s="1"/>
  <c r="AV342" i="4"/>
  <c r="AW342" i="4" s="1"/>
  <c r="AS342" i="4"/>
  <c r="AT342" i="4" s="1"/>
  <c r="AU342" i="4" s="1"/>
  <c r="X342" i="4"/>
  <c r="Y342" i="4" s="1"/>
  <c r="Z342" i="4" s="1"/>
  <c r="AV341" i="4"/>
  <c r="AW341" i="4" s="1"/>
  <c r="AS341" i="4"/>
  <c r="AT341" i="4" s="1"/>
  <c r="AU341" i="4" s="1"/>
  <c r="X341" i="4"/>
  <c r="Y341" i="4" s="1"/>
  <c r="Z341" i="4" s="1"/>
  <c r="AV340" i="4"/>
  <c r="AW340" i="4" s="1"/>
  <c r="AS340" i="4"/>
  <c r="AT340" i="4" s="1"/>
  <c r="AU340" i="4" s="1"/>
  <c r="X340" i="4"/>
  <c r="Y340" i="4" s="1"/>
  <c r="Z340" i="4" s="1"/>
  <c r="AV339" i="4"/>
  <c r="AW339" i="4" s="1"/>
  <c r="AS339" i="4"/>
  <c r="AT339" i="4" s="1"/>
  <c r="AU339" i="4" s="1"/>
  <c r="X339" i="4"/>
  <c r="Y339" i="4" s="1"/>
  <c r="Z339" i="4" s="1"/>
  <c r="AV338" i="4"/>
  <c r="AW338" i="4" s="1"/>
  <c r="AS338" i="4"/>
  <c r="AT338" i="4" s="1"/>
  <c r="AU338" i="4" s="1"/>
  <c r="X338" i="4"/>
  <c r="Y338" i="4" s="1"/>
  <c r="Z338" i="4" s="1"/>
  <c r="AV337" i="4"/>
  <c r="AW337" i="4" s="1"/>
  <c r="AS337" i="4"/>
  <c r="AT337" i="4" s="1"/>
  <c r="AU337" i="4" s="1"/>
  <c r="X337" i="4"/>
  <c r="Y337" i="4" s="1"/>
  <c r="Z337" i="4" s="1"/>
  <c r="AV336" i="4"/>
  <c r="AW336" i="4" s="1"/>
  <c r="AS336" i="4"/>
  <c r="AT336" i="4" s="1"/>
  <c r="AU336" i="4" s="1"/>
  <c r="X336" i="4"/>
  <c r="Y336" i="4" s="1"/>
  <c r="Z336" i="4" s="1"/>
  <c r="AV335" i="4"/>
  <c r="AW335" i="4" s="1"/>
  <c r="AS335" i="4"/>
  <c r="AT335" i="4" s="1"/>
  <c r="AU335" i="4" s="1"/>
  <c r="X335" i="4"/>
  <c r="Y335" i="4" s="1"/>
  <c r="Z335" i="4" s="1"/>
  <c r="AV334" i="4"/>
  <c r="AW334" i="4" s="1"/>
  <c r="AS334" i="4"/>
  <c r="AT334" i="4" s="1"/>
  <c r="AU334" i="4" s="1"/>
  <c r="X334" i="4"/>
  <c r="Y334" i="4" s="1"/>
  <c r="Z334" i="4" s="1"/>
  <c r="AV333" i="4"/>
  <c r="AW333" i="4" s="1"/>
  <c r="AS333" i="4"/>
  <c r="AT333" i="4" s="1"/>
  <c r="AU333" i="4" s="1"/>
  <c r="X333" i="4"/>
  <c r="Y333" i="4" s="1"/>
  <c r="Z333" i="4" s="1"/>
  <c r="AV332" i="4"/>
  <c r="AW332" i="4" s="1"/>
  <c r="AS332" i="4"/>
  <c r="AT332" i="4" s="1"/>
  <c r="AU332" i="4" s="1"/>
  <c r="X332" i="4"/>
  <c r="Y332" i="4" s="1"/>
  <c r="Z332" i="4" s="1"/>
  <c r="AV331" i="4"/>
  <c r="AW331" i="4" s="1"/>
  <c r="AS331" i="4"/>
  <c r="AT331" i="4" s="1"/>
  <c r="AU331" i="4" s="1"/>
  <c r="X331" i="4"/>
  <c r="Y331" i="4" s="1"/>
  <c r="Z331" i="4" s="1"/>
  <c r="AV330" i="4"/>
  <c r="AW330" i="4" s="1"/>
  <c r="AS330" i="4"/>
  <c r="AT330" i="4" s="1"/>
  <c r="AU330" i="4" s="1"/>
  <c r="X330" i="4"/>
  <c r="Y330" i="4" s="1"/>
  <c r="Z330" i="4" s="1"/>
  <c r="AV329" i="4"/>
  <c r="AW329" i="4" s="1"/>
  <c r="AS329" i="4"/>
  <c r="AT329" i="4" s="1"/>
  <c r="AU329" i="4" s="1"/>
  <c r="X329" i="4"/>
  <c r="Y329" i="4" s="1"/>
  <c r="Z329" i="4" s="1"/>
  <c r="AV328" i="4"/>
  <c r="AW328" i="4" s="1"/>
  <c r="AU328" i="4"/>
  <c r="Y328" i="4"/>
  <c r="Z328" i="4" s="1"/>
  <c r="AV327" i="4"/>
  <c r="AW327" i="4" s="1"/>
  <c r="AS327" i="4"/>
  <c r="AT327" i="4" s="1"/>
  <c r="AU327" i="4" s="1"/>
  <c r="X327" i="4"/>
  <c r="Y327" i="4" s="1"/>
  <c r="Z327" i="4" s="1"/>
  <c r="AV326" i="4"/>
  <c r="AW326" i="4" s="1"/>
  <c r="AS326" i="4"/>
  <c r="AT326" i="4" s="1"/>
  <c r="AU326" i="4" s="1"/>
  <c r="X326" i="4"/>
  <c r="Y326" i="4" s="1"/>
  <c r="Z326" i="4" s="1"/>
  <c r="AV325" i="4"/>
  <c r="AW325" i="4" s="1"/>
  <c r="AS325" i="4"/>
  <c r="AT325" i="4" s="1"/>
  <c r="AU325" i="4" s="1"/>
  <c r="X325" i="4"/>
  <c r="Y325" i="4" s="1"/>
  <c r="Z325" i="4" s="1"/>
  <c r="AV324" i="4"/>
  <c r="AW324" i="4" s="1"/>
  <c r="AS324" i="4"/>
  <c r="AT324" i="4" s="1"/>
  <c r="AU324" i="4" s="1"/>
  <c r="X324" i="4"/>
  <c r="Y324" i="4" s="1"/>
  <c r="Z324" i="4" s="1"/>
  <c r="AV323" i="4"/>
  <c r="AW323" i="4" s="1"/>
  <c r="AS323" i="4"/>
  <c r="AT323" i="4" s="1"/>
  <c r="AU323" i="4" s="1"/>
  <c r="X323" i="4"/>
  <c r="Y323" i="4" s="1"/>
  <c r="Z323" i="4" s="1"/>
  <c r="AV322" i="4"/>
  <c r="AW322" i="4" s="1"/>
  <c r="AS322" i="4"/>
  <c r="AT322" i="4" s="1"/>
  <c r="AU322" i="4" s="1"/>
  <c r="X322" i="4"/>
  <c r="Y322" i="4" s="1"/>
  <c r="Z322" i="4" s="1"/>
  <c r="AV321" i="4"/>
  <c r="AW321" i="4" s="1"/>
  <c r="AS321" i="4"/>
  <c r="AT321" i="4" s="1"/>
  <c r="AU321" i="4" s="1"/>
  <c r="X321" i="4"/>
  <c r="Y321" i="4" s="1"/>
  <c r="Z321" i="4" s="1"/>
  <c r="AV320" i="4"/>
  <c r="AW320" i="4" s="1"/>
  <c r="AS320" i="4"/>
  <c r="AT320" i="4" s="1"/>
  <c r="AU320" i="4" s="1"/>
  <c r="X320" i="4"/>
  <c r="Y320" i="4" s="1"/>
  <c r="Z320" i="4" s="1"/>
  <c r="AV319" i="4"/>
  <c r="AW319" i="4" s="1"/>
  <c r="AU319" i="4"/>
  <c r="AS319" i="4"/>
  <c r="AT319" i="4" s="1"/>
  <c r="X319" i="4"/>
  <c r="Y319" i="4" s="1"/>
  <c r="Z319" i="4" s="1"/>
  <c r="AV318" i="4"/>
  <c r="AW318" i="4" s="1"/>
  <c r="AS318" i="4"/>
  <c r="AT318" i="4" s="1"/>
  <c r="AU318" i="4" s="1"/>
  <c r="X318" i="4"/>
  <c r="Y318" i="4" s="1"/>
  <c r="Z318" i="4" s="1"/>
  <c r="AV317" i="4"/>
  <c r="AW317" i="4" s="1"/>
  <c r="AS317" i="4"/>
  <c r="AT317" i="4" s="1"/>
  <c r="AU317" i="4" s="1"/>
  <c r="X317" i="4"/>
  <c r="Y317" i="4" s="1"/>
  <c r="Z317" i="4" s="1"/>
  <c r="AV316" i="4"/>
  <c r="AW316" i="4" s="1"/>
  <c r="AS316" i="4"/>
  <c r="AT316" i="4" s="1"/>
  <c r="AU316" i="4" s="1"/>
  <c r="X316" i="4"/>
  <c r="Y316" i="4" s="1"/>
  <c r="Z316" i="4" s="1"/>
  <c r="AV315" i="4"/>
  <c r="AW315" i="4" s="1"/>
  <c r="AS315" i="4"/>
  <c r="AT315" i="4" s="1"/>
  <c r="AU315" i="4" s="1"/>
  <c r="X315" i="4"/>
  <c r="Y315" i="4" s="1"/>
  <c r="Z315" i="4" s="1"/>
  <c r="AV314" i="4"/>
  <c r="AW314" i="4" s="1"/>
  <c r="AS314" i="4"/>
  <c r="AT314" i="4" s="1"/>
  <c r="AU314" i="4" s="1"/>
  <c r="X314" i="4"/>
  <c r="Y314" i="4" s="1"/>
  <c r="Z314" i="4" s="1"/>
  <c r="AV313" i="4"/>
  <c r="AW313" i="4" s="1"/>
  <c r="AS313" i="4"/>
  <c r="AT313" i="4" s="1"/>
  <c r="AU313" i="4" s="1"/>
  <c r="X313" i="4"/>
  <c r="Y313" i="4" s="1"/>
  <c r="Z313" i="4" s="1"/>
  <c r="AV312" i="4"/>
  <c r="AW312" i="4" s="1"/>
  <c r="AS312" i="4"/>
  <c r="AT312" i="4" s="1"/>
  <c r="AU312" i="4" s="1"/>
  <c r="X312" i="4"/>
  <c r="Y312" i="4" s="1"/>
  <c r="Z312" i="4" s="1"/>
  <c r="AV311" i="4"/>
  <c r="AW311" i="4" s="1"/>
  <c r="AS311" i="4"/>
  <c r="AT311" i="4" s="1"/>
  <c r="AU311" i="4" s="1"/>
  <c r="X311" i="4"/>
  <c r="Y311" i="4" s="1"/>
  <c r="Z311" i="4" s="1"/>
  <c r="AV310" i="4"/>
  <c r="AW310" i="4" s="1"/>
  <c r="AS310" i="4"/>
  <c r="AT310" i="4" s="1"/>
  <c r="AU310" i="4" s="1"/>
  <c r="X310" i="4"/>
  <c r="Y310" i="4" s="1"/>
  <c r="Z310" i="4" s="1"/>
  <c r="AV309" i="4"/>
  <c r="AW309" i="4" s="1"/>
  <c r="AS309" i="4"/>
  <c r="AT309" i="4" s="1"/>
  <c r="AU309" i="4" s="1"/>
  <c r="X309" i="4"/>
  <c r="Y309" i="4" s="1"/>
  <c r="Z309" i="4" s="1"/>
  <c r="AV308" i="4"/>
  <c r="AW308" i="4" s="1"/>
  <c r="AS308" i="4"/>
  <c r="AT308" i="4" s="1"/>
  <c r="AU308" i="4" s="1"/>
  <c r="X308" i="4"/>
  <c r="Y308" i="4" s="1"/>
  <c r="Z308" i="4" s="1"/>
  <c r="AV307" i="4"/>
  <c r="AW307" i="4" s="1"/>
  <c r="AS307" i="4"/>
  <c r="AT307" i="4" s="1"/>
  <c r="AU307" i="4" s="1"/>
  <c r="X307" i="4"/>
  <c r="Y307" i="4" s="1"/>
  <c r="Z307" i="4" s="1"/>
  <c r="AV306" i="4"/>
  <c r="AW306" i="4" s="1"/>
  <c r="AU306" i="4"/>
  <c r="AS306" i="4"/>
  <c r="AT306" i="4" s="1"/>
  <c r="X306" i="4"/>
  <c r="Y306" i="4" s="1"/>
  <c r="Z306" i="4" s="1"/>
  <c r="AV305" i="4"/>
  <c r="AW305" i="4" s="1"/>
  <c r="AT305" i="4"/>
  <c r="AU305" i="4" s="1"/>
  <c r="AS305" i="4"/>
  <c r="X305" i="4"/>
  <c r="Y305" i="4" s="1"/>
  <c r="Z305" i="4" s="1"/>
  <c r="AV304" i="4"/>
  <c r="AW304" i="4" s="1"/>
  <c r="AS304" i="4"/>
  <c r="AT304" i="4" s="1"/>
  <c r="AU304" i="4" s="1"/>
  <c r="X304" i="4"/>
  <c r="Y304" i="4" s="1"/>
  <c r="Z304" i="4" s="1"/>
  <c r="AV303" i="4"/>
  <c r="AW303" i="4" s="1"/>
  <c r="AT303" i="4"/>
  <c r="AU303" i="4" s="1"/>
  <c r="AS303" i="4"/>
  <c r="X303" i="4"/>
  <c r="Y303" i="4" s="1"/>
  <c r="Z303" i="4" s="1"/>
  <c r="AV302" i="4"/>
  <c r="AW302" i="4" s="1"/>
  <c r="AS302" i="4"/>
  <c r="AT302" i="4" s="1"/>
  <c r="AU302" i="4" s="1"/>
  <c r="Y302" i="4"/>
  <c r="Z302" i="4" s="1"/>
  <c r="X302" i="4"/>
  <c r="AV301" i="4"/>
  <c r="AW301" i="4" s="1"/>
  <c r="AT301" i="4"/>
  <c r="AU301" i="4" s="1"/>
  <c r="AS301" i="4"/>
  <c r="X301" i="4"/>
  <c r="Y301" i="4" s="1"/>
  <c r="Z301" i="4" s="1"/>
  <c r="AV300" i="4"/>
  <c r="AW300" i="4" s="1"/>
  <c r="AS300" i="4"/>
  <c r="AT300" i="4" s="1"/>
  <c r="AU300" i="4" s="1"/>
  <c r="Y300" i="4"/>
  <c r="Z300" i="4" s="1"/>
  <c r="X300" i="4"/>
  <c r="AV299" i="4"/>
  <c r="AW299" i="4" s="1"/>
  <c r="AT299" i="4"/>
  <c r="AU299" i="4" s="1"/>
  <c r="AS299" i="4"/>
  <c r="X299" i="4"/>
  <c r="Y299" i="4" s="1"/>
  <c r="Z299" i="4" s="1"/>
  <c r="AV298" i="4"/>
  <c r="AW298" i="4" s="1"/>
  <c r="AS298" i="4"/>
  <c r="AT298" i="4" s="1"/>
  <c r="AU298" i="4" s="1"/>
  <c r="Y298" i="4"/>
  <c r="Z298" i="4" s="1"/>
  <c r="X298" i="4"/>
  <c r="AV297" i="4"/>
  <c r="AW297" i="4" s="1"/>
  <c r="AT297" i="4"/>
  <c r="AU297" i="4" s="1"/>
  <c r="AS297" i="4"/>
  <c r="X297" i="4"/>
  <c r="Y297" i="4" s="1"/>
  <c r="Z297" i="4" s="1"/>
  <c r="AV296" i="4"/>
  <c r="AW296" i="4" s="1"/>
  <c r="AS296" i="4"/>
  <c r="AT296" i="4" s="1"/>
  <c r="AU296" i="4" s="1"/>
  <c r="Y296" i="4"/>
  <c r="Z296" i="4" s="1"/>
  <c r="X296" i="4"/>
  <c r="AV295" i="4"/>
  <c r="AW295" i="4" s="1"/>
  <c r="AT295" i="4"/>
  <c r="AU295" i="4" s="1"/>
  <c r="AS295" i="4"/>
  <c r="X295" i="4"/>
  <c r="Y295" i="4" s="1"/>
  <c r="Z295" i="4" s="1"/>
  <c r="AV294" i="4"/>
  <c r="AW294" i="4" s="1"/>
  <c r="AS294" i="4"/>
  <c r="AT294" i="4" s="1"/>
  <c r="AU294" i="4" s="1"/>
  <c r="Y294" i="4"/>
  <c r="Z294" i="4" s="1"/>
  <c r="X294" i="4"/>
  <c r="AV293" i="4"/>
  <c r="AW293" i="4" s="1"/>
  <c r="AT293" i="4"/>
  <c r="AU293" i="4" s="1"/>
  <c r="AS293" i="4"/>
  <c r="X293" i="4"/>
  <c r="Y293" i="4" s="1"/>
  <c r="Z293" i="4" s="1"/>
  <c r="AV292" i="4"/>
  <c r="AW292" i="4" s="1"/>
  <c r="AS292" i="4"/>
  <c r="AT292" i="4" s="1"/>
  <c r="AU292" i="4" s="1"/>
  <c r="Y292" i="4"/>
  <c r="Z292" i="4" s="1"/>
  <c r="X292" i="4"/>
  <c r="AV291" i="4"/>
  <c r="AW291" i="4" s="1"/>
  <c r="AT291" i="4"/>
  <c r="AU291" i="4" s="1"/>
  <c r="AS291" i="4"/>
  <c r="X291" i="4"/>
  <c r="Y291" i="4" s="1"/>
  <c r="Z291" i="4" s="1"/>
  <c r="AV290" i="4"/>
  <c r="AW290" i="4" s="1"/>
  <c r="AS290" i="4"/>
  <c r="AT290" i="4" s="1"/>
  <c r="AU290" i="4" s="1"/>
  <c r="Y290" i="4"/>
  <c r="Z290" i="4" s="1"/>
  <c r="X290" i="4"/>
  <c r="AV289" i="4"/>
  <c r="AW289" i="4" s="1"/>
  <c r="AT289" i="4"/>
  <c r="AU289" i="4" s="1"/>
  <c r="AS289" i="4"/>
  <c r="X289" i="4"/>
  <c r="Y289" i="4" s="1"/>
  <c r="Z289" i="4" s="1"/>
  <c r="AV288" i="4"/>
  <c r="AW288" i="4" s="1"/>
  <c r="AS288" i="4"/>
  <c r="AT288" i="4" s="1"/>
  <c r="AU288" i="4" s="1"/>
  <c r="X288" i="4"/>
  <c r="Y288" i="4" s="1"/>
  <c r="Z288" i="4" s="1"/>
  <c r="AV287" i="4"/>
  <c r="AW287" i="4" s="1"/>
  <c r="AS287" i="4"/>
  <c r="AT287" i="4" s="1"/>
  <c r="AU287" i="4" s="1"/>
  <c r="X287" i="4"/>
  <c r="Y287" i="4" s="1"/>
  <c r="Z287" i="4" s="1"/>
  <c r="AV286" i="4"/>
  <c r="AW286" i="4" s="1"/>
  <c r="AS286" i="4"/>
  <c r="AT286" i="4" s="1"/>
  <c r="AU286" i="4" s="1"/>
  <c r="X286" i="4"/>
  <c r="Y286" i="4" s="1"/>
  <c r="Z286" i="4" s="1"/>
  <c r="AV285" i="4"/>
  <c r="AW285" i="4" s="1"/>
  <c r="AS285" i="4"/>
  <c r="AT285" i="4" s="1"/>
  <c r="AU285" i="4" s="1"/>
  <c r="X285" i="4"/>
  <c r="Y285" i="4" s="1"/>
  <c r="Z285" i="4" s="1"/>
  <c r="AV284" i="4"/>
  <c r="AW284" i="4" s="1"/>
  <c r="AS284" i="4"/>
  <c r="AT284" i="4" s="1"/>
  <c r="AU284" i="4" s="1"/>
  <c r="Y284" i="4"/>
  <c r="Z284" i="4" s="1"/>
  <c r="X284" i="4"/>
  <c r="AV283" i="4"/>
  <c r="AW283" i="4" s="1"/>
  <c r="AT283" i="4"/>
  <c r="AU283" i="4" s="1"/>
  <c r="AS283" i="4"/>
  <c r="X283" i="4"/>
  <c r="Y283" i="4" s="1"/>
  <c r="Z283" i="4" s="1"/>
  <c r="AV282" i="4"/>
  <c r="AW282" i="4" s="1"/>
  <c r="AS282" i="4"/>
  <c r="AT282" i="4" s="1"/>
  <c r="AU282" i="4" s="1"/>
  <c r="Y282" i="4"/>
  <c r="Z282" i="4" s="1"/>
  <c r="X282" i="4"/>
  <c r="AV281" i="4"/>
  <c r="AW281" i="4" s="1"/>
  <c r="AT281" i="4"/>
  <c r="AU281" i="4" s="1"/>
  <c r="AS281" i="4"/>
  <c r="X281" i="4"/>
  <c r="Y281" i="4" s="1"/>
  <c r="Z281" i="4" s="1"/>
  <c r="AV280" i="4"/>
  <c r="AW280" i="4" s="1"/>
  <c r="AS280" i="4"/>
  <c r="AT280" i="4" s="1"/>
  <c r="AU280" i="4" s="1"/>
  <c r="Y280" i="4"/>
  <c r="Z280" i="4" s="1"/>
  <c r="X280" i="4"/>
  <c r="AV279" i="4"/>
  <c r="AW279" i="4" s="1"/>
  <c r="AT279" i="4"/>
  <c r="AU279" i="4" s="1"/>
  <c r="AS279" i="4"/>
  <c r="X279" i="4"/>
  <c r="Y279" i="4" s="1"/>
  <c r="Z279" i="4" s="1"/>
  <c r="AV278" i="4"/>
  <c r="AW278" i="4" s="1"/>
  <c r="AS278" i="4"/>
  <c r="AT278" i="4" s="1"/>
  <c r="AU278" i="4" s="1"/>
  <c r="Y278" i="4"/>
  <c r="Z278" i="4" s="1"/>
  <c r="X278" i="4"/>
  <c r="AV277" i="4"/>
  <c r="AW277" i="4" s="1"/>
  <c r="AT277" i="4"/>
  <c r="AU277" i="4" s="1"/>
  <c r="AS277" i="4"/>
  <c r="X277" i="4"/>
  <c r="Y277" i="4" s="1"/>
  <c r="Z277" i="4" s="1"/>
  <c r="AV276" i="4"/>
  <c r="AW276" i="4" s="1"/>
  <c r="AS276" i="4"/>
  <c r="AT276" i="4" s="1"/>
  <c r="AU276" i="4" s="1"/>
  <c r="Y276" i="4"/>
  <c r="Z276" i="4" s="1"/>
  <c r="X276" i="4"/>
  <c r="AV275" i="4"/>
  <c r="AW275" i="4" s="1"/>
  <c r="AT275" i="4"/>
  <c r="AU275" i="4" s="1"/>
  <c r="AS275" i="4"/>
  <c r="X275" i="4"/>
  <c r="Y275" i="4" s="1"/>
  <c r="Z275" i="4" s="1"/>
  <c r="AV274" i="4"/>
  <c r="AW274" i="4" s="1"/>
  <c r="AS274" i="4"/>
  <c r="AT274" i="4" s="1"/>
  <c r="AU274" i="4" s="1"/>
  <c r="X274" i="4"/>
  <c r="Y274" i="4" s="1"/>
  <c r="Z274" i="4" s="1"/>
  <c r="AV273" i="4"/>
  <c r="AW273" i="4" s="1"/>
  <c r="AS273" i="4"/>
  <c r="AT273" i="4" s="1"/>
  <c r="AU273" i="4" s="1"/>
  <c r="X273" i="4"/>
  <c r="Y273" i="4" s="1"/>
  <c r="Z273" i="4" s="1"/>
  <c r="AV272" i="4"/>
  <c r="AW272" i="4" s="1"/>
  <c r="AS272" i="4"/>
  <c r="AT272" i="4" s="1"/>
  <c r="AU272" i="4" s="1"/>
  <c r="X272" i="4"/>
  <c r="Y272" i="4" s="1"/>
  <c r="Z272" i="4" s="1"/>
  <c r="AV271" i="4"/>
  <c r="AW271" i="4" s="1"/>
  <c r="AS271" i="4"/>
  <c r="AT271" i="4" s="1"/>
  <c r="AU271" i="4" s="1"/>
  <c r="Z271" i="4"/>
  <c r="X271" i="4"/>
  <c r="Y271" i="4" s="1"/>
  <c r="AV270" i="4"/>
  <c r="AW270" i="4" s="1"/>
  <c r="AS270" i="4"/>
  <c r="AT270" i="4" s="1"/>
  <c r="AU270" i="4" s="1"/>
  <c r="X270" i="4"/>
  <c r="Y270" i="4" s="1"/>
  <c r="Z270" i="4" s="1"/>
  <c r="AV269" i="4"/>
  <c r="AW269" i="4" s="1"/>
  <c r="AS269" i="4"/>
  <c r="AT269" i="4" s="1"/>
  <c r="AU269" i="4" s="1"/>
  <c r="X269" i="4"/>
  <c r="Y269" i="4" s="1"/>
  <c r="Z269" i="4" s="1"/>
  <c r="AV268" i="4"/>
  <c r="AW268" i="4" s="1"/>
  <c r="AS268" i="4"/>
  <c r="AT268" i="4" s="1"/>
  <c r="AU268" i="4" s="1"/>
  <c r="Z268" i="4"/>
  <c r="X268" i="4"/>
  <c r="Y268" i="4" s="1"/>
  <c r="AV267" i="4"/>
  <c r="AW267" i="4" s="1"/>
  <c r="AT267" i="4"/>
  <c r="AU267" i="4" s="1"/>
  <c r="Y267" i="4"/>
  <c r="Z267" i="4" s="1"/>
  <c r="AV266" i="4"/>
  <c r="AW266" i="4" s="1"/>
  <c r="AS266" i="4"/>
  <c r="AT266" i="4" s="1"/>
  <c r="AU266" i="4" s="1"/>
  <c r="X266" i="4"/>
  <c r="Y266" i="4" s="1"/>
  <c r="Z266" i="4" s="1"/>
  <c r="AV265" i="4"/>
  <c r="AW265" i="4" s="1"/>
  <c r="AS265" i="4"/>
  <c r="AT265" i="4" s="1"/>
  <c r="AU265" i="4" s="1"/>
  <c r="X265" i="4"/>
  <c r="Y265" i="4" s="1"/>
  <c r="Z265" i="4" s="1"/>
  <c r="AV264" i="4"/>
  <c r="AW264" i="4" s="1"/>
  <c r="AT264" i="4"/>
  <c r="AU264" i="4" s="1"/>
  <c r="Y264" i="4"/>
  <c r="Z264" i="4" s="1"/>
  <c r="AV263" i="4"/>
  <c r="AW263" i="4" s="1"/>
  <c r="AS263" i="4"/>
  <c r="AT263" i="4" s="1"/>
  <c r="AU263" i="4" s="1"/>
  <c r="X263" i="4"/>
  <c r="Y263" i="4" s="1"/>
  <c r="Z263" i="4" s="1"/>
  <c r="AV262" i="4"/>
  <c r="AW262" i="4" s="1"/>
  <c r="AT262" i="4"/>
  <c r="AU262" i="4" s="1"/>
  <c r="AS262" i="4"/>
  <c r="X262" i="4"/>
  <c r="Y262" i="4" s="1"/>
  <c r="Z262" i="4" s="1"/>
  <c r="AV261" i="4"/>
  <c r="AW261" i="4" s="1"/>
  <c r="AS261" i="4"/>
  <c r="AT261" i="4" s="1"/>
  <c r="AU261" i="4" s="1"/>
  <c r="X261" i="4"/>
  <c r="Y261" i="4" s="1"/>
  <c r="Z261" i="4" s="1"/>
  <c r="AV260" i="4"/>
  <c r="AW260" i="4" s="1"/>
  <c r="AT260" i="4"/>
  <c r="AU260" i="4" s="1"/>
  <c r="AS260" i="4"/>
  <c r="X260" i="4"/>
  <c r="Y260" i="4" s="1"/>
  <c r="Z260" i="4" s="1"/>
  <c r="AV259" i="4"/>
  <c r="AW259" i="4" s="1"/>
  <c r="AS259" i="4"/>
  <c r="AT259" i="4" s="1"/>
  <c r="AU259" i="4" s="1"/>
  <c r="X259" i="4"/>
  <c r="Y259" i="4" s="1"/>
  <c r="Z259" i="4" s="1"/>
  <c r="AV258" i="4"/>
  <c r="AW258" i="4" s="1"/>
  <c r="AT258" i="4"/>
  <c r="AU258" i="4" s="1"/>
  <c r="AS258" i="4"/>
  <c r="X258" i="4"/>
  <c r="Y258" i="4" s="1"/>
  <c r="Z258" i="4" s="1"/>
  <c r="AV257" i="4"/>
  <c r="AW257" i="4" s="1"/>
  <c r="AS257" i="4"/>
  <c r="AT257" i="4" s="1"/>
  <c r="AU257" i="4" s="1"/>
  <c r="X257" i="4"/>
  <c r="Y257" i="4" s="1"/>
  <c r="Z257" i="4" s="1"/>
  <c r="AV256" i="4"/>
  <c r="AW256" i="4" s="1"/>
  <c r="AT256" i="4"/>
  <c r="AU256" i="4" s="1"/>
  <c r="AS256" i="4"/>
  <c r="X256" i="4"/>
  <c r="Y256" i="4" s="1"/>
  <c r="Z256" i="4" s="1"/>
  <c r="AV255" i="4"/>
  <c r="AW255" i="4" s="1"/>
  <c r="AS255" i="4"/>
  <c r="AT255" i="4" s="1"/>
  <c r="AU255" i="4" s="1"/>
  <c r="X255" i="4"/>
  <c r="Y255" i="4" s="1"/>
  <c r="Z255" i="4" s="1"/>
  <c r="AV254" i="4"/>
  <c r="AW254" i="4" s="1"/>
  <c r="AT254" i="4"/>
  <c r="AU254" i="4" s="1"/>
  <c r="AS254" i="4"/>
  <c r="X254" i="4"/>
  <c r="Y254" i="4" s="1"/>
  <c r="Z254" i="4" s="1"/>
  <c r="AV253" i="4"/>
  <c r="AW253" i="4" s="1"/>
  <c r="AS253" i="4"/>
  <c r="AT253" i="4" s="1"/>
  <c r="AU253" i="4" s="1"/>
  <c r="X253" i="4"/>
  <c r="Y253" i="4" s="1"/>
  <c r="Z253" i="4" s="1"/>
  <c r="AV252" i="4"/>
  <c r="AW252" i="4" s="1"/>
  <c r="AT252" i="4"/>
  <c r="AU252" i="4" s="1"/>
  <c r="AS252" i="4"/>
  <c r="X252" i="4"/>
  <c r="Y252" i="4" s="1"/>
  <c r="Z252" i="4" s="1"/>
  <c r="AV251" i="4"/>
  <c r="AW251" i="4" s="1"/>
  <c r="AS251" i="4"/>
  <c r="AT251" i="4" s="1"/>
  <c r="AU251" i="4" s="1"/>
  <c r="X251" i="4"/>
  <c r="Y251" i="4" s="1"/>
  <c r="Z251" i="4" s="1"/>
  <c r="AV250" i="4"/>
  <c r="AW250" i="4" s="1"/>
  <c r="AT250" i="4"/>
  <c r="AU250" i="4" s="1"/>
  <c r="AS250" i="4"/>
  <c r="X250" i="4"/>
  <c r="Y250" i="4" s="1"/>
  <c r="Z250" i="4" s="1"/>
  <c r="AV249" i="4"/>
  <c r="AW249" i="4" s="1"/>
  <c r="AS249" i="4"/>
  <c r="AT249" i="4" s="1"/>
  <c r="AU249" i="4" s="1"/>
  <c r="X249" i="4"/>
  <c r="Y249" i="4" s="1"/>
  <c r="Z249" i="4" s="1"/>
  <c r="AV248" i="4"/>
  <c r="AW248" i="4" s="1"/>
  <c r="AT248" i="4"/>
  <c r="AU248" i="4" s="1"/>
  <c r="AS248" i="4"/>
  <c r="X248" i="4"/>
  <c r="Y248" i="4" s="1"/>
  <c r="Z248" i="4" s="1"/>
  <c r="AV247" i="4"/>
  <c r="AW247" i="4" s="1"/>
  <c r="AS247" i="4"/>
  <c r="AT247" i="4" s="1"/>
  <c r="AU247" i="4" s="1"/>
  <c r="X247" i="4"/>
  <c r="Y247" i="4" s="1"/>
  <c r="Z247" i="4" s="1"/>
  <c r="AV246" i="4"/>
  <c r="AW246" i="4" s="1"/>
  <c r="AT246" i="4"/>
  <c r="AU246" i="4" s="1"/>
  <c r="AS246" i="4"/>
  <c r="X246" i="4"/>
  <c r="Y246" i="4" s="1"/>
  <c r="Z246" i="4" s="1"/>
  <c r="AV245" i="4"/>
  <c r="AW245" i="4" s="1"/>
  <c r="AS245" i="4"/>
  <c r="AT245" i="4" s="1"/>
  <c r="AU245" i="4" s="1"/>
  <c r="X245" i="4"/>
  <c r="Y245" i="4" s="1"/>
  <c r="Z245" i="4" s="1"/>
  <c r="AV244" i="4"/>
  <c r="AW244" i="4" s="1"/>
  <c r="AT244" i="4"/>
  <c r="AU244" i="4" s="1"/>
  <c r="AS244" i="4"/>
  <c r="X244" i="4"/>
  <c r="Y244" i="4" s="1"/>
  <c r="Z244" i="4" s="1"/>
  <c r="AV243" i="4"/>
  <c r="AW243" i="4" s="1"/>
  <c r="AS243" i="4"/>
  <c r="AT243" i="4" s="1"/>
  <c r="AU243" i="4" s="1"/>
  <c r="X243" i="4"/>
  <c r="Y243" i="4" s="1"/>
  <c r="Z243" i="4" s="1"/>
  <c r="AV242" i="4"/>
  <c r="AW242" i="4" s="1"/>
  <c r="AT242" i="4"/>
  <c r="AU242" i="4" s="1"/>
  <c r="Y242" i="4"/>
  <c r="Z242" i="4" s="1"/>
  <c r="AV241" i="4"/>
  <c r="AW241" i="4" s="1"/>
  <c r="AS241" i="4"/>
  <c r="AT241" i="4" s="1"/>
  <c r="AU241" i="4" s="1"/>
  <c r="X241" i="4"/>
  <c r="Y241" i="4" s="1"/>
  <c r="Z241" i="4" s="1"/>
  <c r="AV240" i="4"/>
  <c r="AW240" i="4" s="1"/>
  <c r="AS240" i="4"/>
  <c r="AT240" i="4" s="1"/>
  <c r="AU240" i="4" s="1"/>
  <c r="X240" i="4"/>
  <c r="Y240" i="4" s="1"/>
  <c r="Z240" i="4" s="1"/>
  <c r="AV239" i="4"/>
  <c r="AW239" i="4" s="1"/>
  <c r="AT239" i="4"/>
  <c r="AU239" i="4" s="1"/>
  <c r="AS239" i="4"/>
  <c r="Y239" i="4"/>
  <c r="Z239" i="4" s="1"/>
  <c r="X239" i="4"/>
  <c r="AV238" i="4"/>
  <c r="AW238" i="4" s="1"/>
  <c r="AT238" i="4"/>
  <c r="AU238" i="4" s="1"/>
  <c r="AS238" i="4"/>
  <c r="X238" i="4"/>
  <c r="Y238" i="4" s="1"/>
  <c r="Z238" i="4" s="1"/>
  <c r="AV237" i="4"/>
  <c r="AW237" i="4" s="1"/>
  <c r="AS237" i="4"/>
  <c r="AT237" i="4" s="1"/>
  <c r="AU237" i="4" s="1"/>
  <c r="X237" i="4"/>
  <c r="Y237" i="4" s="1"/>
  <c r="Z237" i="4" s="1"/>
  <c r="AV236" i="4"/>
  <c r="AW236" i="4" s="1"/>
  <c r="AS236" i="4"/>
  <c r="AT236" i="4" s="1"/>
  <c r="AU236" i="4" s="1"/>
  <c r="X236" i="4"/>
  <c r="Y236" i="4" s="1"/>
  <c r="Z236" i="4" s="1"/>
  <c r="AV235" i="4"/>
  <c r="AW235" i="4" s="1"/>
  <c r="AT235" i="4"/>
  <c r="AU235" i="4" s="1"/>
  <c r="AS235" i="4"/>
  <c r="Y235" i="4"/>
  <c r="Z235" i="4" s="1"/>
  <c r="X235" i="4"/>
  <c r="AV234" i="4"/>
  <c r="AW234" i="4" s="1"/>
  <c r="AT234" i="4"/>
  <c r="AU234" i="4" s="1"/>
  <c r="X234" i="4"/>
  <c r="Y234" i="4" s="1"/>
  <c r="Z234" i="4" s="1"/>
  <c r="AV233" i="4"/>
  <c r="AW233" i="4" s="1"/>
  <c r="AU233" i="4"/>
  <c r="AS233" i="4"/>
  <c r="AT233" i="4" s="1"/>
  <c r="X233" i="4"/>
  <c r="Y233" i="4" s="1"/>
  <c r="Z233" i="4" s="1"/>
  <c r="AV232" i="4"/>
  <c r="AW232" i="4" s="1"/>
  <c r="AS232" i="4"/>
  <c r="AT232" i="4" s="1"/>
  <c r="AU232" i="4" s="1"/>
  <c r="X232" i="4"/>
  <c r="Y232" i="4" s="1"/>
  <c r="Z232" i="4" s="1"/>
  <c r="AV231" i="4"/>
  <c r="AW231" i="4" s="1"/>
  <c r="AS231" i="4"/>
  <c r="AT231" i="4" s="1"/>
  <c r="AU231" i="4" s="1"/>
  <c r="X231" i="4"/>
  <c r="Y231" i="4" s="1"/>
  <c r="Z231" i="4" s="1"/>
  <c r="AV230" i="4"/>
  <c r="AW230" i="4" s="1"/>
  <c r="AS230" i="4"/>
  <c r="AT230" i="4" s="1"/>
  <c r="AU230" i="4" s="1"/>
  <c r="X230" i="4"/>
  <c r="Y230" i="4" s="1"/>
  <c r="Z230" i="4" s="1"/>
  <c r="AW229" i="4"/>
  <c r="AV229" i="4"/>
  <c r="AU229" i="4"/>
  <c r="AS229" i="4"/>
  <c r="AT229" i="4" s="1"/>
  <c r="X229" i="4"/>
  <c r="Y229" i="4" s="1"/>
  <c r="Z229" i="4" s="1"/>
  <c r="AV228" i="4"/>
  <c r="AW228" i="4" s="1"/>
  <c r="AS228" i="4"/>
  <c r="AT228" i="4" s="1"/>
  <c r="AU228" i="4" s="1"/>
  <c r="X228" i="4"/>
  <c r="Y228" i="4" s="1"/>
  <c r="Z228" i="4" s="1"/>
  <c r="AV227" i="4"/>
  <c r="AW227" i="4" s="1"/>
  <c r="AS227" i="4"/>
  <c r="AT227" i="4" s="1"/>
  <c r="AU227" i="4" s="1"/>
  <c r="X227" i="4"/>
  <c r="Y227" i="4" s="1"/>
  <c r="Z227" i="4" s="1"/>
  <c r="AV226" i="4"/>
  <c r="AW226" i="4" s="1"/>
  <c r="AS226" i="4"/>
  <c r="AT226" i="4" s="1"/>
  <c r="AU226" i="4" s="1"/>
  <c r="X226" i="4"/>
  <c r="Y226" i="4" s="1"/>
  <c r="Z226" i="4" s="1"/>
  <c r="AV225" i="4"/>
  <c r="AW225" i="4" s="1"/>
  <c r="AS225" i="4"/>
  <c r="AT225" i="4" s="1"/>
  <c r="AU225" i="4" s="1"/>
  <c r="X225" i="4"/>
  <c r="Y225" i="4" s="1"/>
  <c r="Z225" i="4" s="1"/>
  <c r="AV224" i="4"/>
  <c r="AW224" i="4" s="1"/>
  <c r="AT224" i="4"/>
  <c r="AU224" i="4" s="1"/>
  <c r="AS224" i="4"/>
  <c r="X224" i="4"/>
  <c r="Y224" i="4" s="1"/>
  <c r="Z224" i="4" s="1"/>
  <c r="AV223" i="4"/>
  <c r="AW223" i="4" s="1"/>
  <c r="AS223" i="4"/>
  <c r="AT223" i="4" s="1"/>
  <c r="AU223" i="4" s="1"/>
  <c r="X223" i="4"/>
  <c r="Y223" i="4" s="1"/>
  <c r="Z223" i="4" s="1"/>
  <c r="AV222" i="4"/>
  <c r="AW222" i="4" s="1"/>
  <c r="AS222" i="4"/>
  <c r="AT222" i="4" s="1"/>
  <c r="AU222" i="4" s="1"/>
  <c r="X222" i="4"/>
  <c r="Y222" i="4" s="1"/>
  <c r="Z222" i="4" s="1"/>
  <c r="AV221" i="4"/>
  <c r="AW221" i="4" s="1"/>
  <c r="AS221" i="4"/>
  <c r="AT221" i="4" s="1"/>
  <c r="AU221" i="4" s="1"/>
  <c r="X221" i="4"/>
  <c r="Y221" i="4" s="1"/>
  <c r="Z221" i="4" s="1"/>
  <c r="AV220" i="4"/>
  <c r="AW220" i="4" s="1"/>
  <c r="AS220" i="4"/>
  <c r="AT220" i="4" s="1"/>
  <c r="AU220" i="4" s="1"/>
  <c r="X220" i="4"/>
  <c r="Y220" i="4" s="1"/>
  <c r="Z220" i="4" s="1"/>
  <c r="AV219" i="4"/>
  <c r="AW219" i="4" s="1"/>
  <c r="AS219" i="4"/>
  <c r="AT219" i="4" s="1"/>
  <c r="AU219" i="4" s="1"/>
  <c r="X219" i="4"/>
  <c r="Y219" i="4" s="1"/>
  <c r="Z219" i="4" s="1"/>
  <c r="AW218" i="4"/>
  <c r="AV218" i="4"/>
  <c r="AS218" i="4"/>
  <c r="AT218" i="4" s="1"/>
  <c r="AU218" i="4" s="1"/>
  <c r="X218" i="4"/>
  <c r="Y218" i="4" s="1"/>
  <c r="Z218" i="4" s="1"/>
  <c r="AV217" i="4"/>
  <c r="AW217" i="4" s="1"/>
  <c r="AS217" i="4"/>
  <c r="AT217" i="4" s="1"/>
  <c r="AU217" i="4" s="1"/>
  <c r="X217" i="4"/>
  <c r="Y217" i="4" s="1"/>
  <c r="Z217" i="4" s="1"/>
  <c r="AV216" i="4"/>
  <c r="AW216" i="4" s="1"/>
  <c r="AT216" i="4"/>
  <c r="AU216" i="4" s="1"/>
  <c r="AS216" i="4"/>
  <c r="X216" i="4"/>
  <c r="Y216" i="4" s="1"/>
  <c r="Z216" i="4" s="1"/>
  <c r="AV215" i="4"/>
  <c r="AW215" i="4" s="1"/>
  <c r="AS215" i="4"/>
  <c r="AT215" i="4" s="1"/>
  <c r="AU215" i="4" s="1"/>
  <c r="X215" i="4"/>
  <c r="Y215" i="4" s="1"/>
  <c r="Z215" i="4" s="1"/>
  <c r="AV214" i="4"/>
  <c r="AW214" i="4" s="1"/>
  <c r="AS214" i="4"/>
  <c r="AT214" i="4" s="1"/>
  <c r="AU214" i="4" s="1"/>
  <c r="X214" i="4"/>
  <c r="Y214" i="4" s="1"/>
  <c r="Z214" i="4" s="1"/>
  <c r="AV213" i="4"/>
  <c r="AW213" i="4" s="1"/>
  <c r="AS213" i="4"/>
  <c r="AT213" i="4" s="1"/>
  <c r="AU213" i="4" s="1"/>
  <c r="Z213" i="4"/>
  <c r="X213" i="4"/>
  <c r="Y213" i="4" s="1"/>
  <c r="AV212" i="4"/>
  <c r="AW212" i="4" s="1"/>
  <c r="AS212" i="4"/>
  <c r="AT212" i="4" s="1"/>
  <c r="AU212" i="4" s="1"/>
  <c r="X212" i="4"/>
  <c r="Y212" i="4" s="1"/>
  <c r="Z212" i="4" s="1"/>
  <c r="AW211" i="4"/>
  <c r="AV211" i="4"/>
  <c r="AS211" i="4"/>
  <c r="AT211" i="4" s="1"/>
  <c r="AU211" i="4" s="1"/>
  <c r="Z211" i="4"/>
  <c r="X211" i="4"/>
  <c r="Y211" i="4" s="1"/>
  <c r="AW210" i="4"/>
  <c r="AV210" i="4"/>
  <c r="AS210" i="4"/>
  <c r="AT210" i="4" s="1"/>
  <c r="AU210" i="4" s="1"/>
  <c r="X210" i="4"/>
  <c r="Y210" i="4" s="1"/>
  <c r="Z210" i="4" s="1"/>
  <c r="AV209" i="4"/>
  <c r="AW209" i="4" s="1"/>
  <c r="AS209" i="4"/>
  <c r="AT209" i="4" s="1"/>
  <c r="AU209" i="4" s="1"/>
  <c r="X209" i="4"/>
  <c r="Y209" i="4" s="1"/>
  <c r="Z209" i="4" s="1"/>
  <c r="AV208" i="4"/>
  <c r="AW208" i="4" s="1"/>
  <c r="AS208" i="4"/>
  <c r="AT208" i="4" s="1"/>
  <c r="AU208" i="4" s="1"/>
  <c r="X208" i="4"/>
  <c r="Y208" i="4" s="1"/>
  <c r="Z208" i="4" s="1"/>
  <c r="AV185" i="4"/>
  <c r="AW185" i="4" s="1"/>
  <c r="AT185" i="4"/>
  <c r="AU185" i="4" s="1"/>
  <c r="AS185" i="4"/>
  <c r="X185" i="4"/>
  <c r="Y185" i="4" s="1"/>
  <c r="Z185" i="4" s="1"/>
  <c r="AV184" i="4"/>
  <c r="AW184" i="4" s="1"/>
  <c r="AS184" i="4"/>
  <c r="AT184" i="4" s="1"/>
  <c r="AU184" i="4" s="1"/>
  <c r="Z184" i="4"/>
  <c r="X184" i="4"/>
  <c r="Y184" i="4" s="1"/>
  <c r="AV183" i="4"/>
  <c r="AW183" i="4" s="1"/>
  <c r="AT183" i="4"/>
  <c r="AU183" i="4" s="1"/>
  <c r="AS183" i="4"/>
  <c r="Z183" i="4"/>
  <c r="X183" i="4"/>
  <c r="Y183" i="4" s="1"/>
  <c r="AV182" i="4"/>
  <c r="AW182" i="4" s="1"/>
  <c r="AS182" i="4"/>
  <c r="AT182" i="4" s="1"/>
  <c r="AU182" i="4" s="1"/>
  <c r="X182" i="4"/>
  <c r="Y182" i="4" s="1"/>
  <c r="Z182" i="4" s="1"/>
  <c r="AV181" i="4"/>
  <c r="AW181" i="4" s="1"/>
  <c r="AS181" i="4"/>
  <c r="AT181" i="4" s="1"/>
  <c r="AU181" i="4" s="1"/>
  <c r="Z181" i="4"/>
  <c r="X181" i="4"/>
  <c r="Y181" i="4" s="1"/>
  <c r="AV180" i="4"/>
  <c r="AW180" i="4" s="1"/>
  <c r="AS180" i="4"/>
  <c r="AT180" i="4" s="1"/>
  <c r="AU180" i="4" s="1"/>
  <c r="X180" i="4"/>
  <c r="Y180" i="4" s="1"/>
  <c r="Z180" i="4" s="1"/>
  <c r="AV179" i="4"/>
  <c r="AW179" i="4" s="1"/>
  <c r="AS179" i="4"/>
  <c r="AT179" i="4" s="1"/>
  <c r="AU179" i="4" s="1"/>
  <c r="X179" i="4"/>
  <c r="Y179" i="4" s="1"/>
  <c r="Z179" i="4" s="1"/>
  <c r="AV178" i="4"/>
  <c r="AW178" i="4" s="1"/>
  <c r="AU178" i="4"/>
  <c r="AT178" i="4"/>
  <c r="AS178" i="4"/>
  <c r="X178" i="4"/>
  <c r="Y178" i="4" s="1"/>
  <c r="Z178" i="4" s="1"/>
  <c r="AV177" i="4"/>
  <c r="AW177" i="4" s="1"/>
  <c r="AT177" i="4"/>
  <c r="AU177" i="4" s="1"/>
  <c r="AS177" i="4"/>
  <c r="X177" i="4"/>
  <c r="Y177" i="4" s="1"/>
  <c r="Z177" i="4" s="1"/>
  <c r="AV176" i="4"/>
  <c r="AW176" i="4" s="1"/>
  <c r="AU176" i="4"/>
  <c r="Y176" i="4"/>
  <c r="Z176" i="4" s="1"/>
  <c r="AW175" i="4"/>
  <c r="AV175" i="4"/>
  <c r="AS175" i="4"/>
  <c r="AT175" i="4" s="1"/>
  <c r="AU175" i="4" s="1"/>
  <c r="X175" i="4"/>
  <c r="Y175" i="4" s="1"/>
  <c r="Z175" i="4" s="1"/>
  <c r="AV174" i="4"/>
  <c r="AW174" i="4" s="1"/>
  <c r="AS174" i="4"/>
  <c r="AT174" i="4" s="1"/>
  <c r="AU174" i="4" s="1"/>
  <c r="X174" i="4"/>
  <c r="Y174" i="4" s="1"/>
  <c r="Z174" i="4" s="1"/>
  <c r="AW173" i="4"/>
  <c r="AV173" i="4"/>
  <c r="AS173" i="4"/>
  <c r="AT173" i="4" s="1"/>
  <c r="AU173" i="4" s="1"/>
  <c r="X173" i="4"/>
  <c r="Y173" i="4" s="1"/>
  <c r="Z173" i="4" s="1"/>
  <c r="AV172" i="4"/>
  <c r="AW172" i="4" s="1"/>
  <c r="AS172" i="4"/>
  <c r="AT172" i="4" s="1"/>
  <c r="AU172" i="4" s="1"/>
  <c r="X172" i="4"/>
  <c r="Y172" i="4" s="1"/>
  <c r="Z172" i="4" s="1"/>
  <c r="AW171" i="4"/>
  <c r="AV171" i="4"/>
  <c r="AS171" i="4"/>
  <c r="AT171" i="4" s="1"/>
  <c r="AU171" i="4" s="1"/>
  <c r="X171" i="4"/>
  <c r="Y171" i="4" s="1"/>
  <c r="Z171" i="4" s="1"/>
  <c r="AV170" i="4"/>
  <c r="AW170" i="4" s="1"/>
  <c r="AS170" i="4"/>
  <c r="AT170" i="4" s="1"/>
  <c r="AU170" i="4" s="1"/>
  <c r="X170" i="4"/>
  <c r="Y170" i="4" s="1"/>
  <c r="Z170" i="4" s="1"/>
  <c r="AW169" i="4"/>
  <c r="AV169" i="4"/>
  <c r="AS169" i="4"/>
  <c r="AT169" i="4" s="1"/>
  <c r="AU169" i="4" s="1"/>
  <c r="X169" i="4"/>
  <c r="Y169" i="4" s="1"/>
  <c r="Z169" i="4" s="1"/>
  <c r="AW168" i="4"/>
  <c r="AS168" i="4"/>
  <c r="AT168" i="4" s="1"/>
  <c r="AU168" i="4" s="1"/>
  <c r="X168" i="4"/>
  <c r="Y168" i="4" s="1"/>
  <c r="Z168" i="4" s="1"/>
  <c r="AV167" i="4"/>
  <c r="AW167" i="4" s="1"/>
  <c r="AT167" i="4"/>
  <c r="AU167" i="4" s="1"/>
  <c r="AS167" i="4"/>
  <c r="X167" i="4"/>
  <c r="Y167" i="4" s="1"/>
  <c r="Z167" i="4" s="1"/>
  <c r="AV166" i="4"/>
  <c r="AW166" i="4" s="1"/>
  <c r="AT166" i="4"/>
  <c r="AU166" i="4" s="1"/>
  <c r="AS166" i="4"/>
  <c r="X166" i="4"/>
  <c r="Y166" i="4" s="1"/>
  <c r="Z166" i="4" s="1"/>
  <c r="AV165" i="4"/>
  <c r="AW165" i="4" s="1"/>
  <c r="AS165" i="4"/>
  <c r="AT165" i="4" s="1"/>
  <c r="AU165" i="4" s="1"/>
  <c r="X165" i="4"/>
  <c r="Y165" i="4" s="1"/>
  <c r="Z165" i="4" s="1"/>
  <c r="AV164" i="4"/>
  <c r="AW164" i="4" s="1"/>
  <c r="AS164" i="4"/>
  <c r="AT164" i="4" s="1"/>
  <c r="AU164" i="4" s="1"/>
  <c r="X164" i="4"/>
  <c r="Y164" i="4" s="1"/>
  <c r="Z164" i="4" s="1"/>
  <c r="AV163" i="4"/>
  <c r="AW163" i="4" s="1"/>
  <c r="AS163" i="4"/>
  <c r="AT163" i="4" s="1"/>
  <c r="AU163" i="4" s="1"/>
  <c r="X163" i="4"/>
  <c r="Y163" i="4" s="1"/>
  <c r="Z163" i="4" s="1"/>
  <c r="AV162" i="4"/>
  <c r="AW162" i="4" s="1"/>
  <c r="AS162" i="4"/>
  <c r="AT162" i="4" s="1"/>
  <c r="AU162" i="4" s="1"/>
  <c r="X162" i="4"/>
  <c r="Y162" i="4" s="1"/>
  <c r="Z162" i="4" s="1"/>
  <c r="AW161" i="4"/>
  <c r="AV161" i="4"/>
  <c r="AS161" i="4"/>
  <c r="AT161" i="4" s="1"/>
  <c r="AU161" i="4" s="1"/>
  <c r="X161" i="4"/>
  <c r="Y161" i="4" s="1"/>
  <c r="Z161" i="4" s="1"/>
  <c r="AW160" i="4"/>
  <c r="AV160" i="4"/>
  <c r="AS160" i="4"/>
  <c r="AT160" i="4" s="1"/>
  <c r="AU160" i="4" s="1"/>
  <c r="X160" i="4"/>
  <c r="Y160" i="4" s="1"/>
  <c r="Z160" i="4" s="1"/>
  <c r="AV159" i="4"/>
  <c r="AW159" i="4" s="1"/>
  <c r="AT159" i="4"/>
  <c r="AU159" i="4" s="1"/>
  <c r="AS159" i="4"/>
  <c r="X159" i="4"/>
  <c r="Y159" i="4" s="1"/>
  <c r="Z159" i="4" s="1"/>
  <c r="AW158" i="4"/>
  <c r="AV158" i="4"/>
  <c r="AS158" i="4"/>
  <c r="AT158" i="4" s="1"/>
  <c r="AU158" i="4" s="1"/>
  <c r="X158" i="4"/>
  <c r="Y158" i="4" s="1"/>
  <c r="Z158" i="4" s="1"/>
  <c r="AV157" i="4"/>
  <c r="AW157" i="4" s="1"/>
  <c r="AS157" i="4"/>
  <c r="AT157" i="4" s="1"/>
  <c r="AU157" i="4" s="1"/>
  <c r="X157" i="4"/>
  <c r="Y157" i="4" s="1"/>
  <c r="Z157" i="4" s="1"/>
  <c r="AV156" i="4"/>
  <c r="AW156" i="4" s="1"/>
  <c r="AS156" i="4"/>
  <c r="AT156" i="4" s="1"/>
  <c r="AU156" i="4" s="1"/>
  <c r="X156" i="4"/>
  <c r="Y156" i="4" s="1"/>
  <c r="Z156" i="4" s="1"/>
  <c r="AV155" i="4"/>
  <c r="AW155" i="4" s="1"/>
  <c r="AS155" i="4"/>
  <c r="AT155" i="4" s="1"/>
  <c r="AU155" i="4" s="1"/>
  <c r="Y155" i="4"/>
  <c r="Z155" i="4" s="1"/>
  <c r="X155" i="4"/>
  <c r="AV154" i="4"/>
  <c r="AW154" i="4" s="1"/>
  <c r="AS154" i="4"/>
  <c r="AT154" i="4" s="1"/>
  <c r="AU154" i="4" s="1"/>
  <c r="X154" i="4"/>
  <c r="Y154" i="4" s="1"/>
  <c r="Z154" i="4" s="1"/>
  <c r="AW153" i="4"/>
  <c r="AV153" i="4"/>
  <c r="AS153" i="4"/>
  <c r="AT153" i="4" s="1"/>
  <c r="AU153" i="4" s="1"/>
  <c r="Y153" i="4"/>
  <c r="Z153" i="4" s="1"/>
  <c r="X153" i="4"/>
  <c r="AV152" i="4"/>
  <c r="AW152" i="4" s="1"/>
  <c r="AS152" i="4"/>
  <c r="AT152" i="4" s="1"/>
  <c r="AU152" i="4" s="1"/>
  <c r="X152" i="4"/>
  <c r="Y152" i="4" s="1"/>
  <c r="Z152" i="4" s="1"/>
  <c r="AV151" i="4"/>
  <c r="AW151" i="4" s="1"/>
  <c r="AS151" i="4"/>
  <c r="AT151" i="4" s="1"/>
  <c r="AU151" i="4" s="1"/>
  <c r="X151" i="4"/>
  <c r="Y151" i="4" s="1"/>
  <c r="Z151" i="4" s="1"/>
  <c r="AV150" i="4"/>
  <c r="AW150" i="4" s="1"/>
  <c r="AS150" i="4"/>
  <c r="AT150" i="4" s="1"/>
  <c r="AU150" i="4" s="1"/>
  <c r="X150" i="4"/>
  <c r="Y150" i="4" s="1"/>
  <c r="Z150" i="4" s="1"/>
  <c r="AV149" i="4"/>
  <c r="AW149" i="4" s="1"/>
  <c r="AS149" i="4"/>
  <c r="AT149" i="4" s="1"/>
  <c r="AU149" i="4" s="1"/>
  <c r="X149" i="4"/>
  <c r="Y149" i="4" s="1"/>
  <c r="Z149" i="4" s="1"/>
  <c r="AV148" i="4"/>
  <c r="AW148" i="4" s="1"/>
  <c r="AT148" i="4"/>
  <c r="AU148" i="4" s="1"/>
  <c r="AS148" i="4"/>
  <c r="X148" i="4"/>
  <c r="Y148" i="4" s="1"/>
  <c r="Z148" i="4" s="1"/>
  <c r="AV147" i="4"/>
  <c r="AW147" i="4" s="1"/>
  <c r="AT147" i="4"/>
  <c r="AU147" i="4" s="1"/>
  <c r="X147" i="4"/>
  <c r="Y147" i="4" s="1"/>
  <c r="Z147" i="4" s="1"/>
  <c r="AW146" i="4"/>
  <c r="AV146" i="4"/>
  <c r="AS146" i="4"/>
  <c r="AT146" i="4" s="1"/>
  <c r="AU146" i="4" s="1"/>
  <c r="X146" i="4"/>
  <c r="Y146" i="4" s="1"/>
  <c r="Z146" i="4" s="1"/>
  <c r="AW145" i="4"/>
  <c r="AV145" i="4"/>
  <c r="AS145" i="4"/>
  <c r="AT145" i="4" s="1"/>
  <c r="AU145" i="4" s="1"/>
  <c r="X145" i="4"/>
  <c r="Y145" i="4" s="1"/>
  <c r="Z145" i="4" s="1"/>
  <c r="AV144" i="4"/>
  <c r="AW144" i="4" s="1"/>
  <c r="AU144" i="4"/>
  <c r="AS144" i="4"/>
  <c r="AT144" i="4" s="1"/>
  <c r="X144" i="4"/>
  <c r="Y144" i="4" s="1"/>
  <c r="Z144" i="4" s="1"/>
  <c r="AW143" i="4"/>
  <c r="AV143" i="4"/>
  <c r="AS143" i="4"/>
  <c r="AT143" i="4" s="1"/>
  <c r="AU143" i="4" s="1"/>
  <c r="X143" i="4"/>
  <c r="Y143" i="4" s="1"/>
  <c r="Z143" i="4" s="1"/>
  <c r="AV142" i="4"/>
  <c r="AW142" i="4" s="1"/>
  <c r="AS142" i="4"/>
  <c r="AT142" i="4" s="1"/>
  <c r="AU142" i="4" s="1"/>
  <c r="X142" i="4"/>
  <c r="Y142" i="4" s="1"/>
  <c r="Z142" i="4" s="1"/>
  <c r="AV141" i="4"/>
  <c r="AW141" i="4" s="1"/>
  <c r="AS141" i="4"/>
  <c r="AT141" i="4" s="1"/>
  <c r="AU141" i="4" s="1"/>
  <c r="X141" i="4"/>
  <c r="Y141" i="4" s="1"/>
  <c r="Z141" i="4" s="1"/>
  <c r="AV140" i="4"/>
  <c r="AW140" i="4" s="1"/>
  <c r="AS140" i="4"/>
  <c r="AT140" i="4" s="1"/>
  <c r="AU140" i="4" s="1"/>
  <c r="Y140" i="4"/>
  <c r="Z140" i="4" s="1"/>
  <c r="X140" i="4"/>
  <c r="AV139" i="4"/>
  <c r="AW139" i="4" s="1"/>
  <c r="AS139" i="4"/>
  <c r="AT139" i="4" s="1"/>
  <c r="AU139" i="4" s="1"/>
  <c r="X139" i="4"/>
  <c r="Y139" i="4" s="1"/>
  <c r="Z139" i="4" s="1"/>
  <c r="AV138" i="4"/>
  <c r="AW138" i="4" s="1"/>
  <c r="AS138" i="4"/>
  <c r="AT138" i="4" s="1"/>
  <c r="AU138" i="4" s="1"/>
  <c r="X138" i="4"/>
  <c r="Y138" i="4" s="1"/>
  <c r="Z138" i="4" s="1"/>
  <c r="AW137" i="4"/>
  <c r="AV137" i="4"/>
  <c r="AU137" i="4"/>
  <c r="AS137" i="4"/>
  <c r="AT137" i="4" s="1"/>
  <c r="X137" i="4"/>
  <c r="Y137" i="4" s="1"/>
  <c r="Z137" i="4" s="1"/>
  <c r="AV136" i="4"/>
  <c r="AW136" i="4" s="1"/>
  <c r="AS136" i="4"/>
  <c r="AT136" i="4" s="1"/>
  <c r="AU136" i="4" s="1"/>
  <c r="X136" i="4"/>
  <c r="Y136" i="4" s="1"/>
  <c r="Z136" i="4" s="1"/>
  <c r="AV135" i="4"/>
  <c r="AW135" i="4" s="1"/>
  <c r="AS135" i="4"/>
  <c r="AT135" i="4" s="1"/>
  <c r="AU135" i="4" s="1"/>
  <c r="X135" i="4"/>
  <c r="Y135" i="4" s="1"/>
  <c r="Z135" i="4" s="1"/>
  <c r="AV134" i="4"/>
  <c r="AW134" i="4" s="1"/>
  <c r="AS134" i="4"/>
  <c r="AT134" i="4" s="1"/>
  <c r="AU134" i="4" s="1"/>
  <c r="X134" i="4"/>
  <c r="Y134" i="4" s="1"/>
  <c r="Z134" i="4" s="1"/>
  <c r="AV133" i="4"/>
  <c r="AW133" i="4" s="1"/>
  <c r="AS133" i="4"/>
  <c r="AT133" i="4" s="1"/>
  <c r="AU133" i="4" s="1"/>
  <c r="X133" i="4"/>
  <c r="Y133" i="4" s="1"/>
  <c r="Z133" i="4" s="1"/>
  <c r="AV132" i="4"/>
  <c r="AW132" i="4" s="1"/>
  <c r="AS132" i="4"/>
  <c r="AT132" i="4" s="1"/>
  <c r="AU132" i="4" s="1"/>
  <c r="X132" i="4"/>
  <c r="Y132" i="4" s="1"/>
  <c r="Z132" i="4" s="1"/>
  <c r="AW131" i="4"/>
  <c r="AV131" i="4"/>
  <c r="AS131" i="4"/>
  <c r="AT131" i="4" s="1"/>
  <c r="AU131" i="4" s="1"/>
  <c r="X131" i="4"/>
  <c r="Y131" i="4" s="1"/>
  <c r="Z131" i="4" s="1"/>
  <c r="AV130" i="4"/>
  <c r="AW130" i="4" s="1"/>
  <c r="AS130" i="4"/>
  <c r="AT130" i="4" s="1"/>
  <c r="AU130" i="4" s="1"/>
  <c r="X130" i="4"/>
  <c r="Y130" i="4" s="1"/>
  <c r="Z130" i="4" s="1"/>
  <c r="AV129" i="4"/>
  <c r="AW129" i="4" s="1"/>
  <c r="AU129" i="4"/>
  <c r="AS129" i="4"/>
  <c r="AT129" i="4" s="1"/>
  <c r="X129" i="4"/>
  <c r="Y129" i="4" s="1"/>
  <c r="Z129" i="4" s="1"/>
  <c r="AV128" i="4"/>
  <c r="AW128" i="4" s="1"/>
  <c r="AS128" i="4"/>
  <c r="AT128" i="4" s="1"/>
  <c r="AU128" i="4" s="1"/>
  <c r="X128" i="4"/>
  <c r="Y128" i="4" s="1"/>
  <c r="Z128" i="4" s="1"/>
  <c r="AV127" i="4"/>
  <c r="AW127" i="4" s="1"/>
  <c r="AS127" i="4"/>
  <c r="AT127" i="4" s="1"/>
  <c r="AU127" i="4" s="1"/>
  <c r="X127" i="4"/>
  <c r="Y127" i="4" s="1"/>
  <c r="Z127" i="4" s="1"/>
  <c r="AV126" i="4"/>
  <c r="AW126" i="4" s="1"/>
  <c r="AS126" i="4"/>
  <c r="AT126" i="4" s="1"/>
  <c r="AU126" i="4" s="1"/>
  <c r="X126" i="4"/>
  <c r="Y126" i="4" s="1"/>
  <c r="Z126" i="4" s="1"/>
  <c r="AV125" i="4"/>
  <c r="AW125" i="4" s="1"/>
  <c r="AU125" i="4"/>
  <c r="AS125" i="4"/>
  <c r="AT125" i="4" s="1"/>
  <c r="Y125" i="4"/>
  <c r="Z125" i="4" s="1"/>
  <c r="X125" i="4"/>
  <c r="AV124" i="4"/>
  <c r="AW124" i="4" s="1"/>
  <c r="AS124" i="4"/>
  <c r="AT124" i="4" s="1"/>
  <c r="AU124" i="4" s="1"/>
  <c r="X124" i="4"/>
  <c r="Y124" i="4" s="1"/>
  <c r="Z124" i="4" s="1"/>
  <c r="AV123" i="4"/>
  <c r="AW123" i="4" s="1"/>
  <c r="AS123" i="4"/>
  <c r="AT123" i="4" s="1"/>
  <c r="AU123" i="4" s="1"/>
  <c r="X123" i="4"/>
  <c r="Y123" i="4" s="1"/>
  <c r="Z123" i="4" s="1"/>
  <c r="AV122" i="4"/>
  <c r="AW122" i="4" s="1"/>
  <c r="AS122" i="4"/>
  <c r="AT122" i="4" s="1"/>
  <c r="AU122" i="4" s="1"/>
  <c r="Y122" i="4"/>
  <c r="Z122" i="4" s="1"/>
  <c r="X122" i="4"/>
  <c r="AV121" i="4"/>
  <c r="AW121" i="4" s="1"/>
  <c r="AU121" i="4"/>
  <c r="AS121" i="4"/>
  <c r="AT121" i="4" s="1"/>
  <c r="X121" i="4"/>
  <c r="Y121" i="4" s="1"/>
  <c r="Z121" i="4" s="1"/>
  <c r="AV120" i="4"/>
  <c r="AW120" i="4" s="1"/>
  <c r="AS120" i="4"/>
  <c r="AT120" i="4" s="1"/>
  <c r="AU120" i="4" s="1"/>
  <c r="X120" i="4"/>
  <c r="Y120" i="4" s="1"/>
  <c r="Z120" i="4" s="1"/>
  <c r="AV119" i="4"/>
  <c r="AW119" i="4" s="1"/>
  <c r="AU119" i="4"/>
  <c r="AS119" i="4"/>
  <c r="AT119" i="4" s="1"/>
  <c r="X119" i="4"/>
  <c r="Y119" i="4" s="1"/>
  <c r="Z119" i="4" s="1"/>
  <c r="AV118" i="4"/>
  <c r="AW118" i="4" s="1"/>
  <c r="AS118" i="4"/>
  <c r="AT118" i="4" s="1"/>
  <c r="AU118" i="4" s="1"/>
  <c r="X118" i="4"/>
  <c r="Y118" i="4" s="1"/>
  <c r="Z118" i="4" s="1"/>
  <c r="AV117" i="4"/>
  <c r="AW117" i="4" s="1"/>
  <c r="AU117" i="4"/>
  <c r="AS117" i="4"/>
  <c r="AT117" i="4" s="1"/>
  <c r="X117" i="4"/>
  <c r="Y117" i="4" s="1"/>
  <c r="Z117" i="4" s="1"/>
  <c r="AV116" i="4"/>
  <c r="AW116" i="4" s="1"/>
  <c r="AS116" i="4"/>
  <c r="AT116" i="4" s="1"/>
  <c r="AU116" i="4" s="1"/>
  <c r="X116" i="4"/>
  <c r="Y116" i="4" s="1"/>
  <c r="Z116" i="4" s="1"/>
  <c r="AW115" i="4"/>
  <c r="AV115" i="4"/>
  <c r="AS115" i="4"/>
  <c r="AT115" i="4" s="1"/>
  <c r="AU115" i="4" s="1"/>
  <c r="Y115" i="4"/>
  <c r="Z115" i="4" s="1"/>
  <c r="X115" i="4"/>
  <c r="AW114" i="4"/>
  <c r="AV114" i="4"/>
  <c r="AS114" i="4"/>
  <c r="AT114" i="4" s="1"/>
  <c r="AU114" i="4" s="1"/>
  <c r="Y114" i="4"/>
  <c r="Z114" i="4" s="1"/>
  <c r="X114" i="4"/>
  <c r="AV113" i="4"/>
  <c r="AW113" i="4" s="1"/>
  <c r="AS113" i="4"/>
  <c r="AT113" i="4" s="1"/>
  <c r="AU113" i="4" s="1"/>
  <c r="Y113" i="4"/>
  <c r="Z113" i="4" s="1"/>
  <c r="X113" i="4"/>
  <c r="AV112" i="4"/>
  <c r="AW112" i="4" s="1"/>
  <c r="AS112" i="4"/>
  <c r="AT112" i="4" s="1"/>
  <c r="AU112" i="4" s="1"/>
  <c r="X112" i="4"/>
  <c r="Y112" i="4" s="1"/>
  <c r="Z112" i="4" s="1"/>
  <c r="AV111" i="4"/>
  <c r="AW111" i="4" s="1"/>
  <c r="AS111" i="4"/>
  <c r="AT111" i="4" s="1"/>
  <c r="AU111" i="4" s="1"/>
  <c r="X111" i="4"/>
  <c r="Y111" i="4" s="1"/>
  <c r="Z111" i="4" s="1"/>
  <c r="AW110" i="4"/>
  <c r="AV110" i="4"/>
  <c r="AS110" i="4"/>
  <c r="AT110" i="4" s="1"/>
  <c r="AU110" i="4" s="1"/>
  <c r="X110" i="4"/>
  <c r="Y110" i="4" s="1"/>
  <c r="Z110" i="4" s="1"/>
  <c r="AV109" i="4"/>
  <c r="AW109" i="4" s="1"/>
  <c r="AS109" i="4"/>
  <c r="AT109" i="4" s="1"/>
  <c r="AU109" i="4" s="1"/>
  <c r="X109" i="4"/>
  <c r="Y109" i="4" s="1"/>
  <c r="Z109" i="4" s="1"/>
  <c r="AW108" i="4"/>
  <c r="AV108" i="4"/>
  <c r="AS108" i="4"/>
  <c r="AT108" i="4" s="1"/>
  <c r="AU108" i="4" s="1"/>
  <c r="X108" i="4"/>
  <c r="Y108" i="4" s="1"/>
  <c r="Z108" i="4" s="1"/>
  <c r="AW107" i="4"/>
  <c r="AV107" i="4"/>
  <c r="AS107" i="4"/>
  <c r="AT107" i="4" s="1"/>
  <c r="AU107" i="4" s="1"/>
  <c r="Y107" i="4"/>
  <c r="Z107" i="4" s="1"/>
  <c r="X107" i="4"/>
  <c r="AW106" i="4"/>
  <c r="AV106" i="4"/>
  <c r="AT106" i="4"/>
  <c r="AU106" i="4" s="1"/>
  <c r="Z106" i="4"/>
  <c r="Y106" i="4"/>
  <c r="AV105" i="4"/>
  <c r="AW105" i="4" s="1"/>
  <c r="AT105" i="4"/>
  <c r="AU105" i="4" s="1"/>
  <c r="AS105" i="4"/>
  <c r="X105" i="4"/>
  <c r="Y105" i="4" s="1"/>
  <c r="Z105" i="4" s="1"/>
  <c r="AV104" i="4"/>
  <c r="AW104" i="4" s="1"/>
  <c r="AS104" i="4"/>
  <c r="AT104" i="4" s="1"/>
  <c r="AU104" i="4" s="1"/>
  <c r="X104" i="4"/>
  <c r="Y104" i="4" s="1"/>
  <c r="Z104" i="4" s="1"/>
  <c r="AW103" i="4"/>
  <c r="AV103" i="4"/>
  <c r="AT103" i="4"/>
  <c r="AU103" i="4" s="1"/>
  <c r="AS103" i="4"/>
  <c r="Y103" i="4"/>
  <c r="Z103" i="4" s="1"/>
  <c r="X103" i="4"/>
  <c r="AV102" i="4"/>
  <c r="AW102" i="4" s="1"/>
  <c r="AS102" i="4"/>
  <c r="AT102" i="4" s="1"/>
  <c r="AU102" i="4" s="1"/>
  <c r="X102" i="4"/>
  <c r="Y102" i="4" s="1"/>
  <c r="Z102" i="4" s="1"/>
  <c r="AV101" i="4"/>
  <c r="AW101" i="4" s="1"/>
  <c r="AS101" i="4"/>
  <c r="AT101" i="4" s="1"/>
  <c r="AU101" i="4" s="1"/>
  <c r="Y101" i="4"/>
  <c r="Z101" i="4" s="1"/>
  <c r="X101" i="4"/>
  <c r="AW100" i="4"/>
  <c r="AV100" i="4"/>
  <c r="AT100" i="4"/>
  <c r="AU100" i="4" s="1"/>
  <c r="AS100" i="4"/>
  <c r="X100" i="4"/>
  <c r="Y100" i="4" s="1"/>
  <c r="Z100" i="4" s="1"/>
  <c r="AV99" i="4"/>
  <c r="AW99" i="4" s="1"/>
  <c r="AT99" i="4"/>
  <c r="AU99" i="4" s="1"/>
  <c r="Z99" i="4"/>
  <c r="AV98" i="4"/>
  <c r="AW98" i="4" s="1"/>
  <c r="AS98" i="4"/>
  <c r="AT98" i="4" s="1"/>
  <c r="AU98" i="4" s="1"/>
  <c r="Y98" i="4"/>
  <c r="Z98" i="4" s="1"/>
  <c r="X98" i="4"/>
  <c r="AV97" i="4"/>
  <c r="AW97" i="4" s="1"/>
  <c r="AT97" i="4"/>
  <c r="AU97" i="4" s="1"/>
  <c r="AS97" i="4"/>
  <c r="Y97" i="4"/>
  <c r="Z97" i="4" s="1"/>
  <c r="X97" i="4"/>
  <c r="AV96" i="4"/>
  <c r="AW96" i="4" s="1"/>
  <c r="AS96" i="4"/>
  <c r="AT96" i="4" s="1"/>
  <c r="AU96" i="4" s="1"/>
  <c r="Z96" i="4"/>
  <c r="Y96" i="4"/>
  <c r="X96" i="4"/>
  <c r="AV95" i="4"/>
  <c r="AW95" i="4" s="1"/>
  <c r="AS95" i="4"/>
  <c r="AT95" i="4" s="1"/>
  <c r="AU95" i="4" s="1"/>
  <c r="X95" i="4"/>
  <c r="Y95" i="4" s="1"/>
  <c r="Z95" i="4" s="1"/>
  <c r="AV94" i="4"/>
  <c r="AW94" i="4" s="1"/>
  <c r="AS94" i="4"/>
  <c r="AT94" i="4" s="1"/>
  <c r="AU94" i="4" s="1"/>
  <c r="Y94" i="4"/>
  <c r="Z94" i="4" s="1"/>
  <c r="X94" i="4"/>
  <c r="AV93" i="4"/>
  <c r="AW93" i="4" s="1"/>
  <c r="AT93" i="4"/>
  <c r="AU93" i="4" s="1"/>
  <c r="AS93" i="4"/>
  <c r="Y93" i="4"/>
  <c r="Z93" i="4" s="1"/>
  <c r="X93" i="4"/>
  <c r="AV92" i="4"/>
  <c r="AW92" i="4" s="1"/>
  <c r="AS92" i="4"/>
  <c r="AT92" i="4" s="1"/>
  <c r="AU92" i="4" s="1"/>
  <c r="Z92" i="4"/>
  <c r="Y92" i="4"/>
  <c r="X92" i="4"/>
  <c r="AV91" i="4"/>
  <c r="AW91" i="4" s="1"/>
  <c r="AU91" i="4"/>
  <c r="Z91" i="4"/>
  <c r="Y91" i="4"/>
  <c r="AV90" i="4"/>
  <c r="AW90" i="4" s="1"/>
  <c r="AS90" i="4"/>
  <c r="AT90" i="4" s="1"/>
  <c r="AU90" i="4" s="1"/>
  <c r="X90" i="4"/>
  <c r="Y90" i="4" s="1"/>
  <c r="Z90" i="4" s="1"/>
  <c r="AV89" i="4"/>
  <c r="AW89" i="4" s="1"/>
  <c r="AS89" i="4"/>
  <c r="AT89" i="4" s="1"/>
  <c r="AU89" i="4" s="1"/>
  <c r="X89" i="4"/>
  <c r="Y89" i="4" s="1"/>
  <c r="Z89" i="4" s="1"/>
  <c r="AW88" i="4"/>
  <c r="AV88" i="4"/>
  <c r="AS88" i="4"/>
  <c r="AT88" i="4" s="1"/>
  <c r="AU88" i="4" s="1"/>
  <c r="X88" i="4"/>
  <c r="Y88" i="4" s="1"/>
  <c r="Z88" i="4" s="1"/>
  <c r="AV87" i="4"/>
  <c r="AW87" i="4" s="1"/>
  <c r="AS87" i="4"/>
  <c r="AT87" i="4" s="1"/>
  <c r="AU87" i="4" s="1"/>
  <c r="Y87" i="4"/>
  <c r="Z87" i="4" s="1"/>
  <c r="AV86" i="4"/>
  <c r="AW86" i="4" s="1"/>
  <c r="AS86" i="4"/>
  <c r="AT86" i="4" s="1"/>
  <c r="AU86" i="4" s="1"/>
  <c r="X86" i="4"/>
  <c r="Y86" i="4" s="1"/>
  <c r="Z86" i="4" s="1"/>
  <c r="AV85" i="4"/>
  <c r="AW85" i="4" s="1"/>
  <c r="AS85" i="4"/>
  <c r="AT85" i="4" s="1"/>
  <c r="AU85" i="4" s="1"/>
  <c r="X85" i="4"/>
  <c r="Y85" i="4" s="1"/>
  <c r="Z85" i="4" s="1"/>
  <c r="AV84" i="4"/>
  <c r="AW84" i="4" s="1"/>
  <c r="AS84" i="4"/>
  <c r="AT84" i="4" s="1"/>
  <c r="AU84" i="4" s="1"/>
  <c r="X84" i="4"/>
  <c r="Y84" i="4" s="1"/>
  <c r="Z84" i="4" s="1"/>
  <c r="AV83" i="4"/>
  <c r="AW83" i="4" s="1"/>
  <c r="AS83" i="4"/>
  <c r="AT83" i="4" s="1"/>
  <c r="AU83" i="4" s="1"/>
  <c r="X83" i="4"/>
  <c r="Y83" i="4" s="1"/>
  <c r="Z83" i="4" s="1"/>
  <c r="AW82" i="4"/>
  <c r="AT82" i="4"/>
  <c r="AU82" i="4" s="1"/>
  <c r="AS82" i="4"/>
  <c r="X82" i="4"/>
  <c r="Y82" i="4" s="1"/>
  <c r="Z82" i="4" s="1"/>
  <c r="AV81" i="4"/>
  <c r="AW81" i="4" s="1"/>
  <c r="AS81" i="4"/>
  <c r="AT81" i="4" s="1"/>
  <c r="AU81" i="4" s="1"/>
  <c r="Y81" i="4"/>
  <c r="Z81" i="4" s="1"/>
  <c r="X81" i="4"/>
  <c r="AW80" i="4"/>
  <c r="AV80" i="4"/>
  <c r="AS80" i="4"/>
  <c r="AT80" i="4" s="1"/>
  <c r="AU80" i="4" s="1"/>
  <c r="Y80" i="4"/>
  <c r="Z80" i="4" s="1"/>
  <c r="X80" i="4"/>
  <c r="AV79" i="4"/>
  <c r="AW79" i="4" s="1"/>
  <c r="AT79" i="4"/>
  <c r="AU79" i="4" s="1"/>
  <c r="AS79" i="4"/>
  <c r="X79" i="4"/>
  <c r="Y79" i="4" s="1"/>
  <c r="Z79" i="4" s="1"/>
  <c r="AW78" i="4"/>
  <c r="AV78" i="4"/>
  <c r="AS78" i="4"/>
  <c r="AT78" i="4" s="1"/>
  <c r="AU78" i="4" s="1"/>
  <c r="X78" i="4"/>
  <c r="Y78" i="4" s="1"/>
  <c r="Z78" i="4" s="1"/>
  <c r="AW77" i="4"/>
  <c r="AV77" i="4"/>
  <c r="AT77" i="4"/>
  <c r="AU77" i="4" s="1"/>
  <c r="AS77" i="4"/>
  <c r="Y77" i="4"/>
  <c r="Z77" i="4" s="1"/>
  <c r="X77" i="4"/>
  <c r="AV76" i="4"/>
  <c r="AW76" i="4" s="1"/>
  <c r="AS76" i="4"/>
  <c r="AT76" i="4" s="1"/>
  <c r="AU76" i="4" s="1"/>
  <c r="X76" i="4"/>
  <c r="Y76" i="4" s="1"/>
  <c r="Z76" i="4" s="1"/>
  <c r="AV75" i="4"/>
  <c r="AW75" i="4" s="1"/>
  <c r="AU75" i="4"/>
  <c r="AT75" i="4"/>
  <c r="AS75" i="4"/>
  <c r="Y75" i="4"/>
  <c r="Z75" i="4" s="1"/>
  <c r="X75" i="4"/>
  <c r="AW74" i="4"/>
  <c r="AV74" i="4"/>
  <c r="AT74" i="4"/>
  <c r="AU74" i="4" s="1"/>
  <c r="AS74" i="4"/>
  <c r="X74" i="4"/>
  <c r="Y74" i="4" s="1"/>
  <c r="Z74" i="4" s="1"/>
  <c r="AV73" i="4"/>
  <c r="AW73" i="4" s="1"/>
  <c r="AS73" i="4"/>
  <c r="AT73" i="4" s="1"/>
  <c r="AU73" i="4" s="1"/>
  <c r="Y73" i="4"/>
  <c r="Z73" i="4" s="1"/>
  <c r="X73" i="4"/>
  <c r="AW72" i="4"/>
  <c r="AV72" i="4"/>
  <c r="AS72" i="4"/>
  <c r="AT72" i="4" s="1"/>
  <c r="AU72" i="4" s="1"/>
  <c r="Y72" i="4"/>
  <c r="Z72" i="4" s="1"/>
  <c r="X72" i="4"/>
  <c r="AV71" i="4"/>
  <c r="AW71" i="4" s="1"/>
  <c r="AT71" i="4"/>
  <c r="AU71" i="4" s="1"/>
  <c r="AS71" i="4"/>
  <c r="X71" i="4"/>
  <c r="Y71" i="4" s="1"/>
  <c r="Z71" i="4" s="1"/>
  <c r="AW70" i="4"/>
  <c r="AV70" i="4"/>
  <c r="AS70" i="4"/>
  <c r="AT70" i="4" s="1"/>
  <c r="AU70" i="4" s="1"/>
  <c r="X70" i="4"/>
  <c r="Y70" i="4" s="1"/>
  <c r="Z70" i="4" s="1"/>
  <c r="AW69" i="4"/>
  <c r="AV69" i="4"/>
  <c r="AT69" i="4"/>
  <c r="AU69" i="4" s="1"/>
  <c r="AS69" i="4"/>
  <c r="Y69" i="4"/>
  <c r="Z69" i="4" s="1"/>
  <c r="X69" i="4"/>
  <c r="AV68" i="4"/>
  <c r="AW68" i="4" s="1"/>
  <c r="AS68" i="4"/>
  <c r="AT68" i="4" s="1"/>
  <c r="AU68" i="4" s="1"/>
  <c r="X68" i="4"/>
  <c r="Y68" i="4" s="1"/>
  <c r="Z68" i="4" s="1"/>
  <c r="AV67" i="4"/>
  <c r="AW67" i="4" s="1"/>
  <c r="AU67" i="4"/>
  <c r="AT67" i="4"/>
  <c r="AS67" i="4"/>
  <c r="Y67" i="4"/>
  <c r="Z67" i="4" s="1"/>
  <c r="X67" i="4"/>
  <c r="AW66" i="4"/>
  <c r="AV66" i="4"/>
  <c r="AT66" i="4"/>
  <c r="AU66" i="4" s="1"/>
  <c r="AS66" i="4"/>
  <c r="X66" i="4"/>
  <c r="Y66" i="4" s="1"/>
  <c r="Z66" i="4" s="1"/>
  <c r="AV65" i="4"/>
  <c r="AW65" i="4" s="1"/>
  <c r="AS65" i="4"/>
  <c r="AT65" i="4" s="1"/>
  <c r="AU65" i="4" s="1"/>
  <c r="Y65" i="4"/>
  <c r="Z65" i="4" s="1"/>
  <c r="X65" i="4"/>
  <c r="AW64" i="4"/>
  <c r="AV64" i="4"/>
  <c r="AS64" i="4"/>
  <c r="AT64" i="4" s="1"/>
  <c r="AU64" i="4" s="1"/>
  <c r="Y64" i="4"/>
  <c r="Z64" i="4" s="1"/>
  <c r="X64" i="4"/>
  <c r="AV63" i="4"/>
  <c r="AW63" i="4" s="1"/>
  <c r="AT63" i="4"/>
  <c r="AU63" i="4" s="1"/>
  <c r="AS63" i="4"/>
  <c r="X63" i="4"/>
  <c r="Y63" i="4" s="1"/>
  <c r="Z63" i="4" s="1"/>
  <c r="AW62" i="4"/>
  <c r="AV62" i="4"/>
  <c r="AS62" i="4"/>
  <c r="AT62" i="4" s="1"/>
  <c r="AU62" i="4" s="1"/>
  <c r="X62" i="4"/>
  <c r="Y62" i="4" s="1"/>
  <c r="Z62" i="4" s="1"/>
  <c r="AW61" i="4"/>
  <c r="AV61" i="4"/>
  <c r="AT61" i="4"/>
  <c r="AU61" i="4" s="1"/>
  <c r="AS61" i="4"/>
  <c r="Y61" i="4"/>
  <c r="Z61" i="4" s="1"/>
  <c r="X61" i="4"/>
  <c r="AV60" i="4"/>
  <c r="AW60" i="4" s="1"/>
  <c r="AS60" i="4"/>
  <c r="AT60" i="4" s="1"/>
  <c r="AU60" i="4" s="1"/>
  <c r="X60" i="4"/>
  <c r="Y60" i="4" s="1"/>
  <c r="Z60" i="4" s="1"/>
  <c r="AV59" i="4"/>
  <c r="AW59" i="4" s="1"/>
  <c r="AU59" i="4"/>
  <c r="AT59" i="4"/>
  <c r="AS59" i="4"/>
  <c r="Y59" i="4"/>
  <c r="Z59" i="4" s="1"/>
  <c r="X59" i="4"/>
  <c r="AW58" i="4"/>
  <c r="AV58" i="4"/>
  <c r="AT58" i="4"/>
  <c r="AU58" i="4" s="1"/>
  <c r="AS58" i="4"/>
  <c r="X58" i="4"/>
  <c r="Y58" i="4" s="1"/>
  <c r="Z58" i="4" s="1"/>
  <c r="AV57" i="4"/>
  <c r="AW57" i="4" s="1"/>
  <c r="AS57" i="4"/>
  <c r="AT57" i="4" s="1"/>
  <c r="AU57" i="4" s="1"/>
  <c r="Y57" i="4"/>
  <c r="Z57" i="4" s="1"/>
  <c r="X57" i="4"/>
  <c r="AW56" i="4"/>
  <c r="AV56" i="4"/>
  <c r="AS56" i="4"/>
  <c r="AT56" i="4" s="1"/>
  <c r="AU56" i="4" s="1"/>
  <c r="Y56" i="4"/>
  <c r="Z56" i="4" s="1"/>
  <c r="X56" i="4"/>
  <c r="AV55" i="4"/>
  <c r="AW55" i="4" s="1"/>
  <c r="AT55" i="4"/>
  <c r="AU55" i="4" s="1"/>
  <c r="AS55" i="4"/>
  <c r="X55" i="4"/>
  <c r="Y55" i="4" s="1"/>
  <c r="Z55" i="4" s="1"/>
  <c r="AW54" i="4"/>
  <c r="AV54" i="4"/>
  <c r="AS54" i="4"/>
  <c r="AT54" i="4" s="1"/>
  <c r="AU54" i="4" s="1"/>
  <c r="X54" i="4"/>
  <c r="Y54" i="4" s="1"/>
  <c r="Z54" i="4" s="1"/>
  <c r="AW53" i="4"/>
  <c r="AV53" i="4"/>
  <c r="AT53" i="4"/>
  <c r="AU53" i="4" s="1"/>
  <c r="AS53" i="4"/>
  <c r="Y53" i="4"/>
  <c r="Z53" i="4" s="1"/>
  <c r="X53" i="4"/>
  <c r="AV52" i="4"/>
  <c r="AW52" i="4" s="1"/>
  <c r="AS52" i="4"/>
  <c r="AT52" i="4" s="1"/>
  <c r="AU52" i="4" s="1"/>
  <c r="X52" i="4"/>
  <c r="Y52" i="4" s="1"/>
  <c r="Z52" i="4" s="1"/>
  <c r="AV51" i="4"/>
  <c r="AW51" i="4" s="1"/>
  <c r="AU51" i="4"/>
  <c r="AT51" i="4"/>
  <c r="AS51" i="4"/>
  <c r="Y51" i="4"/>
  <c r="Z51" i="4" s="1"/>
  <c r="X51" i="4"/>
  <c r="AW50" i="4"/>
  <c r="AV50" i="4"/>
  <c r="AT50" i="4"/>
  <c r="AU50" i="4" s="1"/>
  <c r="AS50" i="4"/>
  <c r="X50" i="4"/>
  <c r="Y50" i="4" s="1"/>
  <c r="Z50" i="4" s="1"/>
  <c r="AV49" i="4"/>
  <c r="AW49" i="4" s="1"/>
  <c r="AS49" i="4"/>
  <c r="AT49" i="4" s="1"/>
  <c r="AU49" i="4" s="1"/>
  <c r="Y49" i="4"/>
  <c r="Z49" i="4" s="1"/>
  <c r="X49" i="4"/>
  <c r="AW48" i="4"/>
  <c r="AV48" i="4"/>
  <c r="AS48" i="4"/>
  <c r="AT48" i="4" s="1"/>
  <c r="AU48" i="4" s="1"/>
  <c r="Y48" i="4"/>
  <c r="Z48" i="4" s="1"/>
  <c r="X48" i="4"/>
  <c r="AV47" i="4"/>
  <c r="AW47" i="4" s="1"/>
  <c r="AT47" i="4"/>
  <c r="AU47" i="4" s="1"/>
  <c r="AS47" i="4"/>
  <c r="X47" i="4"/>
  <c r="Y47" i="4" s="1"/>
  <c r="Z47" i="4" s="1"/>
  <c r="AW46" i="4"/>
  <c r="AV46" i="4"/>
  <c r="AS46" i="4"/>
  <c r="AT46" i="4" s="1"/>
  <c r="AU46" i="4" s="1"/>
  <c r="X46" i="4"/>
  <c r="Y46" i="4" s="1"/>
  <c r="Z46" i="4" s="1"/>
  <c r="AW45" i="4"/>
  <c r="AV45" i="4"/>
  <c r="AT45" i="4"/>
  <c r="AU45" i="4" s="1"/>
  <c r="AS45" i="4"/>
  <c r="Y45" i="4"/>
  <c r="Z45" i="4" s="1"/>
  <c r="X45" i="4"/>
  <c r="AV44" i="4"/>
  <c r="AW44" i="4" s="1"/>
  <c r="AS44" i="4"/>
  <c r="AT44" i="4" s="1"/>
  <c r="AU44" i="4" s="1"/>
  <c r="X44" i="4"/>
  <c r="Y44" i="4" s="1"/>
  <c r="Z44" i="4" s="1"/>
  <c r="AV43" i="4"/>
  <c r="AW43" i="4" s="1"/>
  <c r="AU43" i="4"/>
  <c r="AT43" i="4"/>
  <c r="AS43" i="4"/>
  <c r="Y43" i="4"/>
  <c r="Z43" i="4" s="1"/>
  <c r="X43" i="4"/>
  <c r="AW42" i="4"/>
  <c r="AV42" i="4"/>
  <c r="AT42" i="4"/>
  <c r="AU42" i="4" s="1"/>
  <c r="AS42" i="4"/>
  <c r="X42" i="4"/>
  <c r="Y42" i="4" s="1"/>
  <c r="Z42" i="4" s="1"/>
  <c r="AV41" i="4"/>
  <c r="AW41" i="4" s="1"/>
  <c r="AS41" i="4"/>
  <c r="AT41" i="4" s="1"/>
  <c r="AU41" i="4" s="1"/>
  <c r="Y41" i="4"/>
  <c r="Z41" i="4" s="1"/>
  <c r="X41" i="4"/>
  <c r="AW40" i="4"/>
  <c r="AV40" i="4"/>
  <c r="AS40" i="4"/>
  <c r="AT40" i="4" s="1"/>
  <c r="AU40" i="4" s="1"/>
  <c r="Y40" i="4"/>
  <c r="Z40" i="4" s="1"/>
  <c r="X40" i="4"/>
  <c r="AV39" i="4"/>
  <c r="AW39" i="4" s="1"/>
  <c r="AT39" i="4"/>
  <c r="AU39" i="4" s="1"/>
  <c r="AS39" i="4"/>
  <c r="X39" i="4"/>
  <c r="Y39" i="4" s="1"/>
  <c r="Z39" i="4" s="1"/>
  <c r="AW38" i="4"/>
  <c r="AV38" i="4"/>
  <c r="AS38" i="4"/>
  <c r="AT38" i="4" s="1"/>
  <c r="AU38" i="4" s="1"/>
  <c r="X38" i="4"/>
  <c r="Y38" i="4" s="1"/>
  <c r="Z38" i="4" s="1"/>
  <c r="AW37" i="4"/>
  <c r="AV37" i="4"/>
  <c r="AT37" i="4"/>
  <c r="AU37" i="4" s="1"/>
  <c r="AS37" i="4"/>
  <c r="Y37" i="4"/>
  <c r="Z37" i="4" s="1"/>
  <c r="X37" i="4"/>
  <c r="AV36" i="4"/>
  <c r="AW36" i="4" s="1"/>
  <c r="AS36" i="4"/>
  <c r="AT36" i="4" s="1"/>
  <c r="AU36" i="4" s="1"/>
  <c r="X36" i="4"/>
  <c r="Y36" i="4" s="1"/>
  <c r="Z36" i="4" s="1"/>
  <c r="AV35" i="4"/>
  <c r="AW35" i="4" s="1"/>
  <c r="AU35" i="4"/>
  <c r="AT35" i="4"/>
  <c r="AS35" i="4"/>
  <c r="Y35" i="4"/>
  <c r="Z35" i="4" s="1"/>
  <c r="X35" i="4"/>
  <c r="AW34" i="4"/>
  <c r="AU34" i="4"/>
  <c r="Z34" i="4"/>
  <c r="AW33" i="4"/>
  <c r="AV33" i="4"/>
  <c r="AS33" i="4"/>
  <c r="AT33" i="4" s="1"/>
  <c r="AU33" i="4" s="1"/>
  <c r="X33" i="4"/>
  <c r="Y33" i="4" s="1"/>
  <c r="Z33" i="4" s="1"/>
  <c r="AW32" i="4"/>
  <c r="AV32" i="4"/>
  <c r="AS32" i="4"/>
  <c r="AT32" i="4" s="1"/>
  <c r="AU32" i="4" s="1"/>
  <c r="X32" i="4"/>
  <c r="Y32" i="4" s="1"/>
  <c r="Z32" i="4" s="1"/>
  <c r="AV31" i="4"/>
  <c r="AW31" i="4" s="1"/>
  <c r="AS31" i="4"/>
  <c r="AT31" i="4" s="1"/>
  <c r="AU31" i="4" s="1"/>
  <c r="X31" i="4"/>
  <c r="Y31" i="4" s="1"/>
  <c r="Z31" i="4" s="1"/>
  <c r="AV30" i="4"/>
  <c r="AW30" i="4" s="1"/>
  <c r="AT30" i="4"/>
  <c r="AU30" i="4" s="1"/>
  <c r="AS30" i="4"/>
  <c r="X30" i="4"/>
  <c r="Y30" i="4" s="1"/>
  <c r="Z30" i="4" s="1"/>
  <c r="AV29" i="4"/>
  <c r="AW29" i="4" s="1"/>
  <c r="AT29" i="4"/>
  <c r="AU29" i="4" s="1"/>
  <c r="AS29" i="4"/>
  <c r="X29" i="4"/>
  <c r="Y29" i="4" s="1"/>
  <c r="Z29" i="4" s="1"/>
  <c r="AW28" i="4"/>
  <c r="AV28" i="4"/>
  <c r="AT28" i="4"/>
  <c r="AU28" i="4" s="1"/>
  <c r="AS28" i="4"/>
  <c r="X28" i="4"/>
  <c r="Y28" i="4" s="1"/>
  <c r="Z28" i="4" s="1"/>
  <c r="AW27" i="4"/>
  <c r="AV27" i="4"/>
  <c r="AT27" i="4"/>
  <c r="AU27" i="4" s="1"/>
  <c r="AS27" i="4"/>
  <c r="X27" i="4"/>
  <c r="Y27" i="4" s="1"/>
  <c r="Z27" i="4" s="1"/>
  <c r="AW26" i="4"/>
  <c r="AV26" i="4"/>
  <c r="AT26" i="4"/>
  <c r="AU26" i="4" s="1"/>
  <c r="AS26" i="4"/>
  <c r="X26" i="4"/>
  <c r="Y26" i="4" s="1"/>
  <c r="Z26" i="4" s="1"/>
  <c r="AW25" i="4"/>
  <c r="AV25" i="4"/>
  <c r="AS25" i="4"/>
  <c r="AT25" i="4" s="1"/>
  <c r="AU25" i="4" s="1"/>
  <c r="X25" i="4"/>
  <c r="Y25" i="4" s="1"/>
  <c r="Z25" i="4" s="1"/>
  <c r="AW24" i="4"/>
  <c r="AV24" i="4"/>
  <c r="AS24" i="4"/>
  <c r="AT24" i="4" s="1"/>
  <c r="AU24" i="4" s="1"/>
  <c r="X24" i="4"/>
  <c r="Y24" i="4" s="1"/>
  <c r="Z24" i="4" s="1"/>
  <c r="AV23" i="4"/>
  <c r="AW23" i="4" s="1"/>
  <c r="AS23" i="4"/>
  <c r="AT23" i="4" s="1"/>
  <c r="AU23" i="4" s="1"/>
  <c r="X23" i="4"/>
  <c r="Y23" i="4" s="1"/>
  <c r="Z23" i="4" s="1"/>
  <c r="AV22" i="4"/>
  <c r="AW22" i="4" s="1"/>
  <c r="AT22" i="4"/>
  <c r="AU22" i="4" s="1"/>
  <c r="AS22" i="4"/>
  <c r="X22" i="4"/>
  <c r="Y22" i="4" s="1"/>
  <c r="Z22" i="4" s="1"/>
  <c r="AV21" i="4"/>
  <c r="AW21" i="4" s="1"/>
  <c r="AT21" i="4"/>
  <c r="AU21" i="4" s="1"/>
  <c r="AS21" i="4"/>
  <c r="X21" i="4"/>
  <c r="Y21" i="4" s="1"/>
  <c r="Z21" i="4" s="1"/>
  <c r="AW20" i="4"/>
  <c r="AV20" i="4"/>
  <c r="AT20" i="4"/>
  <c r="AU20" i="4" s="1"/>
  <c r="AS20" i="4"/>
  <c r="X20" i="4"/>
  <c r="Y20" i="4" s="1"/>
  <c r="Z20" i="4" s="1"/>
  <c r="AW19" i="4"/>
  <c r="AV19" i="4"/>
  <c r="AT19" i="4"/>
  <c r="AU19" i="4" s="1"/>
  <c r="AS19" i="4"/>
  <c r="X19" i="4"/>
  <c r="Y19" i="4" s="1"/>
  <c r="Z19" i="4" s="1"/>
  <c r="AW18" i="4"/>
  <c r="AV18" i="4"/>
  <c r="AT18" i="4"/>
  <c r="AU18" i="4" s="1"/>
  <c r="AS18" i="4"/>
  <c r="X18" i="4"/>
  <c r="Y18" i="4" s="1"/>
  <c r="Z18" i="4" s="1"/>
  <c r="AW17" i="4"/>
  <c r="AV17" i="4"/>
  <c r="AS17" i="4"/>
  <c r="AT17" i="4" s="1"/>
  <c r="AU17" i="4" s="1"/>
  <c r="X17" i="4"/>
  <c r="Y17" i="4" s="1"/>
  <c r="Z17" i="4" s="1"/>
  <c r="AW16" i="4"/>
  <c r="AV16" i="4"/>
  <c r="AS16" i="4"/>
  <c r="AT16" i="4" s="1"/>
  <c r="AU16" i="4" s="1"/>
  <c r="X16" i="4"/>
  <c r="Y16" i="4" s="1"/>
  <c r="Z16" i="4" s="1"/>
  <c r="AV15" i="4"/>
  <c r="AW15" i="4" s="1"/>
  <c r="AS15" i="4"/>
  <c r="AT15" i="4" s="1"/>
  <c r="AU15" i="4" s="1"/>
  <c r="X15" i="4"/>
  <c r="Y15" i="4" s="1"/>
  <c r="Z15" i="4" s="1"/>
  <c r="AV14" i="4"/>
  <c r="AW14" i="4" s="1"/>
  <c r="AT14" i="4"/>
  <c r="AU14" i="4" s="1"/>
  <c r="AS14" i="4"/>
  <c r="X14" i="4"/>
  <c r="Y14" i="4" s="1"/>
  <c r="Z14" i="4" s="1"/>
  <c r="AV13" i="4"/>
  <c r="AW13" i="4" s="1"/>
  <c r="AT13" i="4"/>
  <c r="AU13" i="4" s="1"/>
  <c r="AS13" i="4"/>
  <c r="X13" i="4"/>
  <c r="Y13" i="4" s="1"/>
  <c r="Z13" i="4" s="1"/>
  <c r="AW12" i="4"/>
  <c r="AV12" i="4"/>
  <c r="AT12" i="4"/>
  <c r="AU12" i="4" s="1"/>
  <c r="AS12" i="4"/>
  <c r="X12" i="4"/>
  <c r="Y12" i="4" s="1"/>
  <c r="Z12" i="4" s="1"/>
  <c r="AW11" i="4"/>
  <c r="AV11" i="4"/>
  <c r="AT11" i="4"/>
  <c r="AU11" i="4" s="1"/>
  <c r="AS11" i="4"/>
  <c r="X11" i="4"/>
  <c r="Y11" i="4" s="1"/>
  <c r="Z11" i="4" s="1"/>
  <c r="AW10" i="4"/>
  <c r="AV10" i="4"/>
  <c r="AT10" i="4"/>
  <c r="AU10" i="4" s="1"/>
  <c r="AS10" i="4"/>
  <c r="X10" i="4"/>
  <c r="Y10" i="4" s="1"/>
  <c r="Z10" i="4" s="1"/>
  <c r="AW9" i="4"/>
  <c r="AV9" i="4"/>
  <c r="AS9" i="4"/>
  <c r="AT9" i="4" s="1"/>
  <c r="AU9" i="4" s="1"/>
  <c r="X9" i="4"/>
  <c r="Y9" i="4" s="1"/>
  <c r="Z9" i="4" s="1"/>
  <c r="AW8" i="4"/>
  <c r="AV8" i="4"/>
  <c r="AS8" i="4"/>
  <c r="AT8" i="4" s="1"/>
  <c r="AU8" i="4" s="1"/>
  <c r="X8" i="4"/>
  <c r="Y8" i="4" s="1"/>
  <c r="Z8" i="4" s="1"/>
  <c r="AV7" i="4"/>
  <c r="AW7" i="4" s="1"/>
  <c r="AS7" i="4"/>
  <c r="AT7" i="4" s="1"/>
  <c r="AU7" i="4" s="1"/>
  <c r="X7" i="4"/>
  <c r="Y7" i="4" s="1"/>
  <c r="Z7" i="4" s="1"/>
  <c r="AV6" i="4"/>
  <c r="AW6" i="4" s="1"/>
  <c r="AT6" i="4"/>
  <c r="AU6" i="4" s="1"/>
  <c r="AS6" i="4"/>
  <c r="X6" i="4"/>
  <c r="Y6" i="4" s="1"/>
  <c r="Z6" i="4" s="1"/>
  <c r="AV5" i="4"/>
  <c r="AW5" i="4" s="1"/>
  <c r="AT5" i="4"/>
  <c r="AU5" i="4" s="1"/>
  <c r="AS5" i="4"/>
  <c r="X5" i="4"/>
  <c r="Y5" i="4" s="1"/>
  <c r="Z5" i="4" s="1"/>
  <c r="AW4" i="4"/>
  <c r="AV4" i="4"/>
  <c r="AT4" i="4"/>
  <c r="AU4" i="4" s="1"/>
  <c r="AS4" i="4"/>
  <c r="X4" i="4"/>
  <c r="Y4" i="4" s="1"/>
  <c r="Z4" i="4" s="1"/>
  <c r="AW3" i="4"/>
  <c r="AV3" i="4"/>
  <c r="AT3" i="4"/>
  <c r="AU3" i="4" s="1"/>
  <c r="AS3" i="4"/>
  <c r="X3" i="4"/>
  <c r="Y3" i="4" s="1"/>
  <c r="Z3" i="4" s="1"/>
  <c r="AW2" i="4"/>
  <c r="AV2" i="4"/>
  <c r="AT2" i="4"/>
  <c r="AU2" i="4" s="1"/>
  <c r="AS2" i="4"/>
  <c r="X2" i="4"/>
  <c r="Y2" i="4" s="1"/>
  <c r="Z2" i="4" s="1"/>
  <c r="AV122" i="3"/>
  <c r="AW122" i="3" s="1"/>
  <c r="AS122" i="3"/>
  <c r="AT122" i="3" s="1"/>
  <c r="AU122" i="3" s="1"/>
  <c r="X122" i="3"/>
  <c r="Y122" i="3" s="1"/>
  <c r="Z122" i="3" s="1"/>
  <c r="AV121" i="3"/>
  <c r="AW121" i="3" s="1"/>
  <c r="AS121" i="3"/>
  <c r="AT121" i="3" s="1"/>
  <c r="AU121" i="3" s="1"/>
  <c r="X121" i="3"/>
  <c r="Y121" i="3" s="1"/>
  <c r="Z121" i="3" s="1"/>
  <c r="AV120" i="3"/>
  <c r="AW120" i="3" s="1"/>
  <c r="AS120" i="3"/>
  <c r="AT120" i="3" s="1"/>
  <c r="AU120" i="3" s="1"/>
  <c r="X120" i="3"/>
  <c r="Y120" i="3" s="1"/>
  <c r="Z120" i="3" s="1"/>
  <c r="AV119" i="3"/>
  <c r="AW119" i="3" s="1"/>
  <c r="AS119" i="3"/>
  <c r="AT119" i="3" s="1"/>
  <c r="AU119" i="3" s="1"/>
  <c r="X119" i="3"/>
  <c r="Y119" i="3" s="1"/>
  <c r="Z119" i="3" s="1"/>
  <c r="AV118" i="3"/>
  <c r="AW118" i="3" s="1"/>
  <c r="AS118" i="3"/>
  <c r="AT118" i="3" s="1"/>
  <c r="AU118" i="3" s="1"/>
  <c r="X118" i="3"/>
  <c r="Y118" i="3" s="1"/>
  <c r="Z118" i="3" s="1"/>
  <c r="AV117" i="3"/>
  <c r="AW117" i="3" s="1"/>
  <c r="AS117" i="3"/>
  <c r="AT117" i="3" s="1"/>
  <c r="AU117" i="3" s="1"/>
  <c r="X117" i="3"/>
  <c r="Y117" i="3" s="1"/>
  <c r="Z117" i="3" s="1"/>
  <c r="AV116" i="3"/>
  <c r="AW116" i="3" s="1"/>
  <c r="AS116" i="3"/>
  <c r="AT116" i="3" s="1"/>
  <c r="AU116" i="3" s="1"/>
  <c r="X116" i="3"/>
  <c r="Y116" i="3" s="1"/>
  <c r="Z116" i="3" s="1"/>
  <c r="AV115" i="3"/>
  <c r="AW115" i="3" s="1"/>
  <c r="AS115" i="3"/>
  <c r="AT115" i="3" s="1"/>
  <c r="AU115" i="3" s="1"/>
  <c r="X115" i="3"/>
  <c r="Y115" i="3" s="1"/>
  <c r="Z115" i="3" s="1"/>
  <c r="AV114" i="3"/>
  <c r="AW114" i="3" s="1"/>
  <c r="AS114" i="3"/>
  <c r="AT114" i="3" s="1"/>
  <c r="AU114" i="3" s="1"/>
  <c r="X114" i="3"/>
  <c r="Y114" i="3" s="1"/>
  <c r="Z114" i="3" s="1"/>
  <c r="AV113" i="3"/>
  <c r="AW113" i="3" s="1"/>
  <c r="AS113" i="3"/>
  <c r="AT113" i="3" s="1"/>
  <c r="AU113" i="3" s="1"/>
  <c r="X113" i="3"/>
  <c r="Y113" i="3" s="1"/>
  <c r="Z113" i="3" s="1"/>
  <c r="AV112" i="3"/>
  <c r="AW112" i="3" s="1"/>
  <c r="AS112" i="3"/>
  <c r="AT112" i="3" s="1"/>
  <c r="AU112" i="3" s="1"/>
  <c r="X112" i="3"/>
  <c r="Y112" i="3" s="1"/>
  <c r="Z112" i="3" s="1"/>
  <c r="AV111" i="3"/>
  <c r="AW111" i="3" s="1"/>
  <c r="AS111" i="3"/>
  <c r="AT111" i="3" s="1"/>
  <c r="AU111" i="3" s="1"/>
  <c r="X111" i="3"/>
  <c r="Y111" i="3" s="1"/>
  <c r="Z111" i="3" s="1"/>
  <c r="AV110" i="3"/>
  <c r="AW110" i="3" s="1"/>
  <c r="AS110" i="3"/>
  <c r="AT110" i="3" s="1"/>
  <c r="AU110" i="3" s="1"/>
  <c r="X110" i="3"/>
  <c r="Y110" i="3" s="1"/>
  <c r="Z110" i="3" s="1"/>
  <c r="AV109" i="3"/>
  <c r="AW109" i="3" s="1"/>
  <c r="AS109" i="3"/>
  <c r="AT109" i="3" s="1"/>
  <c r="AU109" i="3" s="1"/>
  <c r="X109" i="3"/>
  <c r="Y109" i="3" s="1"/>
  <c r="Z109" i="3" s="1"/>
  <c r="AV108" i="3"/>
  <c r="AW108" i="3" s="1"/>
  <c r="AS108" i="3"/>
  <c r="AT108" i="3" s="1"/>
  <c r="AU108" i="3" s="1"/>
  <c r="X108" i="3"/>
  <c r="Y108" i="3" s="1"/>
  <c r="Z108" i="3" s="1"/>
  <c r="AV107" i="3"/>
  <c r="AW107" i="3" s="1"/>
  <c r="AS107" i="3"/>
  <c r="AT107" i="3" s="1"/>
  <c r="AU107" i="3" s="1"/>
  <c r="X107" i="3"/>
  <c r="Y107" i="3" s="1"/>
  <c r="Z107" i="3" s="1"/>
  <c r="AV106" i="3"/>
  <c r="AW106" i="3" s="1"/>
  <c r="AS106" i="3"/>
  <c r="AT106" i="3" s="1"/>
  <c r="AU106" i="3" s="1"/>
  <c r="X106" i="3"/>
  <c r="Y106" i="3" s="1"/>
  <c r="Z106" i="3" s="1"/>
  <c r="AV105" i="3"/>
  <c r="AW105" i="3" s="1"/>
  <c r="AS105" i="3"/>
  <c r="AT105" i="3" s="1"/>
  <c r="AU105" i="3" s="1"/>
  <c r="X105" i="3"/>
  <c r="Y105" i="3" s="1"/>
  <c r="Z105" i="3" s="1"/>
  <c r="AV104" i="3"/>
  <c r="AW104" i="3" s="1"/>
  <c r="AS104" i="3"/>
  <c r="AT104" i="3" s="1"/>
  <c r="AU104" i="3" s="1"/>
  <c r="X104" i="3"/>
  <c r="Y104" i="3" s="1"/>
  <c r="Z104" i="3" s="1"/>
  <c r="AV103" i="3"/>
  <c r="AW103" i="3" s="1"/>
  <c r="AS103" i="3"/>
  <c r="AT103" i="3" s="1"/>
  <c r="AU103" i="3" s="1"/>
  <c r="X103" i="3"/>
  <c r="Y103" i="3" s="1"/>
  <c r="Z103" i="3" s="1"/>
  <c r="AB310" i="2"/>
  <c r="AC310" i="2" s="1"/>
  <c r="Y310" i="2"/>
  <c r="Z310" i="2" s="1"/>
  <c r="AA310" i="2" s="1"/>
  <c r="N310" i="2"/>
  <c r="O310" i="2" s="1"/>
  <c r="P310" i="2" s="1"/>
  <c r="AB309" i="2"/>
  <c r="AC309" i="2" s="1"/>
  <c r="Y309" i="2"/>
  <c r="Z309" i="2" s="1"/>
  <c r="AA309" i="2" s="1"/>
  <c r="N309" i="2"/>
  <c r="O309" i="2" s="1"/>
  <c r="P309" i="2" s="1"/>
  <c r="AB308" i="2"/>
  <c r="AC308" i="2" s="1"/>
  <c r="Y308" i="2"/>
  <c r="Z308" i="2" s="1"/>
  <c r="AA308" i="2" s="1"/>
  <c r="N308" i="2"/>
  <c r="O308" i="2" s="1"/>
  <c r="P308" i="2" s="1"/>
  <c r="AB307" i="2"/>
  <c r="AC307" i="2" s="1"/>
  <c r="Y307" i="2"/>
  <c r="Z307" i="2" s="1"/>
  <c r="AA307" i="2" s="1"/>
  <c r="N307" i="2"/>
  <c r="O307" i="2" s="1"/>
  <c r="P307" i="2" s="1"/>
  <c r="AC306" i="2"/>
  <c r="AB306" i="2"/>
  <c r="Y306" i="2"/>
  <c r="Z306" i="2" s="1"/>
  <c r="AA306" i="2" s="1"/>
  <c r="N306" i="2"/>
  <c r="O306" i="2" s="1"/>
  <c r="P306" i="2" s="1"/>
  <c r="AB305" i="2"/>
  <c r="AC305" i="2" s="1"/>
  <c r="Y305" i="2"/>
  <c r="Z305" i="2" s="1"/>
  <c r="AA305" i="2" s="1"/>
  <c r="N305" i="2"/>
  <c r="O305" i="2" s="1"/>
  <c r="P305" i="2" s="1"/>
  <c r="AB304" i="2"/>
  <c r="AC304" i="2" s="1"/>
  <c r="Y304" i="2"/>
  <c r="Z304" i="2" s="1"/>
  <c r="AA304" i="2" s="1"/>
  <c r="N304" i="2"/>
  <c r="O304" i="2" s="1"/>
  <c r="P304" i="2" s="1"/>
  <c r="AC303" i="2"/>
  <c r="AB303" i="2"/>
  <c r="Y303" i="2"/>
  <c r="Z303" i="2" s="1"/>
  <c r="AA303" i="2" s="1"/>
  <c r="N303" i="2"/>
  <c r="O303" i="2" s="1"/>
  <c r="P303" i="2" s="1"/>
  <c r="AB302" i="2"/>
  <c r="AC302" i="2" s="1"/>
  <c r="Y302" i="2"/>
  <c r="Z302" i="2" s="1"/>
  <c r="AA302" i="2" s="1"/>
  <c r="P302" i="2"/>
  <c r="N302" i="2"/>
  <c r="O302" i="2" s="1"/>
  <c r="AC301" i="2"/>
  <c r="AB301" i="2"/>
  <c r="Y301" i="2"/>
  <c r="Z301" i="2" s="1"/>
  <c r="AA301" i="2" s="1"/>
  <c r="N301" i="2"/>
  <c r="O301" i="2" s="1"/>
  <c r="P301" i="2" s="1"/>
  <c r="AB300" i="2"/>
  <c r="AC300" i="2" s="1"/>
  <c r="Y300" i="2"/>
  <c r="Z300" i="2" s="1"/>
  <c r="AA300" i="2" s="1"/>
  <c r="N300" i="2"/>
  <c r="O300" i="2" s="1"/>
  <c r="P300" i="2" s="1"/>
  <c r="AB299" i="2"/>
  <c r="AC299" i="2" s="1"/>
  <c r="Y299" i="2"/>
  <c r="Z299" i="2" s="1"/>
  <c r="AA299" i="2" s="1"/>
  <c r="N299" i="2"/>
  <c r="O299" i="2" s="1"/>
  <c r="P299" i="2" s="1"/>
  <c r="AB298" i="2"/>
  <c r="AC298" i="2" s="1"/>
  <c r="Y298" i="2"/>
  <c r="Z298" i="2" s="1"/>
  <c r="AA298" i="2" s="1"/>
  <c r="N298" i="2"/>
  <c r="O298" i="2" s="1"/>
  <c r="P298" i="2" s="1"/>
  <c r="AB297" i="2"/>
  <c r="AC297" i="2" s="1"/>
  <c r="AA297" i="2"/>
  <c r="Y297" i="2"/>
  <c r="Z297" i="2" s="1"/>
  <c r="P297" i="2"/>
  <c r="N297" i="2"/>
  <c r="O297" i="2" s="1"/>
  <c r="AB296" i="2"/>
  <c r="AC296" i="2" s="1"/>
  <c r="Y296" i="2"/>
  <c r="Z296" i="2" s="1"/>
  <c r="AA296" i="2" s="1"/>
  <c r="P296" i="2"/>
  <c r="N296" i="2"/>
  <c r="O296" i="2" s="1"/>
  <c r="AC295" i="2"/>
  <c r="AB295" i="2"/>
  <c r="Y295" i="2"/>
  <c r="Z295" i="2" s="1"/>
  <c r="AA295" i="2" s="1"/>
  <c r="N295" i="2"/>
  <c r="O295" i="2" s="1"/>
  <c r="P295" i="2" s="1"/>
  <c r="AB294" i="2"/>
  <c r="AC294" i="2" s="1"/>
  <c r="Y294" i="2"/>
  <c r="Z294" i="2" s="1"/>
  <c r="AA294" i="2" s="1"/>
  <c r="N294" i="2"/>
  <c r="O294" i="2" s="1"/>
  <c r="P294" i="2" s="1"/>
  <c r="AB293" i="2"/>
  <c r="AC293" i="2" s="1"/>
  <c r="Y293" i="2"/>
  <c r="Z293" i="2" s="1"/>
  <c r="AA293" i="2" s="1"/>
  <c r="N293" i="2"/>
  <c r="O293" i="2" s="1"/>
  <c r="P293" i="2" s="1"/>
  <c r="AB292" i="2"/>
  <c r="AC292" i="2" s="1"/>
  <c r="Y292" i="2"/>
  <c r="Z292" i="2" s="1"/>
  <c r="AA292" i="2" s="1"/>
  <c r="N292" i="2"/>
  <c r="O292" i="2" s="1"/>
  <c r="P292" i="2" s="1"/>
  <c r="AB291" i="2"/>
  <c r="AC291" i="2" s="1"/>
  <c r="Y291" i="2"/>
  <c r="Z291" i="2" s="1"/>
  <c r="AA291" i="2" s="1"/>
  <c r="N291" i="2"/>
  <c r="O291" i="2" s="1"/>
  <c r="P291" i="2" s="1"/>
  <c r="AB290" i="2"/>
  <c r="AC290" i="2" s="1"/>
  <c r="Y290" i="2"/>
  <c r="Z290" i="2" s="1"/>
  <c r="AA290" i="2" s="1"/>
  <c r="N290" i="2"/>
  <c r="O290" i="2" s="1"/>
  <c r="P290" i="2" s="1"/>
  <c r="AB289" i="2"/>
  <c r="AC289" i="2" s="1"/>
  <c r="Z289" i="2"/>
  <c r="AA289" i="2" s="1"/>
  <c r="Y289" i="2"/>
  <c r="P289" i="2"/>
  <c r="N289" i="2"/>
  <c r="O289" i="2" s="1"/>
  <c r="AB288" i="2"/>
  <c r="AC288" i="2" s="1"/>
  <c r="Y288" i="2"/>
  <c r="Z288" i="2" s="1"/>
  <c r="AA288" i="2" s="1"/>
  <c r="N288" i="2"/>
  <c r="O288" i="2" s="1"/>
  <c r="P288" i="2" s="1"/>
  <c r="AB287" i="2"/>
  <c r="AC287" i="2" s="1"/>
  <c r="Y287" i="2"/>
  <c r="Z287" i="2" s="1"/>
  <c r="AA287" i="2" s="1"/>
  <c r="N287" i="2"/>
  <c r="O287" i="2" s="1"/>
  <c r="P287" i="2" s="1"/>
  <c r="AB286" i="2"/>
  <c r="AC286" i="2" s="1"/>
  <c r="Y286" i="2"/>
  <c r="Z286" i="2" s="1"/>
  <c r="AA286" i="2" s="1"/>
  <c r="N286" i="2"/>
  <c r="O286" i="2" s="1"/>
  <c r="P286" i="2" s="1"/>
  <c r="AC285" i="2"/>
  <c r="AB285" i="2"/>
  <c r="Y285" i="2"/>
  <c r="Z285" i="2" s="1"/>
  <c r="AA285" i="2" s="1"/>
  <c r="N285" i="2"/>
  <c r="O285" i="2" s="1"/>
  <c r="P285" i="2" s="1"/>
  <c r="AB284" i="2"/>
  <c r="AC284" i="2" s="1"/>
  <c r="Y284" i="2"/>
  <c r="Z284" i="2" s="1"/>
  <c r="AA284" i="2" s="1"/>
  <c r="N284" i="2"/>
  <c r="O284" i="2" s="1"/>
  <c r="P284" i="2" s="1"/>
  <c r="AB283" i="2"/>
  <c r="AC283" i="2" s="1"/>
  <c r="Y283" i="2"/>
  <c r="Z283" i="2" s="1"/>
  <c r="AA283" i="2" s="1"/>
  <c r="N283" i="2"/>
  <c r="O283" i="2" s="1"/>
  <c r="P283" i="2" s="1"/>
  <c r="AB282" i="2"/>
  <c r="AC282" i="2" s="1"/>
  <c r="Y282" i="2"/>
  <c r="Z282" i="2" s="1"/>
  <c r="AA282" i="2" s="1"/>
  <c r="N282" i="2"/>
  <c r="O282" i="2" s="1"/>
  <c r="P282" i="2" s="1"/>
  <c r="AB281" i="2"/>
  <c r="AC281" i="2" s="1"/>
  <c r="Y281" i="2"/>
  <c r="Z281" i="2" s="1"/>
  <c r="AA281" i="2" s="1"/>
  <c r="N281" i="2"/>
  <c r="O281" i="2" s="1"/>
  <c r="P281" i="2" s="1"/>
  <c r="AB280" i="2"/>
  <c r="AC280" i="2" s="1"/>
  <c r="Z280" i="2"/>
  <c r="AA280" i="2" s="1"/>
  <c r="Y280" i="2"/>
  <c r="N280" i="2"/>
  <c r="O280" i="2" s="1"/>
  <c r="P280" i="2" s="1"/>
  <c r="AB279" i="2"/>
  <c r="AC279" i="2" s="1"/>
  <c r="Y279" i="2"/>
  <c r="Z279" i="2" s="1"/>
  <c r="AA279" i="2" s="1"/>
  <c r="N279" i="2"/>
  <c r="O279" i="2" s="1"/>
  <c r="P279" i="2" s="1"/>
  <c r="AB278" i="2"/>
  <c r="AC278" i="2" s="1"/>
  <c r="Y278" i="2"/>
  <c r="Z278" i="2" s="1"/>
  <c r="AA278" i="2" s="1"/>
  <c r="N278" i="2"/>
  <c r="O278" i="2" s="1"/>
  <c r="P278" i="2" s="1"/>
  <c r="AB277" i="2"/>
  <c r="AC277" i="2" s="1"/>
  <c r="Y277" i="2"/>
  <c r="Z277" i="2" s="1"/>
  <c r="AA277" i="2" s="1"/>
  <c r="N277" i="2"/>
  <c r="O277" i="2" s="1"/>
  <c r="P277" i="2" s="1"/>
  <c r="AB276" i="2"/>
  <c r="AC276" i="2" s="1"/>
  <c r="Y276" i="2"/>
  <c r="Z276" i="2" s="1"/>
  <c r="AA276" i="2" s="1"/>
  <c r="P276" i="2"/>
  <c r="N276" i="2"/>
  <c r="O276" i="2" s="1"/>
  <c r="AB275" i="2"/>
  <c r="AC275" i="2" s="1"/>
  <c r="Y275" i="2"/>
  <c r="Z275" i="2" s="1"/>
  <c r="AA275" i="2" s="1"/>
  <c r="N275" i="2"/>
  <c r="O275" i="2" s="1"/>
  <c r="P275" i="2" s="1"/>
  <c r="AC274" i="2"/>
  <c r="AB274" i="2"/>
  <c r="Y274" i="2"/>
  <c r="Z274" i="2" s="1"/>
  <c r="AA274" i="2" s="1"/>
  <c r="N274" i="2"/>
  <c r="O274" i="2" s="1"/>
  <c r="P274" i="2" s="1"/>
  <c r="AB273" i="2"/>
  <c r="AC273" i="2" s="1"/>
  <c r="Y273" i="2"/>
  <c r="Z273" i="2" s="1"/>
  <c r="AA273" i="2" s="1"/>
  <c r="P273" i="2"/>
  <c r="N273" i="2"/>
  <c r="O273" i="2" s="1"/>
  <c r="AC272" i="2"/>
  <c r="AB272" i="2"/>
  <c r="Y272" i="2"/>
  <c r="Z272" i="2" s="1"/>
  <c r="AA272" i="2" s="1"/>
  <c r="P272" i="2"/>
  <c r="N272" i="2"/>
  <c r="O272" i="2" s="1"/>
  <c r="AC271" i="2"/>
  <c r="AB271" i="2"/>
  <c r="Y271" i="2"/>
  <c r="Z271" i="2" s="1"/>
  <c r="AA271" i="2" s="1"/>
  <c r="N271" i="2"/>
  <c r="O271" i="2" s="1"/>
  <c r="P271" i="2" s="1"/>
  <c r="AC270" i="2"/>
  <c r="AB270" i="2"/>
  <c r="Y270" i="2"/>
  <c r="Z270" i="2" s="1"/>
  <c r="AA270" i="2" s="1"/>
  <c r="N270" i="2"/>
  <c r="O270" i="2" s="1"/>
  <c r="P270" i="2" s="1"/>
  <c r="AB269" i="2"/>
  <c r="AC269" i="2" s="1"/>
  <c r="Y269" i="2"/>
  <c r="Z269" i="2" s="1"/>
  <c r="AA269" i="2" s="1"/>
  <c r="N269" i="2"/>
  <c r="O269" i="2" s="1"/>
  <c r="P269" i="2" s="1"/>
  <c r="AB268" i="2"/>
  <c r="AC268" i="2" s="1"/>
  <c r="Y268" i="2"/>
  <c r="Z268" i="2" s="1"/>
  <c r="AA268" i="2" s="1"/>
  <c r="N268" i="2"/>
  <c r="O268" i="2" s="1"/>
  <c r="P268" i="2" s="1"/>
  <c r="AC267" i="2"/>
  <c r="AB267" i="2"/>
  <c r="Z267" i="2"/>
  <c r="AA267" i="2" s="1"/>
  <c r="Y267" i="2"/>
  <c r="N267" i="2"/>
  <c r="O267" i="2" s="1"/>
  <c r="P267" i="2" s="1"/>
  <c r="AC266" i="2"/>
  <c r="AB266" i="2"/>
  <c r="Z266" i="2"/>
  <c r="AA266" i="2" s="1"/>
  <c r="Y266" i="2"/>
  <c r="N266" i="2"/>
  <c r="O266" i="2" s="1"/>
  <c r="P266" i="2" s="1"/>
  <c r="AC265" i="2"/>
  <c r="AB265" i="2"/>
  <c r="AA265" i="2"/>
  <c r="Y265" i="2"/>
  <c r="Z265" i="2" s="1"/>
  <c r="N265" i="2"/>
  <c r="O265" i="2" s="1"/>
  <c r="P265" i="2" s="1"/>
  <c r="AB264" i="2"/>
  <c r="AC264" i="2" s="1"/>
  <c r="Z264" i="2"/>
  <c r="AA264" i="2" s="1"/>
  <c r="Y264" i="2"/>
  <c r="P264" i="2"/>
  <c r="N264" i="2"/>
  <c r="O264" i="2" s="1"/>
  <c r="AB263" i="2"/>
  <c r="AC263" i="2" s="1"/>
  <c r="Y263" i="2"/>
  <c r="Z263" i="2" s="1"/>
  <c r="AA263" i="2" s="1"/>
  <c r="N263" i="2"/>
  <c r="O263" i="2" s="1"/>
  <c r="P263" i="2" s="1"/>
  <c r="AC262" i="2"/>
  <c r="AB262" i="2"/>
  <c r="Y262" i="2"/>
  <c r="Z262" i="2" s="1"/>
  <c r="AA262" i="2" s="1"/>
  <c r="P262" i="2"/>
  <c r="N262" i="2"/>
  <c r="O262" i="2" s="1"/>
  <c r="AC261" i="2"/>
  <c r="AB261" i="2"/>
  <c r="Y261" i="2"/>
  <c r="Z261" i="2" s="1"/>
  <c r="AA261" i="2" s="1"/>
  <c r="N261" i="2"/>
  <c r="O261" i="2" s="1"/>
  <c r="P261" i="2" s="1"/>
  <c r="AB260" i="2"/>
  <c r="AC260" i="2" s="1"/>
  <c r="Y260" i="2"/>
  <c r="Z260" i="2" s="1"/>
  <c r="AA260" i="2" s="1"/>
  <c r="N260" i="2"/>
  <c r="O260" i="2" s="1"/>
  <c r="P260" i="2" s="1"/>
  <c r="AC259" i="2"/>
  <c r="AB259" i="2"/>
  <c r="Z259" i="2"/>
  <c r="AA259" i="2" s="1"/>
  <c r="Y259" i="2"/>
  <c r="N259" i="2"/>
  <c r="O259" i="2" s="1"/>
  <c r="P259" i="2" s="1"/>
  <c r="AC258" i="2"/>
  <c r="AB258" i="2"/>
  <c r="Z258" i="2"/>
  <c r="AA258" i="2" s="1"/>
  <c r="Y258" i="2"/>
  <c r="N258" i="2"/>
  <c r="O258" i="2" s="1"/>
  <c r="P258" i="2" s="1"/>
  <c r="AC257" i="2"/>
  <c r="AB257" i="2"/>
  <c r="Z257" i="2"/>
  <c r="AA257" i="2" s="1"/>
  <c r="Y257" i="2"/>
  <c r="N257" i="2"/>
  <c r="O257" i="2" s="1"/>
  <c r="P257" i="2" s="1"/>
  <c r="AB256" i="2"/>
  <c r="AC256" i="2" s="1"/>
  <c r="Y256" i="2"/>
  <c r="Z256" i="2" s="1"/>
  <c r="AA256" i="2" s="1"/>
  <c r="N256" i="2"/>
  <c r="O256" i="2" s="1"/>
  <c r="P256" i="2" s="1"/>
  <c r="AC255" i="2"/>
  <c r="AB255" i="2"/>
  <c r="Y255" i="2"/>
  <c r="Z255" i="2" s="1"/>
  <c r="AA255" i="2" s="1"/>
  <c r="N255" i="2"/>
  <c r="O255" i="2" s="1"/>
  <c r="P255" i="2" s="1"/>
  <c r="AC254" i="2"/>
  <c r="AB254" i="2"/>
  <c r="Y254" i="2"/>
  <c r="Z254" i="2" s="1"/>
  <c r="AA254" i="2" s="1"/>
  <c r="N254" i="2"/>
  <c r="O254" i="2" s="1"/>
  <c r="P254" i="2" s="1"/>
  <c r="AB253" i="2"/>
  <c r="AC253" i="2" s="1"/>
  <c r="Y253" i="2"/>
  <c r="Z253" i="2" s="1"/>
  <c r="AA253" i="2" s="1"/>
  <c r="N253" i="2"/>
  <c r="O253" i="2" s="1"/>
  <c r="P253" i="2" s="1"/>
  <c r="AB252" i="2"/>
  <c r="AC252" i="2" s="1"/>
  <c r="Y252" i="2"/>
  <c r="Z252" i="2" s="1"/>
  <c r="AA252" i="2" s="1"/>
  <c r="N252" i="2"/>
  <c r="O252" i="2" s="1"/>
  <c r="P252" i="2" s="1"/>
  <c r="AC251" i="2"/>
  <c r="AB251" i="2"/>
  <c r="Z251" i="2"/>
  <c r="AA251" i="2" s="1"/>
  <c r="Y251" i="2"/>
  <c r="N251" i="2"/>
  <c r="O251" i="2" s="1"/>
  <c r="P251" i="2" s="1"/>
  <c r="AC250" i="2"/>
  <c r="AB250" i="2"/>
  <c r="Z250" i="2"/>
  <c r="AA250" i="2" s="1"/>
  <c r="Y250" i="2"/>
  <c r="N250" i="2"/>
  <c r="O250" i="2" s="1"/>
  <c r="P250" i="2" s="1"/>
  <c r="AC249" i="2"/>
  <c r="AB249" i="2"/>
  <c r="Y249" i="2"/>
  <c r="Z249" i="2" s="1"/>
  <c r="AA249" i="2" s="1"/>
  <c r="P249" i="2"/>
  <c r="N249" i="2"/>
  <c r="O249" i="2" s="1"/>
  <c r="AC248" i="2"/>
  <c r="AB248" i="2"/>
  <c r="Y248" i="2"/>
  <c r="Z248" i="2" s="1"/>
  <c r="AA248" i="2" s="1"/>
  <c r="N248" i="2"/>
  <c r="O248" i="2" s="1"/>
  <c r="P248" i="2" s="1"/>
  <c r="AC247" i="2"/>
  <c r="AB247" i="2"/>
  <c r="Y247" i="2"/>
  <c r="Z247" i="2" s="1"/>
  <c r="AA247" i="2" s="1"/>
  <c r="N247" i="2"/>
  <c r="O247" i="2" s="1"/>
  <c r="P247" i="2" s="1"/>
  <c r="AB246" i="2"/>
  <c r="AC246" i="2" s="1"/>
  <c r="Y246" i="2"/>
  <c r="Z246" i="2" s="1"/>
  <c r="AA246" i="2" s="1"/>
  <c r="N246" i="2"/>
  <c r="O246" i="2" s="1"/>
  <c r="P246" i="2" s="1"/>
  <c r="AC245" i="2"/>
  <c r="AB245" i="2"/>
  <c r="Y245" i="2"/>
  <c r="Z245" i="2" s="1"/>
  <c r="AA245" i="2" s="1"/>
  <c r="N245" i="2"/>
  <c r="O245" i="2" s="1"/>
  <c r="P245" i="2" s="1"/>
  <c r="AB244" i="2"/>
  <c r="AC244" i="2" s="1"/>
  <c r="Y244" i="2"/>
  <c r="Z244" i="2" s="1"/>
  <c r="AA244" i="2" s="1"/>
  <c r="N244" i="2"/>
  <c r="O244" i="2" s="1"/>
  <c r="P244" i="2" s="1"/>
  <c r="AC243" i="2"/>
  <c r="AB243" i="2"/>
  <c r="Y243" i="2"/>
  <c r="Z243" i="2" s="1"/>
  <c r="AA243" i="2" s="1"/>
  <c r="N243" i="2"/>
  <c r="O243" i="2" s="1"/>
  <c r="P243" i="2" s="1"/>
  <c r="AB242" i="2"/>
  <c r="AC242" i="2" s="1"/>
  <c r="Z242" i="2"/>
  <c r="AA242" i="2" s="1"/>
  <c r="Y242" i="2"/>
  <c r="N242" i="2"/>
  <c r="O242" i="2" s="1"/>
  <c r="P242" i="2" s="1"/>
  <c r="AB241" i="2"/>
  <c r="AC241" i="2" s="1"/>
  <c r="Y241" i="2"/>
  <c r="Z241" i="2" s="1"/>
  <c r="AA241" i="2" s="1"/>
  <c r="N241" i="2"/>
  <c r="O241" i="2" s="1"/>
  <c r="P241" i="2" s="1"/>
  <c r="AC240" i="2"/>
  <c r="AB240" i="2"/>
  <c r="Z240" i="2"/>
  <c r="AA240" i="2" s="1"/>
  <c r="Y240" i="2"/>
  <c r="N240" i="2"/>
  <c r="O240" i="2" s="1"/>
  <c r="P240" i="2" s="1"/>
  <c r="AC239" i="2"/>
  <c r="AB239" i="2"/>
  <c r="Y239" i="2"/>
  <c r="Z239" i="2" s="1"/>
  <c r="AA239" i="2" s="1"/>
  <c r="N239" i="2"/>
  <c r="O239" i="2" s="1"/>
  <c r="P239" i="2" s="1"/>
  <c r="AB238" i="2"/>
  <c r="AC238" i="2" s="1"/>
  <c r="Y238" i="2"/>
  <c r="Z238" i="2" s="1"/>
  <c r="AA238" i="2" s="1"/>
  <c r="N238" i="2"/>
  <c r="O238" i="2" s="1"/>
  <c r="P238" i="2" s="1"/>
  <c r="AB237" i="2"/>
  <c r="AC237" i="2" s="1"/>
  <c r="Y237" i="2"/>
  <c r="Z237" i="2" s="1"/>
  <c r="AA237" i="2" s="1"/>
  <c r="N237" i="2"/>
  <c r="O237" i="2" s="1"/>
  <c r="P237" i="2" s="1"/>
  <c r="AC236" i="2"/>
  <c r="AB236" i="2"/>
  <c r="Y236" i="2"/>
  <c r="Z236" i="2" s="1"/>
  <c r="AA236" i="2" s="1"/>
  <c r="N236" i="2"/>
  <c r="O236" i="2" s="1"/>
  <c r="P236" i="2" s="1"/>
  <c r="AC235" i="2"/>
  <c r="AB235" i="2"/>
  <c r="Z235" i="2"/>
  <c r="AA235" i="2" s="1"/>
  <c r="Y235" i="2"/>
  <c r="N235" i="2"/>
  <c r="O235" i="2" s="1"/>
  <c r="P235" i="2" s="1"/>
  <c r="AB234" i="2"/>
  <c r="AC234" i="2" s="1"/>
  <c r="Z234" i="2"/>
  <c r="AA234" i="2" s="1"/>
  <c r="Y234" i="2"/>
  <c r="N234" i="2"/>
  <c r="O234" i="2" s="1"/>
  <c r="P234" i="2" s="1"/>
  <c r="AB233" i="2"/>
  <c r="AC233" i="2" s="1"/>
  <c r="Y233" i="2"/>
  <c r="Z233" i="2" s="1"/>
  <c r="AA233" i="2" s="1"/>
  <c r="N233" i="2"/>
  <c r="O233" i="2" s="1"/>
  <c r="P233" i="2" s="1"/>
  <c r="AC232" i="2"/>
  <c r="AB232" i="2"/>
  <c r="Y232" i="2"/>
  <c r="Z232" i="2" s="1"/>
  <c r="AA232" i="2" s="1"/>
  <c r="N232" i="2"/>
  <c r="O232" i="2" s="1"/>
  <c r="P232" i="2" s="1"/>
  <c r="AB231" i="2"/>
  <c r="AC231" i="2" s="1"/>
  <c r="Y231" i="2"/>
  <c r="Z231" i="2" s="1"/>
  <c r="AA231" i="2" s="1"/>
  <c r="N231" i="2"/>
  <c r="O231" i="2" s="1"/>
  <c r="P231" i="2" s="1"/>
  <c r="AC230" i="2"/>
  <c r="AB230" i="2"/>
  <c r="Z230" i="2"/>
  <c r="AA230" i="2" s="1"/>
  <c r="Y230" i="2"/>
  <c r="N230" i="2"/>
  <c r="O230" i="2" s="1"/>
  <c r="P230" i="2" s="1"/>
  <c r="AC229" i="2"/>
  <c r="AB229" i="2"/>
  <c r="Y229" i="2"/>
  <c r="Z229" i="2" s="1"/>
  <c r="AA229" i="2" s="1"/>
  <c r="P229" i="2"/>
  <c r="N229" i="2"/>
  <c r="O229" i="2" s="1"/>
  <c r="AC228" i="2"/>
  <c r="AB228" i="2"/>
  <c r="Y228" i="2"/>
  <c r="Z228" i="2" s="1"/>
  <c r="AA228" i="2" s="1"/>
  <c r="N228" i="2"/>
  <c r="O228" i="2" s="1"/>
  <c r="P228" i="2" s="1"/>
  <c r="AB227" i="2"/>
  <c r="AC227" i="2" s="1"/>
  <c r="Z227" i="2"/>
  <c r="AA227" i="2" s="1"/>
  <c r="Y227" i="2"/>
  <c r="P227" i="2"/>
  <c r="N227" i="2"/>
  <c r="O227" i="2" s="1"/>
  <c r="AB226" i="2"/>
  <c r="AC226" i="2" s="1"/>
  <c r="Y226" i="2"/>
  <c r="Z226" i="2" s="1"/>
  <c r="AA226" i="2" s="1"/>
  <c r="N226" i="2"/>
  <c r="O226" i="2" s="1"/>
  <c r="P226" i="2" s="1"/>
  <c r="AC225" i="2"/>
  <c r="AB225" i="2"/>
  <c r="Y225" i="2"/>
  <c r="Z225" i="2" s="1"/>
  <c r="AA225" i="2" s="1"/>
  <c r="N225" i="2"/>
  <c r="O225" i="2" s="1"/>
  <c r="P225" i="2" s="1"/>
  <c r="AB224" i="2"/>
  <c r="AC224" i="2" s="1"/>
  <c r="Y224" i="2"/>
  <c r="Z224" i="2" s="1"/>
  <c r="AA224" i="2" s="1"/>
  <c r="N224" i="2"/>
  <c r="O224" i="2" s="1"/>
  <c r="P224" i="2" s="1"/>
  <c r="AC223" i="2"/>
  <c r="AB223" i="2"/>
  <c r="Y223" i="2"/>
  <c r="Z223" i="2" s="1"/>
  <c r="AA223" i="2" s="1"/>
  <c r="P223" i="2"/>
  <c r="N223" i="2"/>
  <c r="O223" i="2" s="1"/>
  <c r="AC222" i="2"/>
  <c r="AB222" i="2"/>
  <c r="Y222" i="2"/>
  <c r="Z222" i="2" s="1"/>
  <c r="AA222" i="2" s="1"/>
  <c r="N222" i="2"/>
  <c r="O222" i="2" s="1"/>
  <c r="P222" i="2" s="1"/>
  <c r="AB221" i="2"/>
  <c r="AC221" i="2" s="1"/>
  <c r="Y221" i="2"/>
  <c r="Z221" i="2" s="1"/>
  <c r="AA221" i="2" s="1"/>
  <c r="N221" i="2"/>
  <c r="O221" i="2" s="1"/>
  <c r="P221" i="2" s="1"/>
  <c r="AC220" i="2"/>
  <c r="AB220" i="2"/>
  <c r="Y220" i="2"/>
  <c r="Z220" i="2" s="1"/>
  <c r="AA220" i="2" s="1"/>
  <c r="N220" i="2"/>
  <c r="O220" i="2" s="1"/>
  <c r="P220" i="2" s="1"/>
  <c r="AC219" i="2"/>
  <c r="AB219" i="2"/>
  <c r="Y219" i="2"/>
  <c r="Z219" i="2" s="1"/>
  <c r="AA219" i="2" s="1"/>
  <c r="N219" i="2"/>
  <c r="O219" i="2" s="1"/>
  <c r="P219" i="2" s="1"/>
  <c r="AB218" i="2"/>
  <c r="AC218" i="2" s="1"/>
  <c r="Y218" i="2"/>
  <c r="Z218" i="2" s="1"/>
  <c r="AA218" i="2" s="1"/>
  <c r="N218" i="2"/>
  <c r="O218" i="2" s="1"/>
  <c r="P218" i="2" s="1"/>
  <c r="AB217" i="2"/>
  <c r="AC217" i="2" s="1"/>
  <c r="Y217" i="2"/>
  <c r="Z217" i="2" s="1"/>
  <c r="AA217" i="2" s="1"/>
  <c r="N217" i="2"/>
  <c r="O217" i="2" s="1"/>
  <c r="P217" i="2" s="1"/>
  <c r="AB216" i="2"/>
  <c r="AC216" i="2" s="1"/>
  <c r="Y216" i="2"/>
  <c r="Z216" i="2" s="1"/>
  <c r="AA216" i="2" s="1"/>
  <c r="N216" i="2"/>
  <c r="O216" i="2" s="1"/>
  <c r="P216" i="2" s="1"/>
  <c r="AC215" i="2"/>
  <c r="AB215" i="2"/>
  <c r="Y215" i="2"/>
  <c r="Z215" i="2" s="1"/>
  <c r="AA215" i="2" s="1"/>
  <c r="N215" i="2"/>
  <c r="O215" i="2" s="1"/>
  <c r="P215" i="2" s="1"/>
  <c r="AC214" i="2"/>
  <c r="AB214" i="2"/>
  <c r="Z214" i="2"/>
  <c r="AA214" i="2" s="1"/>
  <c r="Y214" i="2"/>
  <c r="N214" i="2"/>
  <c r="O214" i="2" s="1"/>
  <c r="P214" i="2" s="1"/>
  <c r="AC213" i="2"/>
  <c r="AB213" i="2"/>
  <c r="Y213" i="2"/>
  <c r="Z213" i="2" s="1"/>
  <c r="AA213" i="2" s="1"/>
  <c r="N213" i="2"/>
  <c r="O213" i="2" s="1"/>
  <c r="P213" i="2" s="1"/>
  <c r="AB212" i="2"/>
  <c r="AC212" i="2" s="1"/>
  <c r="Y212" i="2"/>
  <c r="Z212" i="2" s="1"/>
  <c r="AA212" i="2" s="1"/>
  <c r="P212" i="2"/>
  <c r="AB211" i="2"/>
  <c r="AC211" i="2" s="1"/>
  <c r="Y211" i="2"/>
  <c r="Z211" i="2" s="1"/>
  <c r="AA211" i="2" s="1"/>
  <c r="N211" i="2"/>
  <c r="O211" i="2" s="1"/>
  <c r="P211" i="2" s="1"/>
  <c r="AB210" i="2"/>
  <c r="AC210" i="2" s="1"/>
  <c r="Y210" i="2"/>
  <c r="Z210" i="2" s="1"/>
  <c r="AA210" i="2" s="1"/>
  <c r="N210" i="2"/>
  <c r="O210" i="2" s="1"/>
  <c r="P210" i="2" s="1"/>
  <c r="AC209" i="2"/>
  <c r="AB209" i="2"/>
  <c r="Y209" i="2"/>
  <c r="Z209" i="2" s="1"/>
  <c r="AA209" i="2" s="1"/>
  <c r="N209" i="2"/>
  <c r="O209" i="2" s="1"/>
  <c r="P209" i="2" s="1"/>
  <c r="AB208" i="2"/>
  <c r="AC208" i="2" s="1"/>
  <c r="Y208" i="2"/>
  <c r="Z208" i="2" s="1"/>
  <c r="AA208" i="2" s="1"/>
  <c r="N208" i="2"/>
  <c r="O208" i="2" s="1"/>
  <c r="P208" i="2" s="1"/>
  <c r="AC207" i="2"/>
  <c r="AB207" i="2"/>
  <c r="Y207" i="2"/>
  <c r="Z207" i="2" s="1"/>
  <c r="AA207" i="2" s="1"/>
  <c r="N207" i="2"/>
  <c r="O207" i="2" s="1"/>
  <c r="P207" i="2" s="1"/>
  <c r="AB206" i="2"/>
  <c r="AC206" i="2" s="1"/>
  <c r="Y206" i="2"/>
  <c r="Z206" i="2" s="1"/>
  <c r="AA206" i="2" s="1"/>
  <c r="N206" i="2"/>
  <c r="O206" i="2" s="1"/>
  <c r="P206" i="2" s="1"/>
  <c r="AC205" i="2"/>
  <c r="AB205" i="2"/>
  <c r="Y205" i="2"/>
  <c r="Z205" i="2" s="1"/>
  <c r="AA205" i="2" s="1"/>
  <c r="N205" i="2"/>
  <c r="O205" i="2" s="1"/>
  <c r="P205" i="2" s="1"/>
  <c r="AC204" i="2"/>
  <c r="AB204" i="2"/>
  <c r="Y204" i="2"/>
  <c r="Z204" i="2" s="1"/>
  <c r="AA204" i="2" s="1"/>
  <c r="N204" i="2"/>
  <c r="O204" i="2" s="1"/>
  <c r="P204" i="2" s="1"/>
  <c r="AB203" i="2"/>
  <c r="AC203" i="2" s="1"/>
  <c r="Y203" i="2"/>
  <c r="Z203" i="2" s="1"/>
  <c r="AA203" i="2" s="1"/>
  <c r="N203" i="2"/>
  <c r="O203" i="2" s="1"/>
  <c r="P203" i="2" s="1"/>
  <c r="AB202" i="2"/>
  <c r="AC202" i="2" s="1"/>
  <c r="Y202" i="2"/>
  <c r="Z202" i="2" s="1"/>
  <c r="AA202" i="2" s="1"/>
  <c r="N202" i="2"/>
  <c r="O202" i="2" s="1"/>
  <c r="P202" i="2" s="1"/>
  <c r="AC201" i="2"/>
  <c r="AB201" i="2"/>
  <c r="Y201" i="2"/>
  <c r="Z201" i="2" s="1"/>
  <c r="AA201" i="2" s="1"/>
  <c r="N201" i="2"/>
  <c r="O201" i="2" s="1"/>
  <c r="P201" i="2" s="1"/>
  <c r="AB200" i="2"/>
  <c r="AC200" i="2" s="1"/>
  <c r="Y200" i="2"/>
  <c r="Z200" i="2" s="1"/>
  <c r="AA200" i="2" s="1"/>
  <c r="P200" i="2"/>
  <c r="AB199" i="2"/>
  <c r="AC199" i="2" s="1"/>
  <c r="Y199" i="2"/>
  <c r="Z199" i="2" s="1"/>
  <c r="AA199" i="2" s="1"/>
  <c r="N199" i="2"/>
  <c r="O199" i="2" s="1"/>
  <c r="P199" i="2" s="1"/>
  <c r="AB198" i="2"/>
  <c r="AC198" i="2" s="1"/>
  <c r="Y198" i="2"/>
  <c r="Z198" i="2" s="1"/>
  <c r="AA198" i="2" s="1"/>
  <c r="N198" i="2"/>
  <c r="O198" i="2" s="1"/>
  <c r="P198" i="2" s="1"/>
  <c r="AB197" i="2"/>
  <c r="AC197" i="2" s="1"/>
  <c r="Y197" i="2"/>
  <c r="Z197" i="2" s="1"/>
  <c r="AA197" i="2" s="1"/>
  <c r="N197" i="2"/>
  <c r="O197" i="2" s="1"/>
  <c r="P197" i="2" s="1"/>
  <c r="AC196" i="2"/>
  <c r="AB196" i="2"/>
  <c r="AA196" i="2"/>
  <c r="Y196" i="2"/>
  <c r="Z196" i="2" s="1"/>
  <c r="N196" i="2"/>
  <c r="O196" i="2" s="1"/>
  <c r="P196" i="2" s="1"/>
  <c r="AB195" i="2"/>
  <c r="AC195" i="2" s="1"/>
  <c r="Y195" i="2"/>
  <c r="Z195" i="2" s="1"/>
  <c r="AA195" i="2" s="1"/>
  <c r="O195" i="2"/>
  <c r="P195" i="2" s="1"/>
  <c r="N195" i="2"/>
  <c r="AB194" i="2"/>
  <c r="AC194" i="2" s="1"/>
  <c r="Y194" i="2"/>
  <c r="Z194" i="2" s="1"/>
  <c r="AA194" i="2" s="1"/>
  <c r="N194" i="2"/>
  <c r="O194" i="2" s="1"/>
  <c r="P194" i="2" s="1"/>
  <c r="AB193" i="2"/>
  <c r="AC193" i="2" s="1"/>
  <c r="Y193" i="2"/>
  <c r="Z193" i="2" s="1"/>
  <c r="AA193" i="2" s="1"/>
  <c r="N193" i="2"/>
  <c r="O193" i="2" s="1"/>
  <c r="P193" i="2" s="1"/>
  <c r="AB192" i="2"/>
  <c r="AC192" i="2" s="1"/>
  <c r="Y192" i="2"/>
  <c r="Z192" i="2" s="1"/>
  <c r="AA192" i="2" s="1"/>
  <c r="N192" i="2"/>
  <c r="O192" i="2" s="1"/>
  <c r="P192" i="2" s="1"/>
  <c r="AB191" i="2"/>
  <c r="AC191" i="2" s="1"/>
  <c r="Y191" i="2"/>
  <c r="Z191" i="2" s="1"/>
  <c r="AA191" i="2" s="1"/>
  <c r="N191" i="2"/>
  <c r="O191" i="2" s="1"/>
  <c r="P191" i="2" s="1"/>
  <c r="AB190" i="2"/>
  <c r="AC190" i="2" s="1"/>
  <c r="AA190" i="2"/>
  <c r="Y190" i="2"/>
  <c r="Z190" i="2" s="1"/>
  <c r="O190" i="2"/>
  <c r="P190" i="2" s="1"/>
  <c r="N190" i="2"/>
  <c r="AB189" i="2"/>
  <c r="AC189" i="2" s="1"/>
  <c r="Y189" i="2"/>
  <c r="Z189" i="2" s="1"/>
  <c r="AA189" i="2" s="1"/>
  <c r="N189" i="2"/>
  <c r="O189" i="2" s="1"/>
  <c r="P189" i="2" s="1"/>
  <c r="AB188" i="2"/>
  <c r="AC188" i="2" s="1"/>
  <c r="Y188" i="2"/>
  <c r="Z188" i="2" s="1"/>
  <c r="AA188" i="2" s="1"/>
  <c r="N188" i="2"/>
  <c r="O188" i="2" s="1"/>
  <c r="P188" i="2" s="1"/>
  <c r="AB187" i="2"/>
  <c r="AC187" i="2" s="1"/>
  <c r="AA187" i="2"/>
  <c r="Y187" i="2"/>
  <c r="Z187" i="2" s="1"/>
  <c r="N187" i="2"/>
  <c r="O187" i="2" s="1"/>
  <c r="P187" i="2" s="1"/>
  <c r="AB186" i="2"/>
  <c r="AC186" i="2" s="1"/>
  <c r="AA186" i="2"/>
  <c r="Y186" i="2"/>
  <c r="Z186" i="2" s="1"/>
  <c r="N186" i="2"/>
  <c r="O186" i="2" s="1"/>
  <c r="P186" i="2" s="1"/>
  <c r="AB185" i="2"/>
  <c r="AC185" i="2" s="1"/>
  <c r="Y185" i="2"/>
  <c r="Z185" i="2" s="1"/>
  <c r="AA185" i="2" s="1"/>
  <c r="O185" i="2"/>
  <c r="P185" i="2" s="1"/>
  <c r="N185" i="2"/>
  <c r="AC184" i="2"/>
  <c r="AB184" i="2"/>
  <c r="Y184" i="2"/>
  <c r="Z184" i="2" s="1"/>
  <c r="AA184" i="2" s="1"/>
  <c r="O184" i="2"/>
  <c r="P184" i="2" s="1"/>
  <c r="N184" i="2"/>
  <c r="AB183" i="2"/>
  <c r="AC183" i="2" s="1"/>
  <c r="Y183" i="2"/>
  <c r="Z183" i="2" s="1"/>
  <c r="AA183" i="2" s="1"/>
  <c r="N183" i="2"/>
  <c r="O183" i="2" s="1"/>
  <c r="P183" i="2" s="1"/>
  <c r="AC182" i="2"/>
  <c r="AB182" i="2"/>
  <c r="AA182" i="2"/>
  <c r="Y182" i="2"/>
  <c r="Z182" i="2" s="1"/>
  <c r="N182" i="2"/>
  <c r="O182" i="2" s="1"/>
  <c r="P182" i="2" s="1"/>
  <c r="AB181" i="2"/>
  <c r="AC181" i="2" s="1"/>
  <c r="Y181" i="2"/>
  <c r="Z181" i="2" s="1"/>
  <c r="AA181" i="2" s="1"/>
  <c r="N181" i="2"/>
  <c r="O181" i="2" s="1"/>
  <c r="P181" i="2" s="1"/>
  <c r="AB180" i="2"/>
  <c r="AC180" i="2" s="1"/>
  <c r="Y180" i="2"/>
  <c r="Z180" i="2" s="1"/>
  <c r="AA180" i="2" s="1"/>
  <c r="P180" i="2"/>
  <c r="N180" i="2"/>
  <c r="O180" i="2" s="1"/>
  <c r="AB179" i="2"/>
  <c r="AC179" i="2" s="1"/>
  <c r="AA179" i="2"/>
  <c r="Y179" i="2"/>
  <c r="Z179" i="2" s="1"/>
  <c r="O179" i="2"/>
  <c r="P179" i="2" s="1"/>
  <c r="N179" i="2"/>
  <c r="AB178" i="2"/>
  <c r="AC178" i="2" s="1"/>
  <c r="Y178" i="2"/>
  <c r="Z178" i="2" s="1"/>
  <c r="AA178" i="2" s="1"/>
  <c r="N178" i="2"/>
  <c r="O178" i="2" s="1"/>
  <c r="P178" i="2" s="1"/>
  <c r="AB177" i="2"/>
  <c r="AC177" i="2" s="1"/>
  <c r="Y177" i="2"/>
  <c r="Z177" i="2" s="1"/>
  <c r="AA177" i="2" s="1"/>
  <c r="O177" i="2"/>
  <c r="P177" i="2" s="1"/>
  <c r="N177" i="2"/>
  <c r="AB176" i="2"/>
  <c r="AC176" i="2" s="1"/>
  <c r="Y176" i="2"/>
  <c r="Z176" i="2" s="1"/>
  <c r="AA176" i="2" s="1"/>
  <c r="O176" i="2"/>
  <c r="P176" i="2" s="1"/>
  <c r="N176" i="2"/>
  <c r="AB175" i="2"/>
  <c r="AC175" i="2" s="1"/>
  <c r="Y175" i="2"/>
  <c r="Z175" i="2" s="1"/>
  <c r="AA175" i="2" s="1"/>
  <c r="N175" i="2"/>
  <c r="O175" i="2" s="1"/>
  <c r="P175" i="2" s="1"/>
  <c r="AC174" i="2"/>
  <c r="AB174" i="2"/>
  <c r="AA174" i="2"/>
  <c r="Y174" i="2"/>
  <c r="Z174" i="2" s="1"/>
  <c r="N174" i="2"/>
  <c r="O174" i="2" s="1"/>
  <c r="P174" i="2" s="1"/>
  <c r="AC173" i="2"/>
  <c r="AB173" i="2"/>
  <c r="Y173" i="2"/>
  <c r="Z173" i="2" s="1"/>
  <c r="AA173" i="2" s="1"/>
  <c r="N173" i="2"/>
  <c r="O173" i="2" s="1"/>
  <c r="P173" i="2" s="1"/>
  <c r="AB172" i="2"/>
  <c r="AC172" i="2" s="1"/>
  <c r="AA172" i="2"/>
  <c r="Y172" i="2"/>
  <c r="Z172" i="2" s="1"/>
  <c r="N172" i="2"/>
  <c r="O172" i="2" s="1"/>
  <c r="P172" i="2" s="1"/>
  <c r="AB171" i="2"/>
  <c r="AC171" i="2" s="1"/>
  <c r="Y171" i="2"/>
  <c r="Z171" i="2" s="1"/>
  <c r="AA171" i="2" s="1"/>
  <c r="N171" i="2"/>
  <c r="O171" i="2" s="1"/>
  <c r="P171" i="2" s="1"/>
  <c r="AB170" i="2"/>
  <c r="AC170" i="2" s="1"/>
  <c r="Y170" i="2"/>
  <c r="Z170" i="2" s="1"/>
  <c r="AA170" i="2" s="1"/>
  <c r="N170" i="2"/>
  <c r="O170" i="2" s="1"/>
  <c r="P170" i="2" s="1"/>
  <c r="AB169" i="2"/>
  <c r="AC169" i="2" s="1"/>
  <c r="Y169" i="2"/>
  <c r="Z169" i="2" s="1"/>
  <c r="AA169" i="2" s="1"/>
  <c r="O169" i="2"/>
  <c r="P169" i="2" s="1"/>
  <c r="N169" i="2"/>
  <c r="AB168" i="2"/>
  <c r="AC168" i="2" s="1"/>
  <c r="Y168" i="2"/>
  <c r="Z168" i="2" s="1"/>
  <c r="AA168" i="2" s="1"/>
  <c r="N168" i="2"/>
  <c r="O168" i="2" s="1"/>
  <c r="P168" i="2" s="1"/>
  <c r="AB167" i="2"/>
  <c r="AC167" i="2" s="1"/>
  <c r="Y167" i="2"/>
  <c r="Z167" i="2" s="1"/>
  <c r="AA167" i="2" s="1"/>
  <c r="N167" i="2"/>
  <c r="O167" i="2" s="1"/>
  <c r="P167" i="2" s="1"/>
  <c r="AB166" i="2"/>
  <c r="AC166" i="2" s="1"/>
  <c r="Y166" i="2"/>
  <c r="Z166" i="2" s="1"/>
  <c r="AA166" i="2" s="1"/>
  <c r="O166" i="2"/>
  <c r="P166" i="2" s="1"/>
  <c r="N166" i="2"/>
  <c r="AC165" i="2"/>
  <c r="AB165" i="2"/>
  <c r="Y165" i="2"/>
  <c r="Z165" i="2" s="1"/>
  <c r="AA165" i="2" s="1"/>
  <c r="O165" i="2"/>
  <c r="P165" i="2" s="1"/>
  <c r="N165" i="2"/>
  <c r="AB164" i="2"/>
  <c r="AC164" i="2" s="1"/>
  <c r="AA164" i="2"/>
  <c r="Y164" i="2"/>
  <c r="Z164" i="2" s="1"/>
  <c r="N164" i="2"/>
  <c r="O164" i="2" s="1"/>
  <c r="P164" i="2" s="1"/>
  <c r="AC163" i="2"/>
  <c r="AB163" i="2"/>
  <c r="AA163" i="2"/>
  <c r="Y163" i="2"/>
  <c r="Z163" i="2" s="1"/>
  <c r="N163" i="2"/>
  <c r="O163" i="2" s="1"/>
  <c r="P163" i="2" s="1"/>
  <c r="AB162" i="2"/>
  <c r="AC162" i="2" s="1"/>
  <c r="AA162" i="2"/>
  <c r="Y162" i="2"/>
  <c r="Z162" i="2" s="1"/>
  <c r="N162" i="2"/>
  <c r="O162" i="2" s="1"/>
  <c r="P162" i="2" s="1"/>
  <c r="AC161" i="2"/>
  <c r="AB161" i="2"/>
  <c r="Y161" i="2"/>
  <c r="Z161" i="2" s="1"/>
  <c r="AA161" i="2" s="1"/>
  <c r="N161" i="2"/>
  <c r="O161" i="2" s="1"/>
  <c r="P161" i="2" s="1"/>
  <c r="AB160" i="2"/>
  <c r="AC160" i="2" s="1"/>
  <c r="Y160" i="2"/>
  <c r="Z160" i="2" s="1"/>
  <c r="AA160" i="2" s="1"/>
  <c r="N160" i="2"/>
  <c r="O160" i="2" s="1"/>
  <c r="P160" i="2" s="1"/>
  <c r="AB159" i="2"/>
  <c r="AC159" i="2" s="1"/>
  <c r="Y159" i="2"/>
  <c r="Z159" i="2" s="1"/>
  <c r="AA159" i="2" s="1"/>
  <c r="N159" i="2"/>
  <c r="O159" i="2" s="1"/>
  <c r="P159" i="2" s="1"/>
  <c r="AB158" i="2"/>
  <c r="AC158" i="2" s="1"/>
  <c r="Y158" i="2"/>
  <c r="Z158" i="2" s="1"/>
  <c r="AA158" i="2" s="1"/>
  <c r="N158" i="2"/>
  <c r="O158" i="2" s="1"/>
  <c r="P158" i="2" s="1"/>
  <c r="AB157" i="2"/>
  <c r="AC157" i="2" s="1"/>
  <c r="Y157" i="2"/>
  <c r="Z157" i="2" s="1"/>
  <c r="AA157" i="2" s="1"/>
  <c r="N157" i="2"/>
  <c r="O157" i="2" s="1"/>
  <c r="P157" i="2" s="1"/>
  <c r="AB156" i="2"/>
  <c r="AC156" i="2" s="1"/>
  <c r="Y156" i="2"/>
  <c r="Z156" i="2" s="1"/>
  <c r="AA156" i="2" s="1"/>
  <c r="N156" i="2"/>
  <c r="O156" i="2" s="1"/>
  <c r="P156" i="2" s="1"/>
  <c r="AB155" i="2"/>
  <c r="AC155" i="2" s="1"/>
  <c r="Y155" i="2"/>
  <c r="Z155" i="2" s="1"/>
  <c r="AA155" i="2" s="1"/>
  <c r="N155" i="2"/>
  <c r="O155" i="2" s="1"/>
  <c r="P155" i="2" s="1"/>
  <c r="AC154" i="2"/>
  <c r="AB154" i="2"/>
  <c r="Z154" i="2"/>
  <c r="AA154" i="2" s="1"/>
  <c r="Y154" i="2"/>
  <c r="N154" i="2"/>
  <c r="O154" i="2" s="1"/>
  <c r="P154" i="2" s="1"/>
  <c r="AC153" i="2"/>
  <c r="AB153" i="2"/>
  <c r="Y153" i="2"/>
  <c r="Z153" i="2" s="1"/>
  <c r="AA153" i="2" s="1"/>
  <c r="N153" i="2"/>
  <c r="O153" i="2" s="1"/>
  <c r="P153" i="2" s="1"/>
  <c r="AB152" i="2"/>
  <c r="AC152" i="2" s="1"/>
  <c r="Y152" i="2"/>
  <c r="Z152" i="2" s="1"/>
  <c r="AA152" i="2" s="1"/>
  <c r="N152" i="2"/>
  <c r="O152" i="2" s="1"/>
  <c r="P152" i="2" s="1"/>
  <c r="AB151" i="2"/>
  <c r="AC151" i="2" s="1"/>
  <c r="Y151" i="2"/>
  <c r="Z151" i="2" s="1"/>
  <c r="AA151" i="2" s="1"/>
  <c r="N151" i="2"/>
  <c r="O151" i="2" s="1"/>
  <c r="P151" i="2" s="1"/>
  <c r="AC150" i="2"/>
  <c r="AB150" i="2"/>
  <c r="Y150" i="2"/>
  <c r="Z150" i="2" s="1"/>
  <c r="AA150" i="2" s="1"/>
  <c r="N150" i="2"/>
  <c r="O150" i="2" s="1"/>
  <c r="P150" i="2" s="1"/>
  <c r="AC149" i="2"/>
  <c r="AB149" i="2"/>
  <c r="Y149" i="2"/>
  <c r="Z149" i="2" s="1"/>
  <c r="AA149" i="2" s="1"/>
  <c r="N149" i="2"/>
  <c r="O149" i="2" s="1"/>
  <c r="P149" i="2" s="1"/>
  <c r="AB148" i="2"/>
  <c r="AC148" i="2" s="1"/>
  <c r="Y148" i="2"/>
  <c r="Z148" i="2" s="1"/>
  <c r="AA148" i="2" s="1"/>
  <c r="N148" i="2"/>
  <c r="O148" i="2" s="1"/>
  <c r="P148" i="2" s="1"/>
  <c r="AB147" i="2"/>
  <c r="AC147" i="2" s="1"/>
  <c r="Z147" i="2"/>
  <c r="AA147" i="2" s="1"/>
  <c r="Y147" i="2"/>
  <c r="N147" i="2"/>
  <c r="O147" i="2" s="1"/>
  <c r="P147" i="2" s="1"/>
  <c r="AC146" i="2"/>
  <c r="AB146" i="2"/>
  <c r="Y146" i="2"/>
  <c r="Z146" i="2" s="1"/>
  <c r="AA146" i="2" s="1"/>
  <c r="N146" i="2"/>
  <c r="O146" i="2" s="1"/>
  <c r="P146" i="2" s="1"/>
  <c r="AC145" i="2"/>
  <c r="AB145" i="2"/>
  <c r="Y145" i="2"/>
  <c r="Z145" i="2" s="1"/>
  <c r="AA145" i="2" s="1"/>
  <c r="N145" i="2"/>
  <c r="O145" i="2" s="1"/>
  <c r="P145" i="2" s="1"/>
  <c r="AB143" i="2"/>
  <c r="AC143" i="2" s="1"/>
  <c r="Y143" i="2"/>
  <c r="Z143" i="2" s="1"/>
  <c r="AA143" i="2" s="1"/>
  <c r="N143" i="2"/>
  <c r="O143" i="2" s="1"/>
  <c r="P143" i="2" s="1"/>
  <c r="AB142" i="2"/>
  <c r="AC142" i="2" s="1"/>
  <c r="Z142" i="2"/>
  <c r="AA142" i="2" s="1"/>
  <c r="Y142" i="2"/>
  <c r="N142" i="2"/>
  <c r="O142" i="2" s="1"/>
  <c r="P142" i="2" s="1"/>
  <c r="AB141" i="2"/>
  <c r="AC141" i="2" s="1"/>
  <c r="Z141" i="2"/>
  <c r="AA141" i="2" s="1"/>
  <c r="Y141" i="2"/>
  <c r="N141" i="2"/>
  <c r="O141" i="2" s="1"/>
  <c r="P141" i="2" s="1"/>
  <c r="AB140" i="2"/>
  <c r="AC140" i="2" s="1"/>
  <c r="Y140" i="2"/>
  <c r="Z140" i="2" s="1"/>
  <c r="AA140" i="2" s="1"/>
  <c r="N140" i="2"/>
  <c r="O140" i="2" s="1"/>
  <c r="P140" i="2" s="1"/>
  <c r="AB139" i="2"/>
  <c r="AC139" i="2" s="1"/>
  <c r="Y139" i="2"/>
  <c r="Z139" i="2" s="1"/>
  <c r="AA139" i="2" s="1"/>
  <c r="N139" i="2"/>
  <c r="O139" i="2" s="1"/>
  <c r="P139" i="2" s="1"/>
  <c r="AB138" i="2"/>
  <c r="AC138" i="2" s="1"/>
  <c r="Y138" i="2"/>
  <c r="Z138" i="2" s="1"/>
  <c r="AA138" i="2" s="1"/>
  <c r="N138" i="2"/>
  <c r="O138" i="2" s="1"/>
  <c r="P138" i="2" s="1"/>
  <c r="AB137" i="2"/>
  <c r="AC137" i="2" s="1"/>
  <c r="Z137" i="2"/>
  <c r="AA137" i="2" s="1"/>
  <c r="Y137" i="2"/>
  <c r="N137" i="2"/>
  <c r="O137" i="2" s="1"/>
  <c r="P137" i="2" s="1"/>
  <c r="AC136" i="2"/>
  <c r="AB136" i="2"/>
  <c r="Y136" i="2"/>
  <c r="Z136" i="2" s="1"/>
  <c r="AA136" i="2" s="1"/>
  <c r="N136" i="2"/>
  <c r="O136" i="2" s="1"/>
  <c r="P136" i="2" s="1"/>
  <c r="AB135" i="2"/>
  <c r="AC135" i="2" s="1"/>
  <c r="Y135" i="2"/>
  <c r="Z135" i="2" s="1"/>
  <c r="AA135" i="2" s="1"/>
  <c r="P135" i="2"/>
  <c r="O135" i="2"/>
  <c r="AC134" i="2"/>
  <c r="AB134" i="2"/>
  <c r="AA134" i="2"/>
  <c r="Z134" i="2"/>
  <c r="Y134" i="2"/>
  <c r="P134" i="2"/>
  <c r="O134" i="2"/>
  <c r="N134" i="2"/>
  <c r="AC133" i="2"/>
  <c r="AB133" i="2"/>
  <c r="AA133" i="2"/>
  <c r="Z133" i="2"/>
  <c r="Y133" i="2"/>
  <c r="P133" i="2"/>
  <c r="O133" i="2"/>
  <c r="N133" i="2"/>
  <c r="AC132" i="2"/>
  <c r="AB132" i="2"/>
  <c r="AA132" i="2"/>
  <c r="Z132" i="2"/>
  <c r="Y132" i="2"/>
  <c r="P132" i="2"/>
  <c r="O132" i="2"/>
  <c r="N132" i="2"/>
  <c r="AC131" i="2"/>
  <c r="AB131" i="2"/>
  <c r="AA131" i="2"/>
  <c r="Z131" i="2"/>
  <c r="Y131" i="2"/>
  <c r="P131" i="2"/>
  <c r="O131" i="2"/>
  <c r="N131" i="2"/>
  <c r="AC130" i="2"/>
  <c r="AB130" i="2"/>
  <c r="AA130" i="2"/>
  <c r="Z130" i="2"/>
  <c r="Y130" i="2"/>
  <c r="P130" i="2"/>
  <c r="O130" i="2"/>
  <c r="N130" i="2"/>
  <c r="AC129" i="2"/>
  <c r="AB129" i="2"/>
  <c r="AA129" i="2"/>
  <c r="Z129" i="2"/>
  <c r="Y129" i="2"/>
  <c r="P129" i="2"/>
  <c r="O129" i="2"/>
  <c r="N129" i="2"/>
  <c r="AC128" i="2"/>
  <c r="AB128" i="2"/>
  <c r="AA128" i="2"/>
  <c r="Z128" i="2"/>
  <c r="Y128" i="2"/>
  <c r="P128" i="2"/>
  <c r="O128" i="2"/>
  <c r="N128" i="2"/>
  <c r="AC127" i="2"/>
  <c r="AB127" i="2"/>
  <c r="AA127" i="2"/>
  <c r="Z127" i="2"/>
  <c r="Y127" i="2"/>
  <c r="P127" i="2"/>
  <c r="O127" i="2"/>
  <c r="N127" i="2"/>
  <c r="AC126" i="2"/>
  <c r="AB126" i="2"/>
  <c r="AA126" i="2"/>
  <c r="Z126" i="2"/>
  <c r="Y126" i="2"/>
  <c r="P126" i="2"/>
  <c r="O126" i="2"/>
  <c r="N126" i="2"/>
  <c r="AC125" i="2"/>
  <c r="AB125" i="2"/>
  <c r="AA125" i="2"/>
  <c r="Z125" i="2"/>
  <c r="Y125" i="2"/>
  <c r="P125" i="2"/>
  <c r="O125" i="2"/>
  <c r="N125" i="2"/>
  <c r="AC124" i="2"/>
  <c r="AB124" i="2"/>
  <c r="AA124" i="2"/>
  <c r="Z124" i="2"/>
  <c r="Y124" i="2"/>
  <c r="P124" i="2"/>
  <c r="O124" i="2"/>
  <c r="AB123" i="2"/>
  <c r="AC123" i="2" s="1"/>
  <c r="AA123" i="2"/>
  <c r="Y123" i="2"/>
  <c r="Z123" i="2" s="1"/>
  <c r="P123" i="2"/>
  <c r="O123" i="2"/>
  <c r="N123" i="2"/>
  <c r="AB122" i="2"/>
  <c r="AC122" i="2" s="1"/>
  <c r="Z122" i="2"/>
  <c r="AA122" i="2" s="1"/>
  <c r="Y122" i="2"/>
  <c r="N122" i="2"/>
  <c r="O122" i="2" s="1"/>
  <c r="P122" i="2" s="1"/>
  <c r="AB121" i="2"/>
  <c r="AC121" i="2" s="1"/>
  <c r="Y121" i="2"/>
  <c r="Z121" i="2" s="1"/>
  <c r="AA121" i="2" s="1"/>
  <c r="O121" i="2"/>
  <c r="P121" i="2" s="1"/>
  <c r="N121" i="2"/>
  <c r="AB120" i="2"/>
  <c r="AC120" i="2" s="1"/>
  <c r="Y120" i="2"/>
  <c r="Z120" i="2" s="1"/>
  <c r="AA120" i="2" s="1"/>
  <c r="O120" i="2"/>
  <c r="P120" i="2" s="1"/>
  <c r="N120" i="2"/>
  <c r="AB119" i="2"/>
  <c r="AC119" i="2" s="1"/>
  <c r="Z119" i="2"/>
  <c r="AA119" i="2" s="1"/>
  <c r="Y119" i="2"/>
  <c r="N119" i="2"/>
  <c r="O119" i="2" s="1"/>
  <c r="P119" i="2" s="1"/>
  <c r="AB118" i="2"/>
  <c r="AC118" i="2" s="1"/>
  <c r="AA118" i="2"/>
  <c r="Y118" i="2"/>
  <c r="Z118" i="2" s="1"/>
  <c r="N118" i="2"/>
  <c r="O118" i="2" s="1"/>
  <c r="P118" i="2" s="1"/>
  <c r="AB117" i="2"/>
  <c r="AC117" i="2" s="1"/>
  <c r="Z117" i="2"/>
  <c r="AA117" i="2" s="1"/>
  <c r="Y117" i="2"/>
  <c r="P117" i="2"/>
  <c r="O117" i="2"/>
  <c r="N117" i="2"/>
  <c r="AB116" i="2"/>
  <c r="AC116" i="2" s="1"/>
  <c r="Y116" i="2"/>
  <c r="Z116" i="2" s="1"/>
  <c r="AA116" i="2" s="1"/>
  <c r="N116" i="2"/>
  <c r="O116" i="2" s="1"/>
  <c r="P116" i="2" s="1"/>
  <c r="AB115" i="2"/>
  <c r="AC115" i="2" s="1"/>
  <c r="Y115" i="2"/>
  <c r="Z115" i="2" s="1"/>
  <c r="AA115" i="2" s="1"/>
  <c r="N115" i="2"/>
  <c r="O115" i="2" s="1"/>
  <c r="P115" i="2" s="1"/>
  <c r="AB114" i="2"/>
  <c r="AC114" i="2" s="1"/>
  <c r="Y114" i="2"/>
  <c r="Z114" i="2" s="1"/>
  <c r="AA114" i="2" s="1"/>
  <c r="N114" i="2"/>
  <c r="O114" i="2" s="1"/>
  <c r="P114" i="2" s="1"/>
  <c r="AB113" i="2"/>
  <c r="AC113" i="2" s="1"/>
  <c r="Y113" i="2"/>
  <c r="Z113" i="2" s="1"/>
  <c r="AA113" i="2" s="1"/>
  <c r="O113" i="2"/>
  <c r="P113" i="2" s="1"/>
  <c r="N113" i="2"/>
  <c r="AB112" i="2"/>
  <c r="AC112" i="2" s="1"/>
  <c r="Y112" i="2"/>
  <c r="Z112" i="2" s="1"/>
  <c r="AA112" i="2" s="1"/>
  <c r="O112" i="2"/>
  <c r="P112" i="2" s="1"/>
  <c r="N112" i="2"/>
  <c r="AB111" i="2"/>
  <c r="AC111" i="2" s="1"/>
  <c r="Z111" i="2"/>
  <c r="AA111" i="2" s="1"/>
  <c r="Y111" i="2"/>
  <c r="N111" i="2"/>
  <c r="O111" i="2" s="1"/>
  <c r="P111" i="2" s="1"/>
  <c r="AB110" i="2"/>
  <c r="AC110" i="2" s="1"/>
  <c r="Y110" i="2"/>
  <c r="Z110" i="2" s="1"/>
  <c r="AA110" i="2" s="1"/>
  <c r="O110" i="2"/>
  <c r="P110" i="2" s="1"/>
  <c r="N110" i="2"/>
  <c r="AB109" i="2"/>
  <c r="AC109" i="2" s="1"/>
  <c r="Y109" i="2"/>
  <c r="Z109" i="2" s="1"/>
  <c r="AA109" i="2" s="1"/>
  <c r="O109" i="2"/>
  <c r="P109" i="2" s="1"/>
  <c r="N109" i="2"/>
  <c r="AB108" i="2"/>
  <c r="AC108" i="2" s="1"/>
  <c r="Y108" i="2"/>
  <c r="Z108" i="2" s="1"/>
  <c r="AA108" i="2" s="1"/>
  <c r="O108" i="2"/>
  <c r="P108" i="2" s="1"/>
  <c r="N108" i="2"/>
  <c r="AB107" i="2"/>
  <c r="AC107" i="2" s="1"/>
  <c r="Y107" i="2"/>
  <c r="Z107" i="2" s="1"/>
  <c r="AA107" i="2" s="1"/>
  <c r="N107" i="2"/>
  <c r="O107" i="2" s="1"/>
  <c r="P107" i="2" s="1"/>
  <c r="AB106" i="2"/>
  <c r="AC106" i="2" s="1"/>
  <c r="Z106" i="2"/>
  <c r="AA106" i="2" s="1"/>
  <c r="Y106" i="2"/>
  <c r="O106" i="2"/>
  <c r="P106" i="2" s="1"/>
  <c r="N106" i="2"/>
  <c r="AB105" i="2"/>
  <c r="AC105" i="2" s="1"/>
  <c r="Y105" i="2"/>
  <c r="Z105" i="2" s="1"/>
  <c r="AA105" i="2" s="1"/>
  <c r="N105" i="2"/>
  <c r="O105" i="2" s="1"/>
  <c r="P105" i="2" s="1"/>
  <c r="AB104" i="2"/>
  <c r="AC104" i="2" s="1"/>
  <c r="Y104" i="2"/>
  <c r="Z104" i="2" s="1"/>
  <c r="AA104" i="2" s="1"/>
  <c r="N104" i="2"/>
  <c r="O104" i="2" s="1"/>
  <c r="P104" i="2" s="1"/>
  <c r="AB103" i="2"/>
  <c r="AC103" i="2" s="1"/>
  <c r="Y103" i="2"/>
  <c r="Z103" i="2" s="1"/>
  <c r="AA103" i="2" s="1"/>
  <c r="O103" i="2"/>
  <c r="P103" i="2" s="1"/>
  <c r="N103" i="2"/>
  <c r="AB102" i="2"/>
  <c r="AC102" i="2" s="1"/>
  <c r="Y102" i="2"/>
  <c r="Z102" i="2" s="1"/>
  <c r="AA102" i="2" s="1"/>
  <c r="O102" i="2"/>
  <c r="P102" i="2" s="1"/>
  <c r="N102" i="2"/>
  <c r="AB101" i="2"/>
  <c r="AC101" i="2" s="1"/>
  <c r="Z101" i="2"/>
  <c r="AA101" i="2" s="1"/>
  <c r="Y101" i="2"/>
  <c r="N101" i="2"/>
  <c r="O101" i="2" s="1"/>
  <c r="P101" i="2" s="1"/>
  <c r="AB100" i="2"/>
  <c r="AC100" i="2" s="1"/>
  <c r="Y100" i="2"/>
  <c r="Z100" i="2" s="1"/>
  <c r="AA100" i="2" s="1"/>
  <c r="O100" i="2"/>
  <c r="P100" i="2" s="1"/>
  <c r="N100" i="2"/>
  <c r="AB99" i="2"/>
  <c r="AC99" i="2" s="1"/>
  <c r="Y99" i="2"/>
  <c r="Z99" i="2" s="1"/>
  <c r="AA99" i="2" s="1"/>
  <c r="O99" i="2"/>
  <c r="P99" i="2" s="1"/>
  <c r="N99" i="2"/>
  <c r="AB98" i="2"/>
  <c r="AC98" i="2" s="1"/>
  <c r="Z98" i="2"/>
  <c r="AA98" i="2" s="1"/>
  <c r="Y98" i="2"/>
  <c r="N98" i="2"/>
  <c r="O98" i="2" s="1"/>
  <c r="P98" i="2" s="1"/>
  <c r="AB97" i="2"/>
  <c r="AC97" i="2" s="1"/>
  <c r="Y97" i="2"/>
  <c r="Z97" i="2" s="1"/>
  <c r="AA97" i="2" s="1"/>
  <c r="N97" i="2"/>
  <c r="O97" i="2" s="1"/>
  <c r="P97" i="2" s="1"/>
  <c r="AB96" i="2"/>
  <c r="AC96" i="2" s="1"/>
  <c r="Y96" i="2"/>
  <c r="Z96" i="2" s="1"/>
  <c r="AA96" i="2" s="1"/>
  <c r="O96" i="2"/>
  <c r="P96" i="2" s="1"/>
  <c r="N96" i="2"/>
  <c r="AB95" i="2"/>
  <c r="AC95" i="2" s="1"/>
  <c r="Y95" i="2"/>
  <c r="Z95" i="2" s="1"/>
  <c r="AA95" i="2" s="1"/>
  <c r="O95" i="2"/>
  <c r="P95" i="2" s="1"/>
  <c r="N95" i="2"/>
  <c r="AB94" i="2"/>
  <c r="AC94" i="2" s="1"/>
  <c r="Y94" i="2"/>
  <c r="Z94" i="2" s="1"/>
  <c r="AA94" i="2" s="1"/>
  <c r="N94" i="2"/>
  <c r="O94" i="2" s="1"/>
  <c r="P94" i="2" s="1"/>
  <c r="AB93" i="2"/>
  <c r="AC93" i="2" s="1"/>
  <c r="AA93" i="2"/>
  <c r="Z93" i="2"/>
  <c r="Y93" i="2"/>
  <c r="O93" i="2"/>
  <c r="P93" i="2" s="1"/>
  <c r="N93" i="2"/>
  <c r="AB92" i="2"/>
  <c r="AC92" i="2" s="1"/>
  <c r="Z92" i="2"/>
  <c r="AA92" i="2" s="1"/>
  <c r="Y92" i="2"/>
  <c r="O92" i="2"/>
  <c r="P92" i="2" s="1"/>
  <c r="N92" i="2"/>
  <c r="AB91" i="2"/>
  <c r="AC91" i="2" s="1"/>
  <c r="Y91" i="2"/>
  <c r="Z91" i="2" s="1"/>
  <c r="AA91" i="2" s="1"/>
  <c r="N91" i="2"/>
  <c r="O91" i="2" s="1"/>
  <c r="P91" i="2" s="1"/>
  <c r="AB90" i="2"/>
  <c r="AC90" i="2" s="1"/>
  <c r="Y90" i="2"/>
  <c r="Z90" i="2" s="1"/>
  <c r="AA90" i="2" s="1"/>
  <c r="O90" i="2"/>
  <c r="P90" i="2" s="1"/>
  <c r="AC89" i="2"/>
  <c r="AB89" i="2"/>
  <c r="Y89" i="2"/>
  <c r="Z89" i="2" s="1"/>
  <c r="AA89" i="2" s="1"/>
  <c r="N89" i="2"/>
  <c r="O89" i="2" s="1"/>
  <c r="P89" i="2" s="1"/>
  <c r="AC88" i="2"/>
  <c r="AB88" i="2"/>
  <c r="Y88" i="2"/>
  <c r="Z88" i="2" s="1"/>
  <c r="AA88" i="2" s="1"/>
  <c r="N88" i="2"/>
  <c r="O88" i="2" s="1"/>
  <c r="P88" i="2" s="1"/>
  <c r="AB87" i="2"/>
  <c r="AC87" i="2" s="1"/>
  <c r="Y87" i="2"/>
  <c r="Z87" i="2" s="1"/>
  <c r="AA87" i="2" s="1"/>
  <c r="O87" i="2"/>
  <c r="P87" i="2" s="1"/>
  <c r="N87" i="2"/>
  <c r="AC86" i="2"/>
  <c r="AB86" i="2"/>
  <c r="Y86" i="2"/>
  <c r="Z86" i="2" s="1"/>
  <c r="AA86" i="2" s="1"/>
  <c r="N86" i="2"/>
  <c r="O86" i="2" s="1"/>
  <c r="P86" i="2" s="1"/>
  <c r="AC85" i="2"/>
  <c r="AB85" i="2"/>
  <c r="Y85" i="2"/>
  <c r="Z85" i="2" s="1"/>
  <c r="AA85" i="2" s="1"/>
  <c r="N85" i="2"/>
  <c r="O85" i="2" s="1"/>
  <c r="P85" i="2" s="1"/>
  <c r="AC84" i="2"/>
  <c r="AB84" i="2"/>
  <c r="Y84" i="2"/>
  <c r="Z84" i="2" s="1"/>
  <c r="AA84" i="2" s="1"/>
  <c r="N84" i="2"/>
  <c r="O84" i="2" s="1"/>
  <c r="P84" i="2" s="1"/>
  <c r="AB83" i="2"/>
  <c r="AC83" i="2" s="1"/>
  <c r="Y83" i="2"/>
  <c r="Z83" i="2" s="1"/>
  <c r="AA83" i="2" s="1"/>
  <c r="O83" i="2"/>
  <c r="P83" i="2" s="1"/>
  <c r="N83" i="2"/>
  <c r="AC82" i="2"/>
  <c r="AB82" i="2"/>
  <c r="Y82" i="2"/>
  <c r="Z82" i="2" s="1"/>
  <c r="AA82" i="2" s="1"/>
  <c r="N82" i="2"/>
  <c r="O82" i="2" s="1"/>
  <c r="P82" i="2" s="1"/>
  <c r="AC81" i="2"/>
  <c r="AB81" i="2"/>
  <c r="Y81" i="2"/>
  <c r="Z81" i="2" s="1"/>
  <c r="AA81" i="2" s="1"/>
  <c r="N81" i="2"/>
  <c r="O81" i="2" s="1"/>
  <c r="P81" i="2" s="1"/>
  <c r="AC80" i="2"/>
  <c r="AB80" i="2"/>
  <c r="Y80" i="2"/>
  <c r="Z80" i="2" s="1"/>
  <c r="AA80" i="2" s="1"/>
  <c r="N80" i="2"/>
  <c r="O80" i="2" s="1"/>
  <c r="P80" i="2" s="1"/>
  <c r="AC79" i="2"/>
  <c r="AB79" i="2"/>
  <c r="Y79" i="2"/>
  <c r="Z79" i="2" s="1"/>
  <c r="AA79" i="2" s="1"/>
  <c r="O79" i="2"/>
  <c r="P79" i="2" s="1"/>
  <c r="N79" i="2"/>
  <c r="AC78" i="2"/>
  <c r="AB78" i="2"/>
  <c r="Y78" i="2"/>
  <c r="Z78" i="2" s="1"/>
  <c r="AA78" i="2" s="1"/>
  <c r="N78" i="2"/>
  <c r="O78" i="2" s="1"/>
  <c r="P78" i="2" s="1"/>
  <c r="AC77" i="2"/>
  <c r="AB77" i="2"/>
  <c r="Y77" i="2"/>
  <c r="Z77" i="2" s="1"/>
  <c r="AA77" i="2" s="1"/>
  <c r="N77" i="2"/>
  <c r="O77" i="2" s="1"/>
  <c r="P77" i="2" s="1"/>
  <c r="AC76" i="2"/>
  <c r="AB76" i="2"/>
  <c r="Y76" i="2"/>
  <c r="Z76" i="2" s="1"/>
  <c r="AA76" i="2" s="1"/>
  <c r="O76" i="2"/>
  <c r="P76" i="2" s="1"/>
  <c r="N76" i="2"/>
  <c r="AB75" i="2"/>
  <c r="AC75" i="2" s="1"/>
  <c r="Y75" i="2"/>
  <c r="Z75" i="2" s="1"/>
  <c r="AA75" i="2" s="1"/>
  <c r="O75" i="2"/>
  <c r="P75" i="2" s="1"/>
  <c r="N75" i="2"/>
  <c r="AC74" i="2"/>
  <c r="AB74" i="2"/>
  <c r="Y74" i="2"/>
  <c r="Z74" i="2" s="1"/>
  <c r="AA74" i="2" s="1"/>
  <c r="N74" i="2"/>
  <c r="O74" i="2" s="1"/>
  <c r="P74" i="2" s="1"/>
  <c r="AC73" i="2"/>
  <c r="AB73" i="2"/>
  <c r="Y73" i="2"/>
  <c r="Z73" i="2" s="1"/>
  <c r="AA73" i="2" s="1"/>
  <c r="N73" i="2"/>
  <c r="O73" i="2" s="1"/>
  <c r="P73" i="2" s="1"/>
  <c r="AC72" i="2"/>
  <c r="AB72" i="2"/>
  <c r="Y72" i="2"/>
  <c r="Z72" i="2" s="1"/>
  <c r="AA72" i="2" s="1"/>
  <c r="N72" i="2"/>
  <c r="O72" i="2" s="1"/>
  <c r="P72" i="2" s="1"/>
  <c r="AB71" i="2"/>
  <c r="AC71" i="2" s="1"/>
  <c r="Y71" i="2"/>
  <c r="Z71" i="2" s="1"/>
  <c r="AA71" i="2" s="1"/>
  <c r="O71" i="2"/>
  <c r="P71" i="2" s="1"/>
  <c r="N71" i="2"/>
  <c r="AB70" i="2"/>
  <c r="AC70" i="2" s="1"/>
  <c r="Y70" i="2"/>
  <c r="Z70" i="2" s="1"/>
  <c r="AA70" i="2" s="1"/>
  <c r="N70" i="2"/>
  <c r="O70" i="2" s="1"/>
  <c r="P70" i="2" s="1"/>
  <c r="AB69" i="2"/>
  <c r="AC69" i="2" s="1"/>
  <c r="Z69" i="2"/>
  <c r="AA69" i="2" s="1"/>
  <c r="Y69" i="2"/>
  <c r="O69" i="2"/>
  <c r="P69" i="2" s="1"/>
  <c r="N69" i="2"/>
  <c r="AB68" i="2"/>
  <c r="AC68" i="2" s="1"/>
  <c r="Y68" i="2"/>
  <c r="Z68" i="2" s="1"/>
  <c r="AA68" i="2" s="1"/>
  <c r="N68" i="2"/>
  <c r="O68" i="2" s="1"/>
  <c r="P68" i="2" s="1"/>
  <c r="AB67" i="2"/>
  <c r="AC67" i="2" s="1"/>
  <c r="Z67" i="2"/>
  <c r="AA67" i="2" s="1"/>
  <c r="Y67" i="2"/>
  <c r="N67" i="2"/>
  <c r="O67" i="2" s="1"/>
  <c r="P67" i="2" s="1"/>
  <c r="AB66" i="2"/>
  <c r="AC66" i="2" s="1"/>
  <c r="Y66" i="2"/>
  <c r="Z66" i="2" s="1"/>
  <c r="AA66" i="2" s="1"/>
  <c r="N66" i="2"/>
  <c r="O66" i="2" s="1"/>
  <c r="P66" i="2" s="1"/>
  <c r="AB65" i="2"/>
  <c r="AC65" i="2" s="1"/>
  <c r="Y65" i="2"/>
  <c r="Z65" i="2" s="1"/>
  <c r="AA65" i="2" s="1"/>
  <c r="N65" i="2"/>
  <c r="O65" i="2" s="1"/>
  <c r="P65" i="2" s="1"/>
  <c r="AB64" i="2"/>
  <c r="AC64" i="2" s="1"/>
  <c r="Z64" i="2"/>
  <c r="AA64" i="2" s="1"/>
  <c r="Y64" i="2"/>
  <c r="O64" i="2"/>
  <c r="P64" i="2" s="1"/>
  <c r="N64" i="2"/>
  <c r="AB63" i="2"/>
  <c r="AC63" i="2" s="1"/>
  <c r="Y63" i="2"/>
  <c r="Z63" i="2" s="1"/>
  <c r="AA63" i="2" s="1"/>
  <c r="O63" i="2"/>
  <c r="P63" i="2" s="1"/>
  <c r="N63" i="2"/>
  <c r="AB62" i="2"/>
  <c r="AC62" i="2" s="1"/>
  <c r="Y62" i="2"/>
  <c r="Z62" i="2" s="1"/>
  <c r="AA62" i="2" s="1"/>
  <c r="N62" i="2"/>
  <c r="O62" i="2" s="1"/>
  <c r="P62" i="2" s="1"/>
  <c r="AB61" i="2"/>
  <c r="AC61" i="2" s="1"/>
  <c r="Z61" i="2"/>
  <c r="AA61" i="2" s="1"/>
  <c r="Y61" i="2"/>
  <c r="N61" i="2"/>
  <c r="O61" i="2" s="1"/>
  <c r="P61" i="2" s="1"/>
  <c r="AB60" i="2"/>
  <c r="AC60" i="2" s="1"/>
  <c r="Y60" i="2"/>
  <c r="Z60" i="2" s="1"/>
  <c r="AA60" i="2" s="1"/>
  <c r="N60" i="2"/>
  <c r="O60" i="2" s="1"/>
  <c r="P60" i="2" s="1"/>
  <c r="AB59" i="2"/>
  <c r="AC59" i="2" s="1"/>
  <c r="Y59" i="2"/>
  <c r="Z59" i="2" s="1"/>
  <c r="AA59" i="2" s="1"/>
  <c r="N59" i="2"/>
  <c r="O59" i="2" s="1"/>
  <c r="P59" i="2" s="1"/>
  <c r="AB58" i="2"/>
  <c r="AC58" i="2" s="1"/>
  <c r="Y58" i="2"/>
  <c r="Z58" i="2" s="1"/>
  <c r="AA58" i="2" s="1"/>
  <c r="O58" i="2"/>
  <c r="P58" i="2" s="1"/>
  <c r="N58" i="2"/>
  <c r="AB57" i="2"/>
  <c r="AC57" i="2" s="1"/>
  <c r="Y57" i="2"/>
  <c r="Z57" i="2" s="1"/>
  <c r="AA57" i="2" s="1"/>
  <c r="N57" i="2"/>
  <c r="O57" i="2" s="1"/>
  <c r="P57" i="2" s="1"/>
  <c r="AB56" i="2"/>
  <c r="AC56" i="2" s="1"/>
  <c r="Y56" i="2"/>
  <c r="Z56" i="2" s="1"/>
  <c r="AA56" i="2" s="1"/>
  <c r="O56" i="2"/>
  <c r="P56" i="2" s="1"/>
  <c r="N56" i="2"/>
  <c r="AB55" i="2"/>
  <c r="AC55" i="2" s="1"/>
  <c r="Y55" i="2"/>
  <c r="Z55" i="2" s="1"/>
  <c r="AA55" i="2" s="1"/>
  <c r="N55" i="2"/>
  <c r="O55" i="2" s="1"/>
  <c r="P55" i="2" s="1"/>
  <c r="AB54" i="2"/>
  <c r="AC54" i="2" s="1"/>
  <c r="Y54" i="2"/>
  <c r="Z54" i="2" s="1"/>
  <c r="AA54" i="2" s="1"/>
  <c r="P54" i="2"/>
  <c r="AB53" i="2"/>
  <c r="AC53" i="2" s="1"/>
  <c r="Z53" i="2"/>
  <c r="AA53" i="2" s="1"/>
  <c r="Y53" i="2"/>
  <c r="N53" i="2"/>
  <c r="O53" i="2" s="1"/>
  <c r="P53" i="2" s="1"/>
  <c r="AB52" i="2"/>
  <c r="AC52" i="2" s="1"/>
  <c r="Y52" i="2"/>
  <c r="Z52" i="2" s="1"/>
  <c r="AA52" i="2" s="1"/>
  <c r="O52" i="2"/>
  <c r="P52" i="2" s="1"/>
  <c r="N52" i="2"/>
  <c r="AB51" i="2"/>
  <c r="AC51" i="2" s="1"/>
  <c r="Z51" i="2"/>
  <c r="AA51" i="2" s="1"/>
  <c r="Y51" i="2"/>
  <c r="P51" i="2"/>
  <c r="N51" i="2"/>
  <c r="O51" i="2" s="1"/>
  <c r="AB50" i="2"/>
  <c r="AC50" i="2" s="1"/>
  <c r="Y50" i="2"/>
  <c r="Z50" i="2" s="1"/>
  <c r="AA50" i="2" s="1"/>
  <c r="O50" i="2"/>
  <c r="P50" i="2" s="1"/>
  <c r="N50" i="2"/>
  <c r="AC49" i="2"/>
  <c r="AB49" i="2"/>
  <c r="Z49" i="2"/>
  <c r="AA49" i="2" s="1"/>
  <c r="Y49" i="2"/>
  <c r="N49" i="2"/>
  <c r="O49" i="2" s="1"/>
  <c r="P49" i="2" s="1"/>
  <c r="AB48" i="2"/>
  <c r="AC48" i="2" s="1"/>
  <c r="Z48" i="2"/>
  <c r="AA48" i="2" s="1"/>
  <c r="Y48" i="2"/>
  <c r="N48" i="2"/>
  <c r="O48" i="2" s="1"/>
  <c r="P48" i="2" s="1"/>
  <c r="AB47" i="2"/>
  <c r="AC47" i="2" s="1"/>
  <c r="Z47" i="2"/>
  <c r="AA47" i="2" s="1"/>
  <c r="Y47" i="2"/>
  <c r="N47" i="2"/>
  <c r="O47" i="2" s="1"/>
  <c r="P47" i="2" s="1"/>
  <c r="AB46" i="2"/>
  <c r="AC46" i="2" s="1"/>
  <c r="Y46" i="2"/>
  <c r="Z46" i="2" s="1"/>
  <c r="AA46" i="2" s="1"/>
  <c r="N46" i="2"/>
  <c r="O46" i="2" s="1"/>
  <c r="P46" i="2" s="1"/>
  <c r="AB45" i="2"/>
  <c r="AC45" i="2" s="1"/>
  <c r="Y45" i="2"/>
  <c r="Z45" i="2" s="1"/>
  <c r="AA45" i="2" s="1"/>
  <c r="N45" i="2"/>
  <c r="O45" i="2" s="1"/>
  <c r="P45" i="2" s="1"/>
  <c r="AB44" i="2"/>
  <c r="AC44" i="2" s="1"/>
  <c r="Z44" i="2"/>
  <c r="AA44" i="2" s="1"/>
  <c r="Y44" i="2"/>
  <c r="N44" i="2"/>
  <c r="O44" i="2" s="1"/>
  <c r="P44" i="2" s="1"/>
  <c r="AB43" i="2"/>
  <c r="AC43" i="2" s="1"/>
  <c r="Y43" i="2"/>
  <c r="Z43" i="2" s="1"/>
  <c r="AA43" i="2" s="1"/>
  <c r="N43" i="2"/>
  <c r="O43" i="2" s="1"/>
  <c r="P43" i="2" s="1"/>
  <c r="AB42" i="2"/>
  <c r="AC42" i="2" s="1"/>
  <c r="Y42" i="2"/>
  <c r="Z42" i="2" s="1"/>
  <c r="AA42" i="2" s="1"/>
  <c r="N42" i="2"/>
  <c r="O42" i="2" s="1"/>
  <c r="P42" i="2" s="1"/>
  <c r="AB41" i="2"/>
  <c r="AC41" i="2" s="1"/>
  <c r="Y41" i="2"/>
  <c r="Z41" i="2" s="1"/>
  <c r="AA41" i="2" s="1"/>
  <c r="N41" i="2"/>
  <c r="O41" i="2" s="1"/>
  <c r="P41" i="2" s="1"/>
  <c r="AB40" i="2"/>
  <c r="AC40" i="2" s="1"/>
  <c r="Y40" i="2"/>
  <c r="Z40" i="2" s="1"/>
  <c r="AA40" i="2" s="1"/>
  <c r="N40" i="2"/>
  <c r="O40" i="2" s="1"/>
  <c r="P40" i="2" s="1"/>
  <c r="AB39" i="2"/>
  <c r="AC39" i="2" s="1"/>
  <c r="Y39" i="2"/>
  <c r="Z39" i="2" s="1"/>
  <c r="AA39" i="2" s="1"/>
  <c r="N39" i="2"/>
  <c r="O39" i="2" s="1"/>
  <c r="P39" i="2" s="1"/>
  <c r="AB38" i="2"/>
  <c r="AC38" i="2" s="1"/>
  <c r="Y38" i="2"/>
  <c r="Z38" i="2" s="1"/>
  <c r="AA38" i="2" s="1"/>
  <c r="N38" i="2"/>
  <c r="O38" i="2" s="1"/>
  <c r="P38" i="2" s="1"/>
  <c r="AB37" i="2"/>
  <c r="AC37" i="2" s="1"/>
  <c r="AA37" i="2"/>
  <c r="Y37" i="2"/>
  <c r="N37" i="2"/>
  <c r="O37" i="2" s="1"/>
  <c r="P37" i="2" s="1"/>
  <c r="AB36" i="2"/>
  <c r="AC36" i="2" s="1"/>
  <c r="Y36" i="2"/>
  <c r="Z36" i="2" s="1"/>
  <c r="AA36" i="2" s="1"/>
  <c r="N36" i="2"/>
  <c r="O36" i="2" s="1"/>
  <c r="P36" i="2" s="1"/>
  <c r="AC35" i="2"/>
  <c r="AB35" i="2"/>
  <c r="Y35" i="2"/>
  <c r="Z35" i="2" s="1"/>
  <c r="AA35" i="2" s="1"/>
  <c r="N35" i="2"/>
  <c r="O35" i="2" s="1"/>
  <c r="P35" i="2" s="1"/>
  <c r="AC34" i="2"/>
  <c r="AB34" i="2"/>
  <c r="Y34" i="2"/>
  <c r="Z34" i="2" s="1"/>
  <c r="AA34" i="2" s="1"/>
  <c r="N34" i="2"/>
  <c r="O34" i="2" s="1"/>
  <c r="P34" i="2" s="1"/>
  <c r="AC33" i="2"/>
  <c r="AB33" i="2"/>
  <c r="AA33" i="2"/>
  <c r="Y33" i="2"/>
  <c r="Z33" i="2" s="1"/>
  <c r="N33" i="2"/>
  <c r="O33" i="2" s="1"/>
  <c r="P33" i="2" s="1"/>
  <c r="AB32" i="2"/>
  <c r="AC32" i="2" s="1"/>
  <c r="Y32" i="2"/>
  <c r="Z32" i="2" s="1"/>
  <c r="AA32" i="2" s="1"/>
  <c r="O32" i="2"/>
  <c r="P32" i="2" s="1"/>
  <c r="N32" i="2"/>
  <c r="AC31" i="2"/>
  <c r="AB31" i="2"/>
  <c r="Y31" i="2"/>
  <c r="Z31" i="2" s="1"/>
  <c r="AA31" i="2" s="1"/>
  <c r="N31" i="2"/>
  <c r="O31" i="2" s="1"/>
  <c r="P31" i="2" s="1"/>
  <c r="AC30" i="2"/>
  <c r="AB30" i="2"/>
  <c r="Y30" i="2"/>
  <c r="Z30" i="2" s="1"/>
  <c r="AA30" i="2" s="1"/>
  <c r="N30" i="2"/>
  <c r="O30" i="2" s="1"/>
  <c r="P30" i="2" s="1"/>
  <c r="AB29" i="2"/>
  <c r="AC29" i="2" s="1"/>
  <c r="Y29" i="2"/>
  <c r="Z29" i="2" s="1"/>
  <c r="AA29" i="2" s="1"/>
  <c r="N29" i="2"/>
  <c r="O29" i="2" s="1"/>
  <c r="P29" i="2" s="1"/>
  <c r="AC28" i="2"/>
  <c r="AB28" i="2"/>
  <c r="Y28" i="2"/>
  <c r="Z28" i="2" s="1"/>
  <c r="AA28" i="2" s="1"/>
  <c r="N28" i="2"/>
  <c r="O28" i="2" s="1"/>
  <c r="P28" i="2" s="1"/>
  <c r="AB27" i="2"/>
  <c r="AC27" i="2" s="1"/>
  <c r="Y27" i="2"/>
  <c r="Z27" i="2" s="1"/>
  <c r="AA27" i="2" s="1"/>
  <c r="N27" i="2"/>
  <c r="O27" i="2" s="1"/>
  <c r="P27" i="2" s="1"/>
  <c r="AC26" i="2"/>
  <c r="AB26" i="2"/>
  <c r="Y26" i="2"/>
  <c r="Z26" i="2" s="1"/>
  <c r="AA26" i="2" s="1"/>
  <c r="N26" i="2"/>
  <c r="O26" i="2" s="1"/>
  <c r="P26" i="2" s="1"/>
  <c r="AC25" i="2"/>
  <c r="AB25" i="2"/>
  <c r="AA25" i="2"/>
  <c r="Y25" i="2"/>
  <c r="Z25" i="2" s="1"/>
  <c r="N25" i="2"/>
  <c r="O25" i="2" s="1"/>
  <c r="P25" i="2" s="1"/>
  <c r="AB24" i="2"/>
  <c r="AC24" i="2" s="1"/>
  <c r="Y24" i="2"/>
  <c r="Z24" i="2" s="1"/>
  <c r="AA24" i="2" s="1"/>
  <c r="O24" i="2"/>
  <c r="P24" i="2" s="1"/>
  <c r="N24" i="2"/>
  <c r="AC23" i="2"/>
  <c r="AB23" i="2"/>
  <c r="Y23" i="2"/>
  <c r="Z23" i="2" s="1"/>
  <c r="AA23" i="2" s="1"/>
  <c r="N23" i="2"/>
  <c r="O23" i="2" s="1"/>
  <c r="P23" i="2" s="1"/>
  <c r="AC22" i="2"/>
  <c r="AB22" i="2"/>
  <c r="Y22" i="2"/>
  <c r="Z22" i="2" s="1"/>
  <c r="AA22" i="2" s="1"/>
  <c r="O22" i="2"/>
  <c r="P22" i="2" s="1"/>
  <c r="AC21" i="2"/>
  <c r="AB21" i="2"/>
  <c r="Y21" i="2"/>
  <c r="Z21" i="2" s="1"/>
  <c r="AA21" i="2" s="1"/>
  <c r="O21" i="2"/>
  <c r="P21" i="2" s="1"/>
  <c r="N21" i="2"/>
  <c r="AC20" i="2"/>
  <c r="AB20" i="2"/>
  <c r="Y20" i="2"/>
  <c r="Z20" i="2" s="1"/>
  <c r="AA20" i="2" s="1"/>
  <c r="O20" i="2"/>
  <c r="P20" i="2" s="1"/>
  <c r="N20" i="2"/>
  <c r="AB19" i="2"/>
  <c r="Y19" i="2"/>
  <c r="Z19" i="2" s="1"/>
  <c r="AA19" i="2" s="1"/>
  <c r="N19" i="2"/>
  <c r="O19" i="2" s="1"/>
  <c r="P19" i="2" s="1"/>
  <c r="AB18" i="2"/>
  <c r="AC18" i="2" s="1"/>
  <c r="Y18" i="2"/>
  <c r="Z18" i="2" s="1"/>
  <c r="AA18" i="2" s="1"/>
  <c r="N18" i="2"/>
  <c r="O18" i="2" s="1"/>
  <c r="P18" i="2" s="1"/>
  <c r="AB17" i="2"/>
  <c r="AC17" i="2" s="1"/>
  <c r="Y17" i="2"/>
  <c r="Z17" i="2" s="1"/>
  <c r="AA17" i="2" s="1"/>
  <c r="N17" i="2"/>
  <c r="O17" i="2" s="1"/>
  <c r="P17" i="2" s="1"/>
  <c r="AB16" i="2"/>
  <c r="AC16" i="2" s="1"/>
  <c r="Y16" i="2"/>
  <c r="Z16" i="2" s="1"/>
  <c r="AA16" i="2" s="1"/>
  <c r="N16" i="2"/>
  <c r="O16" i="2" s="1"/>
  <c r="P16" i="2" s="1"/>
  <c r="AB15" i="2"/>
  <c r="AC15" i="2" s="1"/>
  <c r="Y15" i="2"/>
  <c r="Z15" i="2" s="1"/>
  <c r="AA15" i="2" s="1"/>
  <c r="N15" i="2"/>
  <c r="O15" i="2" s="1"/>
  <c r="P15" i="2" s="1"/>
  <c r="AB14" i="2"/>
  <c r="AC14" i="2" s="1"/>
  <c r="Y14" i="2"/>
  <c r="Z14" i="2" s="1"/>
  <c r="AA14" i="2" s="1"/>
  <c r="N14" i="2"/>
  <c r="O14" i="2" s="1"/>
  <c r="P14" i="2" s="1"/>
  <c r="AB13" i="2"/>
  <c r="AC13" i="2" s="1"/>
  <c r="Y13" i="2"/>
  <c r="Z13" i="2" s="1"/>
  <c r="AA13" i="2" s="1"/>
  <c r="N13" i="2"/>
  <c r="O13" i="2" s="1"/>
  <c r="P13" i="2" s="1"/>
  <c r="AB12" i="2"/>
  <c r="AC12" i="2" s="1"/>
  <c r="Y12" i="2"/>
  <c r="Z12" i="2" s="1"/>
  <c r="AA12" i="2" s="1"/>
  <c r="N12" i="2"/>
  <c r="O12" i="2" s="1"/>
  <c r="P12" i="2" s="1"/>
  <c r="AB11" i="2"/>
  <c r="AC11" i="2" s="1"/>
  <c r="Y11" i="2"/>
  <c r="Z11" i="2" s="1"/>
  <c r="AA11" i="2" s="1"/>
  <c r="N11" i="2"/>
  <c r="O11" i="2" s="1"/>
  <c r="P11" i="2" s="1"/>
  <c r="AB10" i="2"/>
  <c r="AC10" i="2" s="1"/>
  <c r="Y10" i="2"/>
  <c r="Z10" i="2" s="1"/>
  <c r="AA10" i="2" s="1"/>
  <c r="N10" i="2"/>
  <c r="O10" i="2" s="1"/>
  <c r="P10" i="2" s="1"/>
  <c r="AB9" i="2"/>
  <c r="AC9" i="2" s="1"/>
  <c r="Y9" i="2"/>
  <c r="Z9" i="2" s="1"/>
  <c r="AA9" i="2" s="1"/>
  <c r="N9" i="2"/>
  <c r="O9" i="2" s="1"/>
  <c r="P9" i="2" s="1"/>
  <c r="AB8" i="2"/>
  <c r="AC8" i="2" s="1"/>
  <c r="Y8" i="2"/>
  <c r="Z8" i="2" s="1"/>
  <c r="AA8" i="2" s="1"/>
  <c r="N8" i="2"/>
  <c r="O8" i="2" s="1"/>
  <c r="P8" i="2" s="1"/>
  <c r="AB7" i="2"/>
  <c r="AC7" i="2" s="1"/>
  <c r="Y7" i="2"/>
  <c r="Z7" i="2" s="1"/>
  <c r="AA7" i="2" s="1"/>
  <c r="N7" i="2"/>
  <c r="O7" i="2" s="1"/>
  <c r="P7" i="2" s="1"/>
  <c r="AB6" i="2"/>
  <c r="AC6" i="2" s="1"/>
  <c r="Y6" i="2"/>
  <c r="Z6" i="2" s="1"/>
  <c r="AA6" i="2" s="1"/>
  <c r="N6" i="2"/>
  <c r="O6" i="2" s="1"/>
  <c r="P6" i="2" s="1"/>
  <c r="AB5" i="2"/>
  <c r="AC5" i="2" s="1"/>
  <c r="Y5" i="2"/>
  <c r="Z5" i="2" s="1"/>
  <c r="AA5" i="2" s="1"/>
  <c r="N5" i="2"/>
  <c r="O5" i="2" s="1"/>
  <c r="P5" i="2" s="1"/>
  <c r="AB4" i="2"/>
  <c r="AC4" i="2" s="1"/>
  <c r="Y4" i="2"/>
  <c r="Z4" i="2" s="1"/>
  <c r="AA4" i="2" s="1"/>
  <c r="N4" i="2"/>
  <c r="O4" i="2" s="1"/>
  <c r="P4" i="2" s="1"/>
  <c r="AB2" i="2"/>
  <c r="AC2" i="2" s="1"/>
  <c r="Y2" i="2"/>
  <c r="Z2" i="2" s="1"/>
  <c r="AA2" i="2" s="1"/>
  <c r="N2" i="2"/>
  <c r="O2" i="2" s="1"/>
  <c r="P2" i="2" s="1"/>
  <c r="V395" i="4"/>
  <c r="W395" i="4" s="1"/>
  <c r="X395" i="4" s="1"/>
  <c r="V394" i="4"/>
  <c r="W394" i="4" s="1"/>
  <c r="X394" i="4" s="1"/>
  <c r="V393" i="4"/>
  <c r="W393" i="4" s="1"/>
  <c r="X393" i="4" s="1"/>
  <c r="V392" i="4"/>
  <c r="W392" i="4" s="1"/>
  <c r="X392" i="4" s="1"/>
  <c r="W391" i="4"/>
  <c r="X391" i="4" s="1"/>
  <c r="V391" i="4"/>
  <c r="W390" i="4"/>
  <c r="X390" i="4" s="1"/>
  <c r="V390" i="4"/>
  <c r="V389" i="4"/>
  <c r="W389" i="4" s="1"/>
  <c r="X389" i="4" s="1"/>
  <c r="V388" i="4"/>
  <c r="W388" i="4" s="1"/>
  <c r="X388" i="4" s="1"/>
  <c r="V387" i="4"/>
  <c r="W387" i="4" s="1"/>
  <c r="X387" i="4" s="1"/>
  <c r="V386" i="4"/>
  <c r="W386" i="4" s="1"/>
  <c r="X386" i="4" s="1"/>
  <c r="V385" i="4"/>
  <c r="W385" i="4" s="1"/>
  <c r="X385" i="4" s="1"/>
  <c r="V384" i="4"/>
  <c r="W384" i="4" s="1"/>
  <c r="X384" i="4" s="1"/>
  <c r="V383" i="4"/>
  <c r="W383" i="4" s="1"/>
  <c r="X383" i="4" s="1"/>
  <c r="W382" i="4"/>
  <c r="X382" i="4" s="1"/>
  <c r="V382" i="4"/>
  <c r="V381" i="4"/>
  <c r="W381" i="4" s="1"/>
  <c r="X381" i="4" s="1"/>
  <c r="X380" i="4"/>
  <c r="V380" i="4"/>
  <c r="W380" i="4" s="1"/>
  <c r="V379" i="4"/>
  <c r="W379" i="4" s="1"/>
  <c r="X379" i="4" s="1"/>
  <c r="V378" i="4"/>
  <c r="W378" i="4" s="1"/>
  <c r="X378" i="4" s="1"/>
  <c r="W377" i="4"/>
  <c r="X377" i="4" s="1"/>
  <c r="V377" i="4"/>
  <c r="V376" i="4"/>
  <c r="W376" i="4" s="1"/>
  <c r="X376" i="4" s="1"/>
  <c r="W375" i="4"/>
  <c r="X375" i="4" s="1"/>
  <c r="V375" i="4"/>
  <c r="V374" i="4"/>
  <c r="W374" i="4" s="1"/>
  <c r="X374" i="4" s="1"/>
  <c r="W373" i="4"/>
  <c r="X373" i="4" s="1"/>
  <c r="V373" i="4"/>
  <c r="X372" i="4"/>
  <c r="V372" i="4"/>
  <c r="W372" i="4" s="1"/>
  <c r="V371" i="4"/>
  <c r="W371" i="4" s="1"/>
  <c r="X371" i="4" s="1"/>
  <c r="V370" i="4"/>
  <c r="W370" i="4" s="1"/>
  <c r="X370" i="4" s="1"/>
  <c r="V369" i="4"/>
  <c r="W369" i="4" s="1"/>
  <c r="X369" i="4" s="1"/>
  <c r="V368" i="4"/>
  <c r="W368" i="4" s="1"/>
  <c r="X368" i="4" s="1"/>
  <c r="V367" i="4"/>
  <c r="W367" i="4" s="1"/>
  <c r="X367" i="4" s="1"/>
  <c r="V366" i="4"/>
  <c r="W366" i="4" s="1"/>
  <c r="X366" i="4" s="1"/>
  <c r="V365" i="4"/>
  <c r="W365" i="4" s="1"/>
  <c r="X365" i="4" s="1"/>
  <c r="V364" i="4"/>
  <c r="W364" i="4" s="1"/>
  <c r="X364" i="4" s="1"/>
  <c r="V363" i="4"/>
  <c r="W363" i="4" s="1"/>
  <c r="X363" i="4" s="1"/>
  <c r="V362" i="4"/>
  <c r="W362" i="4" s="1"/>
  <c r="X362" i="4" s="1"/>
  <c r="V361" i="4"/>
  <c r="W361" i="4" s="1"/>
  <c r="X361" i="4" s="1"/>
  <c r="V360" i="4"/>
  <c r="W360" i="4" s="1"/>
  <c r="X360" i="4" s="1"/>
  <c r="V359" i="4"/>
  <c r="W359" i="4" s="1"/>
  <c r="X359" i="4" s="1"/>
  <c r="V358" i="4"/>
  <c r="W358" i="4" s="1"/>
  <c r="X358" i="4" s="1"/>
  <c r="V357" i="4"/>
  <c r="W357" i="4" s="1"/>
  <c r="X357" i="4" s="1"/>
  <c r="V356" i="4"/>
  <c r="W356" i="4" s="1"/>
  <c r="X356" i="4" s="1"/>
  <c r="AT395" i="4"/>
  <c r="AU395" i="4" s="1"/>
  <c r="AQ395" i="4"/>
  <c r="AR395" i="4" s="1"/>
  <c r="AS395" i="4" s="1"/>
  <c r="AT394" i="4"/>
  <c r="AU394" i="4" s="1"/>
  <c r="AQ394" i="4"/>
  <c r="AR394" i="4" s="1"/>
  <c r="AS394" i="4" s="1"/>
  <c r="AT393" i="4"/>
  <c r="AU393" i="4" s="1"/>
  <c r="AQ393" i="4"/>
  <c r="AR393" i="4" s="1"/>
  <c r="AS393" i="4" s="1"/>
  <c r="AU392" i="4"/>
  <c r="AT392" i="4"/>
  <c r="AQ392" i="4"/>
  <c r="AR392" i="4" s="1"/>
  <c r="AS392" i="4" s="1"/>
  <c r="AT391" i="4"/>
  <c r="AU391" i="4" s="1"/>
  <c r="AQ391" i="4"/>
  <c r="AR391" i="4" s="1"/>
  <c r="AS391" i="4" s="1"/>
  <c r="AT390" i="4"/>
  <c r="AU390" i="4" s="1"/>
  <c r="AQ390" i="4"/>
  <c r="AR390" i="4" s="1"/>
  <c r="AS390" i="4" s="1"/>
  <c r="AT389" i="4"/>
  <c r="AU389" i="4" s="1"/>
  <c r="AQ389" i="4"/>
  <c r="AR389" i="4" s="1"/>
  <c r="AS389" i="4" s="1"/>
  <c r="AT388" i="4"/>
  <c r="AU388" i="4" s="1"/>
  <c r="AQ388" i="4"/>
  <c r="AR388" i="4" s="1"/>
  <c r="AS388" i="4" s="1"/>
  <c r="AT387" i="4"/>
  <c r="AU387" i="4" s="1"/>
  <c r="AQ387" i="4"/>
  <c r="AR387" i="4" s="1"/>
  <c r="AS387" i="4" s="1"/>
  <c r="AT386" i="4"/>
  <c r="AU386" i="4" s="1"/>
  <c r="AQ386" i="4"/>
  <c r="AR386" i="4" s="1"/>
  <c r="AS386" i="4" s="1"/>
  <c r="AT385" i="4"/>
  <c r="AU385" i="4" s="1"/>
  <c r="AQ385" i="4"/>
  <c r="AR385" i="4" s="1"/>
  <c r="AS385" i="4" s="1"/>
  <c r="AU384" i="4"/>
  <c r="AT384" i="4"/>
  <c r="AQ384" i="4"/>
  <c r="AR384" i="4" s="1"/>
  <c r="AS384" i="4" s="1"/>
  <c r="AT383" i="4"/>
  <c r="AU383" i="4" s="1"/>
  <c r="AQ383" i="4"/>
  <c r="AR383" i="4" s="1"/>
  <c r="AS383" i="4" s="1"/>
  <c r="AT382" i="4"/>
  <c r="AU382" i="4" s="1"/>
  <c r="AQ382" i="4"/>
  <c r="AR382" i="4" s="1"/>
  <c r="AS382" i="4" s="1"/>
  <c r="AT381" i="4"/>
  <c r="AU381" i="4" s="1"/>
  <c r="AQ381" i="4"/>
  <c r="AR381" i="4" s="1"/>
  <c r="AS381" i="4" s="1"/>
  <c r="AT380" i="4"/>
  <c r="AU380" i="4" s="1"/>
  <c r="AQ380" i="4"/>
  <c r="AR380" i="4" s="1"/>
  <c r="AS380" i="4" s="1"/>
  <c r="AT379" i="4"/>
  <c r="AU379" i="4" s="1"/>
  <c r="AQ379" i="4"/>
  <c r="AR379" i="4" s="1"/>
  <c r="AS379" i="4" s="1"/>
  <c r="AT378" i="4"/>
  <c r="AU378" i="4" s="1"/>
  <c r="AQ378" i="4"/>
  <c r="AR378" i="4" s="1"/>
  <c r="AS378" i="4" s="1"/>
  <c r="AT377" i="4"/>
  <c r="AU377" i="4" s="1"/>
  <c r="AQ377" i="4"/>
  <c r="AR377" i="4" s="1"/>
  <c r="AS377" i="4" s="1"/>
  <c r="AT376" i="4"/>
  <c r="AU376" i="4" s="1"/>
  <c r="AQ376" i="4"/>
  <c r="AR376" i="4" s="1"/>
  <c r="AS376" i="4" s="1"/>
  <c r="AT375" i="4"/>
  <c r="AU375" i="4" s="1"/>
  <c r="AR375" i="4"/>
  <c r="AS375" i="4" s="1"/>
  <c r="AQ375" i="4"/>
  <c r="AT374" i="4"/>
  <c r="AU374" i="4" s="1"/>
  <c r="AQ374" i="4"/>
  <c r="AR374" i="4" s="1"/>
  <c r="AS374" i="4" s="1"/>
  <c r="AT373" i="4"/>
  <c r="AU373" i="4" s="1"/>
  <c r="AQ373" i="4"/>
  <c r="AR373" i="4" s="1"/>
  <c r="AS373" i="4" s="1"/>
  <c r="AT372" i="4"/>
  <c r="AU372" i="4" s="1"/>
  <c r="AQ372" i="4"/>
  <c r="AR372" i="4" s="1"/>
  <c r="AS372" i="4" s="1"/>
  <c r="AT371" i="4"/>
  <c r="AU371" i="4" s="1"/>
  <c r="AQ371" i="4"/>
  <c r="AR371" i="4" s="1"/>
  <c r="AS371" i="4" s="1"/>
  <c r="AT370" i="4"/>
  <c r="AU370" i="4" s="1"/>
  <c r="AQ370" i="4"/>
  <c r="AR370" i="4" s="1"/>
  <c r="AS370" i="4" s="1"/>
  <c r="AT369" i="4"/>
  <c r="AU369" i="4" s="1"/>
  <c r="AQ369" i="4"/>
  <c r="AR369" i="4" s="1"/>
  <c r="AS369" i="4" s="1"/>
  <c r="AT368" i="4"/>
  <c r="AU368" i="4" s="1"/>
  <c r="AQ368" i="4"/>
  <c r="AR368" i="4" s="1"/>
  <c r="AS368" i="4" s="1"/>
  <c r="AT367" i="4"/>
  <c r="AU367" i="4" s="1"/>
  <c r="AR367" i="4"/>
  <c r="AS367" i="4" s="1"/>
  <c r="AQ367" i="4"/>
  <c r="AT366" i="4"/>
  <c r="AU366" i="4" s="1"/>
  <c r="AQ366" i="4"/>
  <c r="AR366" i="4" s="1"/>
  <c r="AS366" i="4" s="1"/>
  <c r="AT365" i="4"/>
  <c r="AU365" i="4" s="1"/>
  <c r="AQ365" i="4"/>
  <c r="AR365" i="4" s="1"/>
  <c r="AS365" i="4" s="1"/>
  <c r="AT364" i="4"/>
  <c r="AU364" i="4" s="1"/>
  <c r="AQ364" i="4"/>
  <c r="AR364" i="4" s="1"/>
  <c r="AS364" i="4" s="1"/>
  <c r="AT363" i="4"/>
  <c r="AU363" i="4" s="1"/>
  <c r="AQ363" i="4"/>
  <c r="AR363" i="4" s="1"/>
  <c r="AS363" i="4" s="1"/>
  <c r="AT362" i="4"/>
  <c r="AU362" i="4" s="1"/>
  <c r="AS362" i="4"/>
  <c r="AQ362" i="4"/>
  <c r="AR362" i="4" s="1"/>
  <c r="AT361" i="4"/>
  <c r="AU361" i="4" s="1"/>
  <c r="AQ361" i="4"/>
  <c r="AR361" i="4" s="1"/>
  <c r="AS361" i="4" s="1"/>
  <c r="AT360" i="4"/>
  <c r="AU360" i="4" s="1"/>
  <c r="AQ360" i="4"/>
  <c r="AR360" i="4" s="1"/>
  <c r="AS360" i="4" s="1"/>
  <c r="AT359" i="4"/>
  <c r="AU359" i="4" s="1"/>
  <c r="AR359" i="4"/>
  <c r="AS359" i="4" s="1"/>
  <c r="AQ359" i="4"/>
  <c r="AT358" i="4"/>
  <c r="AU358" i="4" s="1"/>
  <c r="AQ358" i="4"/>
  <c r="AR358" i="4" s="1"/>
  <c r="AS358" i="4" s="1"/>
  <c r="AT357" i="4"/>
  <c r="AU357" i="4" s="1"/>
  <c r="AQ357" i="4"/>
  <c r="AR357" i="4" s="1"/>
  <c r="AS357" i="4" s="1"/>
  <c r="AT356" i="4"/>
  <c r="AU356" i="4" s="1"/>
  <c r="AQ356" i="4"/>
  <c r="AR356" i="4" s="1"/>
  <c r="AS356" i="4" s="1"/>
</calcChain>
</file>

<file path=xl/sharedStrings.xml><?xml version="1.0" encoding="utf-8"?>
<sst xmlns="http://schemas.openxmlformats.org/spreadsheetml/2006/main" count="6305" uniqueCount="1256">
  <si>
    <t>ESCOLA</t>
  </si>
  <si>
    <t>LOGIN</t>
  </si>
  <si>
    <t>SENHA</t>
  </si>
  <si>
    <t>COLEGIO MUNICIPAL CHRISPIN ALVES DOS SANTOS</t>
  </si>
  <si>
    <t>COLEGIO MUNICIPAL EDIVALDO BOAVENTURA</t>
  </si>
  <si>
    <t>COLEGIO MUNICIPAL ESTEVAO MAGALHAES DE CARVALHO</t>
  </si>
  <si>
    <t>COLEGIO MUNICIPAL GERALDO JOSE DE OLIVEIRA</t>
  </si>
  <si>
    <t>COLEGIO MUNICIPAL JOAO MEIRA</t>
  </si>
  <si>
    <t>COLÉGIO MUNICIPAL JOSE ALVES DA COSTA</t>
  </si>
  <si>
    <t>COLEGIO MUNICIPAL JOSE PEDRO GONDIM</t>
  </si>
  <si>
    <t>COLEGIO MUNICIPAL MARCIANO ANTONIO BATISTA</t>
  </si>
  <si>
    <t>COLEGIO MUNICIPAL MARIA AMARAL GUIMARAES GONDIM</t>
  </si>
  <si>
    <t>COLEGIO MUNICIPAL MARIA DA GLORIA CARDOSO SILVA</t>
  </si>
  <si>
    <t>COLEGIO MUNICIPAL PORPHYRIO CASTRO</t>
  </si>
  <si>
    <t>COLEGIO MUNICIPAL PROFESSOR GRACILIANO DA SILVA OLIVEIRA</t>
  </si>
  <si>
    <t>ESCOLA MUNICIPALIZADA ARNALDO CARDOSO</t>
  </si>
  <si>
    <t>TURMA</t>
  </si>
  <si>
    <t>NOME DO ESTUDANTE</t>
  </si>
  <si>
    <t>TOTAL DE ACERTOS</t>
  </si>
  <si>
    <t>PERCENTUAL DE ACERTOS</t>
  </si>
  <si>
    <t>ANIELLY BARBOSA FERNANDES</t>
  </si>
  <si>
    <t xml:space="preserve">JOAO EMANUEL SILVA DOS SANTOS </t>
  </si>
  <si>
    <t>JOSE CAIO ALVES PEREIRA</t>
  </si>
  <si>
    <t>MAIARA LOPES DE ALMEIDA</t>
  </si>
  <si>
    <t>2º  - ANO</t>
  </si>
  <si>
    <t>ANA LUIZA SILVA BISPO</t>
  </si>
  <si>
    <t>ANA SOPHIA DA SILVA BARBOSA</t>
  </si>
  <si>
    <t>DARLAN DA SILVA NUNES</t>
  </si>
  <si>
    <t>ENZO HENRIQUE FERREIRA BORGES</t>
  </si>
  <si>
    <t xml:space="preserve">HENDYO MENDES SILVA </t>
  </si>
  <si>
    <t>ISA VICTORIA MACEDO GUEDES</t>
  </si>
  <si>
    <t>ISABELLY COSTA BRITO</t>
  </si>
  <si>
    <t xml:space="preserve">ISADORA ANGELICA OLIVEIRA ALMEIDA </t>
  </si>
  <si>
    <t>LORENA FERREIRA DA SILVA</t>
  </si>
  <si>
    <t>LORENZO ANDRADE SANTANA</t>
  </si>
  <si>
    <t>MONIQUE EVELLE DA SILVA ROCHA</t>
  </si>
  <si>
    <t xml:space="preserve">PIETRO FERREIRA DE OLIVEIRA </t>
  </si>
  <si>
    <t>RAYARA ASSIS CONCEIÇÃO</t>
  </si>
  <si>
    <t>SOFIA ARIELLY BARBOSA SANTANA</t>
  </si>
  <si>
    <t>YURI SANTANA OLIVEIRA</t>
  </si>
  <si>
    <t>ANA GABRIELA ALMEIDA FERREIRA</t>
  </si>
  <si>
    <t>EMANUELA MARQUES SILVA</t>
  </si>
  <si>
    <t>GLEIDSON NASCIMENTO CASTRO</t>
  </si>
  <si>
    <t>IURY BATISTA DA SILVA</t>
  </si>
  <si>
    <t>JOAO MIGUEL ROQUE XAVIER</t>
  </si>
  <si>
    <t>JOSUE ROCHA LARANJEIRA</t>
  </si>
  <si>
    <t>LUIS FELIPE OLIVEIRA SOARES</t>
  </si>
  <si>
    <t>LUIZ MARCOS OLIVEIRA PRATES</t>
  </si>
  <si>
    <t>REYNAN LORENZO ROCHA DE ALMEIDA</t>
  </si>
  <si>
    <t xml:space="preserve">DAVI OLIVEIRA SILVA </t>
  </si>
  <si>
    <t>ENZO DE OLIVEIRA SILVA</t>
  </si>
  <si>
    <t xml:space="preserve">ERICK ROCHA RIBEIRO </t>
  </si>
  <si>
    <t>MARIA ALICE DE JESUS FLORES</t>
  </si>
  <si>
    <t xml:space="preserve">MARIA VITORIA DA SILVA ALMEIDA </t>
  </si>
  <si>
    <t>ALICE DA SILVA MOREIRA</t>
  </si>
  <si>
    <t>ANDERSON ROCHA SILVA</t>
  </si>
  <si>
    <t>ANNA LIVIA PEREIRA DUARTE</t>
  </si>
  <si>
    <t>ARTHUR FERREIRA COSTA</t>
  </si>
  <si>
    <t xml:space="preserve">JOSE RICARDO PEREIRA AMORIM </t>
  </si>
  <si>
    <t>KEVENN ALVES DOURADO</t>
  </si>
  <si>
    <t>LUCILIA ALVES DOS SANTOS</t>
  </si>
  <si>
    <t>MIGUEL DOURADO MARQUES</t>
  </si>
  <si>
    <t>NAYARA SOUZA NEVES</t>
  </si>
  <si>
    <t>SAMIRAH SILVA RODRIGUES</t>
  </si>
  <si>
    <t>ALANA OLIVEIRA ALVES</t>
  </si>
  <si>
    <t xml:space="preserve">FRANCISCA EMANUELA SILVA DIAS    </t>
  </si>
  <si>
    <t>GUILHERME ROCHA RIBEIRO</t>
  </si>
  <si>
    <t>JOAO PEDRO DE JESUS SILVA</t>
  </si>
  <si>
    <t>JULIA SILVA PEREIRA</t>
  </si>
  <si>
    <t>MURIEL SILVA SANTOS</t>
  </si>
  <si>
    <t xml:space="preserve">PEDRO HENRIQUE SILVA </t>
  </si>
  <si>
    <t>RAQUEL NEVES CARMO</t>
  </si>
  <si>
    <t>SOFIA MARTINS DOS SANTOS</t>
  </si>
  <si>
    <t>THOMAS DE JESUS PEREIRA</t>
  </si>
  <si>
    <t>VINICIUS ISAIAS NEVES MARTINS</t>
  </si>
  <si>
    <t>YUGOR GABRIEL SILVA LOPES</t>
  </si>
  <si>
    <t>YZADORA OLIVEIRA SANTANA</t>
  </si>
  <si>
    <t xml:space="preserve">ANA ALICE DE JESUS ROCHA </t>
  </si>
  <si>
    <t>GLEIDSON OLIVEIRA SANTANA</t>
  </si>
  <si>
    <t>HEITOR LAFUENTH SANTOS DIAS</t>
  </si>
  <si>
    <t>JOAO LUCAS SANTOS DE OLIVEIRA</t>
  </si>
  <si>
    <t>LAZARO GABRIEL SOUZA OLIVEIRA</t>
  </si>
  <si>
    <t>MARIA ALICE DE JESUS XAVIER</t>
  </si>
  <si>
    <t xml:space="preserve">RAFAELA VITORIA GOMES DE SOUZA </t>
  </si>
  <si>
    <t>2º ANO - A</t>
  </si>
  <si>
    <t>ARTUR DE BRITO SILVA</t>
  </si>
  <si>
    <t>CLEIDIVAN DA SILVA NEVES</t>
  </si>
  <si>
    <t>CRISTIELLY DA SILVA ALVES</t>
  </si>
  <si>
    <t xml:space="preserve">DAVID DE SOUZA MARTINS </t>
  </si>
  <si>
    <t>EMANUELLY DA SILVA COSTA</t>
  </si>
  <si>
    <t>GUSTAVO LIMA CARVALHO</t>
  </si>
  <si>
    <t>HELOISA MARIA NEVES DOS SANTOS</t>
  </si>
  <si>
    <t>HENZO GABRIEL ALMEIDA BATISTA</t>
  </si>
  <si>
    <t>KLEISSON SILVA MATOS</t>
  </si>
  <si>
    <t>LUNA LIMA BRAGA</t>
  </si>
  <si>
    <t>MARCOS ISAEL BRITO PAES</t>
  </si>
  <si>
    <t>PAULO HENRIQUE LIMA DA CRUZ</t>
  </si>
  <si>
    <t>PIETRO SOUZA BRITO</t>
  </si>
  <si>
    <t xml:space="preserve">THAIENY MARTINS PEREIRA </t>
  </si>
  <si>
    <t xml:space="preserve">VITOR JUNIOR VIEIRA CRUZ </t>
  </si>
  <si>
    <t>ALICE SILVA RODRIGUES</t>
  </si>
  <si>
    <t>ANA JULIA ALVES LEAO</t>
  </si>
  <si>
    <t xml:space="preserve">ANNA JULLYA SARAIVA ROCHA </t>
  </si>
  <si>
    <t>ANNA LAURA GUEDES ALVES</t>
  </si>
  <si>
    <t xml:space="preserve">GAEL ALVES DA SILVA </t>
  </si>
  <si>
    <t>GIOVANNA GOMES FERNANDES</t>
  </si>
  <si>
    <t>GUILHERME JOSE DE ALMEIDA LARANJEIRA</t>
  </si>
  <si>
    <t xml:space="preserve">JOAO ARTHUR ROCHA NUNES </t>
  </si>
  <si>
    <t xml:space="preserve">LARISSA ZETOLI LARANJEIRA </t>
  </si>
  <si>
    <t xml:space="preserve">LAVINIA OLIVEIRA SANTOS </t>
  </si>
  <si>
    <t>LORENZO LUCCA ALVES ALCANTARA</t>
  </si>
  <si>
    <t>MARIA ISIS GUEDES ALVES</t>
  </si>
  <si>
    <t xml:space="preserve">MARIA VITORIA DOS SANTOS FERNANDES </t>
  </si>
  <si>
    <t>MARIA YSABEL SOUZA GUEDES</t>
  </si>
  <si>
    <t xml:space="preserve">MARIANA PEREIRA FERNANDES </t>
  </si>
  <si>
    <t>MARIELA SILVA SANTOS</t>
  </si>
  <si>
    <t>RAVI FERNANDES MESQUITA</t>
  </si>
  <si>
    <t>VITOR RUBEN SAMPAIO AGUIAR</t>
  </si>
  <si>
    <t>2º ANO - B</t>
  </si>
  <si>
    <t>AGHATA SOPHIA ALVES FERNANDES</t>
  </si>
  <si>
    <t>ARTHUR BERNARDO DE SOUZA ALCANTARA</t>
  </si>
  <si>
    <t>BIANCA CAVALCANTI NOGUEIRA</t>
  </si>
  <si>
    <t>ESTER RODRIGUES LOPES</t>
  </si>
  <si>
    <t xml:space="preserve">GABRIEL MARQUES DOURADO </t>
  </si>
  <si>
    <t>GABRIELA DOS SANTOS SILVA</t>
  </si>
  <si>
    <t>HEBERT AMORIM SALES</t>
  </si>
  <si>
    <t>LARISSA MARTINS DA SILVA</t>
  </si>
  <si>
    <t xml:space="preserve">LAURA BEATRIZ DA SILVA MOURA </t>
  </si>
  <si>
    <t>MANUELA PEREIRA ALVES</t>
  </si>
  <si>
    <t>MARIA CLARA MARQUES DA SILVA</t>
  </si>
  <si>
    <t>MARIA VICTORIA DE OLIVEIRA ANDRADE</t>
  </si>
  <si>
    <t xml:space="preserve">MARIA VICTORIA FERREIRA MAGALHAES </t>
  </si>
  <si>
    <t>SARAH DE JESUS SILVA</t>
  </si>
  <si>
    <t>YASMIN SOUZA MOREIRA</t>
  </si>
  <si>
    <t>YURI MATHEUS SILVA MATOS</t>
  </si>
  <si>
    <t>2º ANO - C</t>
  </si>
  <si>
    <t>ANNY GABRIELLY DA SILVA OLIVEIRA</t>
  </si>
  <si>
    <t>ANTHONY GABRIEL ALMEIDA DA SILVA</t>
  </si>
  <si>
    <t>ARTHUR DE OLIVEIRA RODRIGUES</t>
  </si>
  <si>
    <t>ARTHUR LOURENÇO SOARES DE ARAÚJO</t>
  </si>
  <si>
    <t>DAVI LAUAN DE JESUS NASCIMENTO</t>
  </si>
  <si>
    <t>DAVI LUCAS DE JESUS DA ANUNCIACÃO</t>
  </si>
  <si>
    <t>LARISSA SILVA MAGALHAES</t>
  </si>
  <si>
    <t>LEVI EMANUELL ROCHA DA SILVA</t>
  </si>
  <si>
    <t>LUÍZ FELIPE CARDOSO SILVA</t>
  </si>
  <si>
    <t>MARIA CLARA OLIVEIRA SANTOS</t>
  </si>
  <si>
    <t>MARIA CLARA SILVA RIBEIRO</t>
  </si>
  <si>
    <t>MARIA LIVIA DOS SANTOS SILVA</t>
  </si>
  <si>
    <t>MELISSA VITORIA ALVES SILVA</t>
  </si>
  <si>
    <t>MIGUEL DE JESUS PEREIRA</t>
  </si>
  <si>
    <t>MILLENA BARBOSA MAGALHÃES</t>
  </si>
  <si>
    <t xml:space="preserve">MIRIÃ SANTOS ROCHA </t>
  </si>
  <si>
    <t xml:space="preserve">SOPHIA FERREIRA DE OLIVEIRA </t>
  </si>
  <si>
    <t>WELBERTH DAVI OLIVEIRA CARDOSO</t>
  </si>
  <si>
    <t>ALEX SOUZA CARDOSO</t>
  </si>
  <si>
    <t>ALICE SOUZA CARDOSO</t>
  </si>
  <si>
    <t>ARLEIANE  MIRELY DA SILVA PEREIRA</t>
  </si>
  <si>
    <t>ARTHUR LARANJEIRA MONTALVAO</t>
  </si>
  <si>
    <t>LIVIA EMANUELLY DE JESUS CARDIM</t>
  </si>
  <si>
    <t>LETÍCIA DOS SANTOS OLIVEIRA</t>
  </si>
  <si>
    <t>MAISA ALVES SILVA</t>
  </si>
  <si>
    <t>MARIANA ALVES SILVA</t>
  </si>
  <si>
    <t>MELISSA OLIVEIRA SANTOS</t>
  </si>
  <si>
    <t>NAIARA SILVA FAGUNDES</t>
  </si>
  <si>
    <t>PATRICK DE OLIVEIRA ALMEIDA</t>
  </si>
  <si>
    <t>TAELLYS BRITO FERNANDES</t>
  </si>
  <si>
    <t>ANA LUCIA CONCEICAO DE JESUS</t>
  </si>
  <si>
    <t>BIANCA AMORIM BENEVIDES</t>
  </si>
  <si>
    <t>DANIEL BENEVIDES BRITO</t>
  </si>
  <si>
    <t>ELLEN MARQUES FERNANDES</t>
  </si>
  <si>
    <t>ENZO GABRIEL LIMA MARQUES</t>
  </si>
  <si>
    <t>ERICA PEREIRA DUARTE</t>
  </si>
  <si>
    <t>GABRIEL AMORIM DUARTE</t>
  </si>
  <si>
    <t>HENZO GABRIEL BATISTA DUARTE</t>
  </si>
  <si>
    <t>HIAGO BENEVIDES DA SILVA</t>
  </si>
  <si>
    <t>IGOR IVO FERNANDES</t>
  </si>
  <si>
    <t>ISABELA PEREIRA DUARTE</t>
  </si>
  <si>
    <t>JOAO MIGUEL PEREIRA SILVA</t>
  </si>
  <si>
    <t>JULIA PRATES BENEVIDES</t>
  </si>
  <si>
    <t>LORENA BONFIM SILVA</t>
  </si>
  <si>
    <t>LUCIO JONATHAN SANTOS CARDOSO</t>
  </si>
  <si>
    <t>MARCOS ANTONIO ALVES SOUZA</t>
  </si>
  <si>
    <t>MARIA CLARA SOUZA SOARES</t>
  </si>
  <si>
    <t>MURYLLO DA SILVA PEREIRA</t>
  </si>
  <si>
    <t>SAMUEL BATISTA DE JESUS</t>
  </si>
  <si>
    <t>SAMUEL DE SOUZA AMORIM</t>
  </si>
  <si>
    <t>THALYSON MIGUEL RODRIGUES SOUZA</t>
  </si>
  <si>
    <t>VALENTINA ANTONELA DA SILVA</t>
  </si>
  <si>
    <t>ALLYCE OLIVEIRA AZEVEDO</t>
  </si>
  <si>
    <t>ZENARCISO DUARTE CARDOSO</t>
  </si>
  <si>
    <t xml:space="preserve">ANDERSON CHARLES FERNANDES  MAGALHAES </t>
  </si>
  <si>
    <t xml:space="preserve">ISABELLE DE CARVALHO DIAS </t>
  </si>
  <si>
    <t>IHAGO VINICIUS SILVA CARDOSO</t>
  </si>
  <si>
    <t>JOAO NETO DIAS ALVES</t>
  </si>
  <si>
    <t>JOAO PEDRO OLIVEIRA SOUZA</t>
  </si>
  <si>
    <t>JOAO VITOR OLIVEIRA SOUZA</t>
  </si>
  <si>
    <t>MATEUS VIEIRA DE JESUS</t>
  </si>
  <si>
    <t>PATRICIA CAVALCANTE DE JESUS</t>
  </si>
  <si>
    <t>VALLERIA DUARTE PEREIRA</t>
  </si>
  <si>
    <t xml:space="preserve">VITOR DA SILVA COSTA </t>
  </si>
  <si>
    <t xml:space="preserve">WALLACE DOS SANTOS  SILVA </t>
  </si>
  <si>
    <t>ESCOLA MUNICIPAL ALCIDES CARDOSO</t>
  </si>
  <si>
    <t>ALISSON MARTINS ARAUJO</t>
  </si>
  <si>
    <t>ESCOLA MUNICIPAL ANTONIO RODRIGUES DA MATA</t>
  </si>
  <si>
    <t>MIRELLA SOUZA SILVA</t>
  </si>
  <si>
    <t>VITORIA SOUZA ALVES</t>
  </si>
  <si>
    <t>ESCOLA MUNICIPAL DE JUREMA DE TEOFILO</t>
  </si>
  <si>
    <t>ARTHUR FERREIRA DA SILVA</t>
  </si>
  <si>
    <t>LEVY SOARES NEVES</t>
  </si>
  <si>
    <t>ESCOLA MUNICIPAL DE MATA DO SAPE</t>
  </si>
  <si>
    <t>YASMIM VITORYA SILVA DE OLIVEIRA</t>
  </si>
  <si>
    <t>ESCOLA MUNICIPAL JOAQUIM PEQUENO</t>
  </si>
  <si>
    <t>ANA LAURA DA CONCEICAO ROCHA</t>
  </si>
  <si>
    <t>ANNA JULYA ROCHA DE SOUZA</t>
  </si>
  <si>
    <t>EMILLY BATISTA COSTA</t>
  </si>
  <si>
    <t>LIVIA SOUZA ARAUJO</t>
  </si>
  <si>
    <t xml:space="preserve">MARIA ALICE SOUZA DA SILVA </t>
  </si>
  <si>
    <t>MATHEUS KAUA SILVA BARRETO</t>
  </si>
  <si>
    <t>ESCOLA MUNICIPAL MANOEL JOSE GOMES</t>
  </si>
  <si>
    <t>ISADORA ALMEIDA DOURADO</t>
  </si>
  <si>
    <t>MARIA CLARA ROCHA FERREIRA</t>
  </si>
  <si>
    <t>NICOLLY ELOA DE OLIVEIRA</t>
  </si>
  <si>
    <t xml:space="preserve">WALISSON DE OLIVEIRA DA SILVA </t>
  </si>
  <si>
    <t>WESLEY DE JESUS OLIVEIRA</t>
  </si>
  <si>
    <t>ESCOLA MUNICIPALIZADA PROFESSOR MANINHO</t>
  </si>
  <si>
    <t>ANA JULIA ALVES SENA</t>
  </si>
  <si>
    <t xml:space="preserve">ANNA KAROLYNE DE JESUS GUEDES </t>
  </si>
  <si>
    <t xml:space="preserve">CARLOS RIAN  DA SILVA BRITO </t>
  </si>
  <si>
    <t xml:space="preserve">CATHARINA DE CARVALHO MAGALHAES </t>
  </si>
  <si>
    <t>ISADORA SOUZA ROCHA</t>
  </si>
  <si>
    <t>KALLEB LEONARDO DE OLIVEIRA NEVES</t>
  </si>
  <si>
    <t>LARA MIRANDA OLIVEIRA ROQUE</t>
  </si>
  <si>
    <t>LORENZO PEDRACA SANTOS SILVA</t>
  </si>
  <si>
    <t xml:space="preserve">LUCAS SOARES DOS SANTOS </t>
  </si>
  <si>
    <t>VITORIA VALENTINA OLIVEIRA</t>
  </si>
  <si>
    <t>ADRIELLY ESTHER OLIVEIRA ALVES</t>
  </si>
  <si>
    <t>ANA CLARA BARBOSA SOUZA</t>
  </si>
  <si>
    <t xml:space="preserve">ANA LUIZA SILVA LESSA </t>
  </si>
  <si>
    <t xml:space="preserve">ANDERSON MARLON SANTOS DA SILVA </t>
  </si>
  <si>
    <t>GABRIEL DE JESUS CARDOSO</t>
  </si>
  <si>
    <t xml:space="preserve">GABRIELE VITORIA SILVA PEREIRA </t>
  </si>
  <si>
    <t xml:space="preserve">LAURA PEREIRA LELES </t>
  </si>
  <si>
    <t xml:space="preserve">LEONARDO DA SILVA BATISTA </t>
  </si>
  <si>
    <t>LORRANY PEREIRA CARDOSO</t>
  </si>
  <si>
    <t>PYETRO BRITO FAGUNDES</t>
  </si>
  <si>
    <t>RAVENA MAGALHAES RODRIGUES</t>
  </si>
  <si>
    <t>UESLEI DE OLIVEIRA DOS SANTOS</t>
  </si>
  <si>
    <t xml:space="preserve">YASMIM DA SILVA FERREIRA </t>
  </si>
  <si>
    <t xml:space="preserve">AMANDA CAROLINNE SILVA BARBOSA </t>
  </si>
  <si>
    <t xml:space="preserve">ANA BEATRIZ GUIMARAES DE JESUS </t>
  </si>
  <si>
    <t xml:space="preserve">ESCOLA MUNICIPALIZADA XAVIER MARQUES </t>
  </si>
  <si>
    <t xml:space="preserve">CECILIA GABRIELLE ROCHA RIBEIRO </t>
  </si>
  <si>
    <t xml:space="preserve">DANIELLY BELO DA GUARDA REIS </t>
  </si>
  <si>
    <t xml:space="preserve">DAVI DENYSSON GUIMARAES COSTA </t>
  </si>
  <si>
    <t>DAVI LUIZ RODRIGUES BOA SORTE</t>
  </si>
  <si>
    <t xml:space="preserve">2º ANO - A </t>
  </si>
  <si>
    <t xml:space="preserve">GABRIELLY ALVES AMARAL </t>
  </si>
  <si>
    <t>ISADORA SILVA SOUZA</t>
  </si>
  <si>
    <t>JOAO CARLOS PRATES DOS SANTOS</t>
  </si>
  <si>
    <t xml:space="preserve">JOSE FELLYPE NOGUEIRA DE CASTRO </t>
  </si>
  <si>
    <t>KEMILY SOFIA ALVES DE CARVALHO</t>
  </si>
  <si>
    <t xml:space="preserve">LALIELLY GUIMARAES OLIVEIRA </t>
  </si>
  <si>
    <t>LARISSA MANUELLA OLIVEIRA FERNANDES</t>
  </si>
  <si>
    <t>LORENZO GABRIEL SANTOS RODRIGUES</t>
  </si>
  <si>
    <t>LUCAS NEVES ROCHA</t>
  </si>
  <si>
    <t>LUIZ OTAVIO OLIVEIRA BARRENCE</t>
  </si>
  <si>
    <t>MARIA CECILIA FAGUNDEES DE OLIVEIRA</t>
  </si>
  <si>
    <t xml:space="preserve">PEDRO VINICIUS OLIVEIRA DA SILVA </t>
  </si>
  <si>
    <t xml:space="preserve">THIAGO DA SILVA MOREIRA </t>
  </si>
  <si>
    <t>ALISSON SOARES DE OLIVEIRA</t>
  </si>
  <si>
    <t>ANA JULIA CRUZ DE OLIVEIRA</t>
  </si>
  <si>
    <t>ARTHUR FERREIRA NEVES</t>
  </si>
  <si>
    <t>DAVI LUCAS ROCHA DOS SANTOS</t>
  </si>
  <si>
    <t>DEIVID SILVA SARAIVA</t>
  </si>
  <si>
    <t>ELIZA CRISTINA DE JESUS</t>
  </si>
  <si>
    <t>ELOISA AZEVEDO BARBOSA BRITO</t>
  </si>
  <si>
    <t xml:space="preserve">ENZO GABRIEL MAGALHAES SANTOS </t>
  </si>
  <si>
    <t>GABRIEL RIBEIRO DA CRUZ</t>
  </si>
  <si>
    <t>HELDER CHARLES DA SILVA MAGALHAES</t>
  </si>
  <si>
    <t>JOAO FILIPE PEREIRA BONFIM</t>
  </si>
  <si>
    <t>JULIA SANTANA CARDOSO</t>
  </si>
  <si>
    <t>KEVIN GABRIEL FERREIRA DOS SANTOS</t>
  </si>
  <si>
    <t>LARA NOGUEIRA DUARTE</t>
  </si>
  <si>
    <t>MATHEUS ALVES FERNANDES</t>
  </si>
  <si>
    <t>NIEDSON SILVA ROCHA</t>
  </si>
  <si>
    <t>PIETRA SILVA OLIVEIRA</t>
  </si>
  <si>
    <t xml:space="preserve">SOPHIA NEVES BARBOSA </t>
  </si>
  <si>
    <t>SOPHIA RODRIGUES BARBOSA</t>
  </si>
  <si>
    <t xml:space="preserve">THALLES LEVI DE JESUS MARQUES </t>
  </si>
  <si>
    <t>ANTHONY LUCCA SOUZA SILVA</t>
  </si>
  <si>
    <t xml:space="preserve">BEATRIZ MAGALHAES  LESSA </t>
  </si>
  <si>
    <t>DHYONATA KAUAN BANDEIRA SILVA</t>
  </si>
  <si>
    <t>FABIO LOURENCO SANTOS SILVA</t>
  </si>
  <si>
    <t>LORRANY VITORIA FERREIRA DIAS</t>
  </si>
  <si>
    <t>MARIA BEATRYZ DA ROCHA SANTOS</t>
  </si>
  <si>
    <t xml:space="preserve">MARIA HELOISY DE OLIVEIRA GARCIA </t>
  </si>
  <si>
    <t>MARIANNE DO CARMO CASTRO</t>
  </si>
  <si>
    <t>MIRELY SOPHIA DE JESUS RIBEIRO</t>
  </si>
  <si>
    <t>RAYZZA VICTORIA SILVA MOURA</t>
  </si>
  <si>
    <t>STHEFANY LUISA DE ALMEIDA NEVES</t>
  </si>
  <si>
    <t xml:space="preserve">VINICIUS FERNANDES LELIS </t>
  </si>
  <si>
    <t xml:space="preserve">YANNE VALDINETE SANTOS FERNANDES </t>
  </si>
  <si>
    <t>YURE MARTYM DOURADO PEREIRA</t>
  </si>
  <si>
    <t>EF35LP03</t>
  </si>
  <si>
    <t>EF35LP04</t>
  </si>
  <si>
    <t>EF35LP05</t>
  </si>
  <si>
    <t xml:space="preserve">ALISSON HIAGO ROCHA SILVA </t>
  </si>
  <si>
    <t xml:space="preserve">ALISSON LUCAS COSTA DOMINGUES </t>
  </si>
  <si>
    <t xml:space="preserve">ELOISA SANTANA DE SOUZA </t>
  </si>
  <si>
    <t>ENZO BARBOSA SANTOS</t>
  </si>
  <si>
    <t xml:space="preserve">ENZO GABRIEL DOS SANTOS </t>
  </si>
  <si>
    <t xml:space="preserve">JOAO MARCOS GUIMARAES FERREIRA </t>
  </si>
  <si>
    <t>JOAO MIGUEL ALVES SANTOS</t>
  </si>
  <si>
    <t>JULIA LEONE COSTA DOURADO</t>
  </si>
  <si>
    <t>LARISSA BASTOS DE AZEVEDO</t>
  </si>
  <si>
    <t>ALHANA LUIZA BARBOSA DE MACEDO</t>
  </si>
  <si>
    <t>ANA JULIA FERREIRA ZETOLES</t>
  </si>
  <si>
    <t>CELIA CRISTINA OLIVEIRA SILVA</t>
  </si>
  <si>
    <t>DAVI LUIZ ANDRANDE AMORIM</t>
  </si>
  <si>
    <t>EDSON EDUARDO SOUZA ALVES</t>
  </si>
  <si>
    <t>GETULIO PEREIRA SILVA</t>
  </si>
  <si>
    <t>JOAO ANTONIO ROCHA SANTANA</t>
  </si>
  <si>
    <t>JOAO LUCAS BARBOSA DE OLIVEIRA</t>
  </si>
  <si>
    <t xml:space="preserve">JOÃO PEDRO CARDOSO DOS SANTOS </t>
  </si>
  <si>
    <t>JOAO PEDRO SOARES OLIVEIRA</t>
  </si>
  <si>
    <t>JOSE EDUARDO DOS SANTOS ROCHA</t>
  </si>
  <si>
    <t>JULIO CESAR DE OLIVEIRA DOURADO</t>
  </si>
  <si>
    <t>KAIO RUAN DA COSTA ALVES</t>
  </si>
  <si>
    <t>KAUA LUCAS EVANGELISTA DA CONCEICAO</t>
  </si>
  <si>
    <t>MARIA CLARA SILVA CARDOSO</t>
  </si>
  <si>
    <t>MARIA EDUARDA MOURA FERREIRA</t>
  </si>
  <si>
    <t>MARIA ISIS ROCHA DA COSTA</t>
  </si>
  <si>
    <t>MILLENA SOUZA NONATO</t>
  </si>
  <si>
    <t>NICOLAS EDUARDO SANTANA DE JESUS</t>
  </si>
  <si>
    <t>NICOLAS HENRIQUE DA SILVA</t>
  </si>
  <si>
    <t>RAFAEL ZANETE SOUZA</t>
  </si>
  <si>
    <t>PAULO CLEBER DA CONCEICAO SILVA</t>
  </si>
  <si>
    <t>BRUNO MIGUEL OLIVEIRA SOUZA</t>
  </si>
  <si>
    <t>DAFNE DIELE LIMA DE AZEVEDO</t>
  </si>
  <si>
    <t>DAVI LUIZ SILVA E SILVA</t>
  </si>
  <si>
    <t>DEIVID GUEDES FERNANDES</t>
  </si>
  <si>
    <t>GLAUCO NASCIMENTO CASTRO (AUSENTE)</t>
  </si>
  <si>
    <t>GRACIELLE SANTANA DE ALMEIDA</t>
  </si>
  <si>
    <t>HENZO GABRIEL MARTINS ROCHA</t>
  </si>
  <si>
    <t>JADSON RONIELLE SANTOS MAGALHÃES</t>
  </si>
  <si>
    <t>JOAO VITOR ALMEIDA SOARES</t>
  </si>
  <si>
    <t>JULIO CESAR FOGAÇA DA CRUZ</t>
  </si>
  <si>
    <t>KALLEB FARIAS DIAS</t>
  </si>
  <si>
    <t>MARIA EDUARDA ALMEIDA SOARES</t>
  </si>
  <si>
    <t>NYKOLLY PEREIRA LARANJEIRA</t>
  </si>
  <si>
    <t>PEDRO LUCAS SILVA VIEIRA</t>
  </si>
  <si>
    <t>SARA SILVA SOUZA</t>
  </si>
  <si>
    <t>SOPHIA PEREIRA MAGALHÃES</t>
  </si>
  <si>
    <t>VINICIUS SILVA PEREIRA</t>
  </si>
  <si>
    <t>ANA CLARA SANTOS DOURADO</t>
  </si>
  <si>
    <t>DEIVIDY LUCAS DE OLIVEIRA SANTOS</t>
  </si>
  <si>
    <t>ENZZO GABRIEL SILVA DOURADO</t>
  </si>
  <si>
    <t>ESTER OLIVEIRA SILVA</t>
  </si>
  <si>
    <t>JEISY CARDOSO SILVA</t>
  </si>
  <si>
    <t>JULIA FERNANDES CARDOSO</t>
  </si>
  <si>
    <t>KEVINY PEREIRA DOS SANTOS</t>
  </si>
  <si>
    <t>LHORAN FERREIRA NUNES</t>
  </si>
  <si>
    <t>MARIA ALICE SILVA CARDOSO</t>
  </si>
  <si>
    <t>MARIA CECILIA RODRIGUES BARBOSA</t>
  </si>
  <si>
    <t>MELISSA COSTA VIEIRA</t>
  </si>
  <si>
    <t>MILENA FAGUNDES PEREIRA</t>
  </si>
  <si>
    <t>NAYARA CARDOSO OLIVEIRA</t>
  </si>
  <si>
    <t>PAULO VITOR GUIMARÃES OLIVEIRA</t>
  </si>
  <si>
    <t>RANDER LIBERATO SILVA</t>
  </si>
  <si>
    <t>SAMILLY GOMES ALVES</t>
  </si>
  <si>
    <t>SAULO DE OLIVEIRA CASTRO</t>
  </si>
  <si>
    <t>SOFFIA DE OLIVEIRA MOREIRA</t>
  </si>
  <si>
    <t>DAVI LUIZ ALVES FERNANDES</t>
  </si>
  <si>
    <t>DAVI LUIZ SILVA FERNANDES</t>
  </si>
  <si>
    <t>DAVID LUIZ DE SOUZA MARQUES</t>
  </si>
  <si>
    <t>ELISIA GABRIELLE CARDOSO DA ROCHA</t>
  </si>
  <si>
    <t>ENZO GABRIEL SILVA MARQUES</t>
  </si>
  <si>
    <t>ESTHER BATISTA CARDOSO</t>
  </si>
  <si>
    <t>FELIPE SILVA DE JESUS</t>
  </si>
  <si>
    <t>ISTEFANE ROCHA AMARAL</t>
  </si>
  <si>
    <t>KELLY SOFIA ROCHA NASCIMENTO</t>
  </si>
  <si>
    <t>LUDIMILA BORGES COSTA</t>
  </si>
  <si>
    <t>MARIA ISABELLA PEREIRA DUARTE</t>
  </si>
  <si>
    <t>MARIA VITORIA ALVES NEVES</t>
  </si>
  <si>
    <t>MILTON SENA ROCHA</t>
  </si>
  <si>
    <t>RAYANE DE OLIVEIRA SILVA</t>
  </si>
  <si>
    <t>YAN GABRIEL FERREIRA MENDES</t>
  </si>
  <si>
    <t>ALINE SOUZA DIAS</t>
  </si>
  <si>
    <t>GESSICA SILVA DOMINGUES</t>
  </si>
  <si>
    <t>KEYLA LOPES BOMFIM</t>
  </si>
  <si>
    <t>NATAN NEVES DOMINGUES</t>
  </si>
  <si>
    <t>VERONICA LOPES BATISTA</t>
  </si>
  <si>
    <t xml:space="preserve">TOMAS COSTA SILVA </t>
  </si>
  <si>
    <t>ANA RUTE FERREIRA CRUZ</t>
  </si>
  <si>
    <t>EMILLY BEATRIZ SOUZA DOS SANTOS</t>
  </si>
  <si>
    <t>JOSE PAULO SANTOS DE OLIVEIRA</t>
  </si>
  <si>
    <t>LUIZ MIGUEL DE OLIVEIRA</t>
  </si>
  <si>
    <t>ADRYAN JOSE DE OLIVEIRA</t>
  </si>
  <si>
    <t>PERICLES LAFAYETH SANTOS DIAS</t>
  </si>
  <si>
    <t>5º ANO - A</t>
  </si>
  <si>
    <t xml:space="preserve">ALAN DA CRUZ VIEIRA </t>
  </si>
  <si>
    <t xml:space="preserve">ALAN SILVA DA CRUZ </t>
  </si>
  <si>
    <t>ANA VITÓRIA PESSOA MOREIRA</t>
  </si>
  <si>
    <t>ANA VITORIA DA CRUZ SANTOS</t>
  </si>
  <si>
    <t>ANIELLY NEVES DE SOUZA</t>
  </si>
  <si>
    <t>ARIEDSON OLIVEIRA ALVES</t>
  </si>
  <si>
    <t>ARTHUR DA SILVA ALMEIDA</t>
  </si>
  <si>
    <t>DAVY DA SILVA REIS</t>
  </si>
  <si>
    <t>DEIVIDY PEREIRA GRACA</t>
  </si>
  <si>
    <t>EDUARDA CRISTINY DA SILVA MAGALHAES</t>
  </si>
  <si>
    <t>EDUARDO DA SILVA SANTOS</t>
  </si>
  <si>
    <t>ITALO RAFAEL DE BRITO LIMA</t>
  </si>
  <si>
    <t>JULIA PEREIRA SILVA</t>
  </si>
  <si>
    <t>JULIO PEREIRA SILVA</t>
  </si>
  <si>
    <t>KAUA DA SILVA NEVES</t>
  </si>
  <si>
    <t>LARICIA SILVA SOUZA</t>
  </si>
  <si>
    <t>MATHEUS SILVA E SILVA</t>
  </si>
  <si>
    <t>NATHAN MANOEL DE ALMEIDA</t>
  </si>
  <si>
    <t>PEDRO EVALDO MAGALHAES DOS SANTOS</t>
  </si>
  <si>
    <t>SABRINA DE CARVALHO ALMEIDA</t>
  </si>
  <si>
    <t>VITOR EMANUEL DE BRITO DA SILVA</t>
  </si>
  <si>
    <t xml:space="preserve">AIZZA SERENA BRITO LEAO </t>
  </si>
  <si>
    <t>ANA BEATRIZ LARANJEIRA AZEVEDO MAGALHAES</t>
  </si>
  <si>
    <t xml:space="preserve">ANA LUIZA ALCANTARA ALVES DE SOUZA </t>
  </si>
  <si>
    <t>ANTONIO NETO FERNANDES CAVALCANTE</t>
  </si>
  <si>
    <t>BERNARDO HUGO SILVA DE OLIVEIRA</t>
  </si>
  <si>
    <t>DAVI BRITO CARDOSO</t>
  </si>
  <si>
    <t xml:space="preserve">DAVID LUCAS DE SOUZA ALVES </t>
  </si>
  <si>
    <t>ELLEN PRATES DA SILVA</t>
  </si>
  <si>
    <t>FELIPE GUIMARAES SOUZA COSTA</t>
  </si>
  <si>
    <t>HEITOR RODRIGUES SILVA</t>
  </si>
  <si>
    <t>ISADORA MIRELY DA SILVA GOMES</t>
  </si>
  <si>
    <t>KALEBE COSTA DE SOUZA</t>
  </si>
  <si>
    <t>LETICIA RODRIGUES DOURADO</t>
  </si>
  <si>
    <t>LUIS GUSTAVO ARAUJO DE OLIVEIRA</t>
  </si>
  <si>
    <t>MARIA CLARA ALVES ANDRADE</t>
  </si>
  <si>
    <t>MARIA LETICIA MARTINS SILVA</t>
  </si>
  <si>
    <t>MELISSA ALVES PEREIRA</t>
  </si>
  <si>
    <t>MIGUEL BENEVIDES DE CASTRO</t>
  </si>
  <si>
    <t>MIGUEL RODRIGUES ALMEIDA</t>
  </si>
  <si>
    <t>PEDRO VINICIUS CABRAL CARDOSO</t>
  </si>
  <si>
    <t xml:space="preserve">SOPHIA SOUZA DE MEDEIROS </t>
  </si>
  <si>
    <t>5º ANO  - B</t>
  </si>
  <si>
    <t>ALICE ALVES ROCHA</t>
  </si>
  <si>
    <t>ALICE BARBOSA SANTOS</t>
  </si>
  <si>
    <t>ANA JULIA SILVA SANTOS</t>
  </si>
  <si>
    <t>DAVID DOURADO DE SOUZA</t>
  </si>
  <si>
    <t>EDUARDO FERREIRA MARTINS</t>
  </si>
  <si>
    <t>ESTER LOPES BARBOSA</t>
  </si>
  <si>
    <t>FLAVIA SANTOS BANDEIRA</t>
  </si>
  <si>
    <t>HENZO GABRIEL SILVA CARMO</t>
  </si>
  <si>
    <t>JOAO VITOR DA PAIXAO NEPOMUCENO</t>
  </si>
  <si>
    <t>JULIO CESAR SOUZA COSTA</t>
  </si>
  <si>
    <t>LORENNA PEREIRA LOPES</t>
  </si>
  <si>
    <t>LORENSO DOS SANTOS LIMA</t>
  </si>
  <si>
    <t>LUIZ HENRIQUE MARQUES MAGALHAES</t>
  </si>
  <si>
    <t>LUIZ OTAVIO SOUSA BARBOSA</t>
  </si>
  <si>
    <t>MARIA CLARA AZEVEDO CARVALHO</t>
  </si>
  <si>
    <t xml:space="preserve">MARIA ELOA  SIQUEIRA CARDOSO </t>
  </si>
  <si>
    <t>MARIA ISABELLE ALVES XAVIER</t>
  </si>
  <si>
    <t>MAYARA PEREIRA DE OLIVEIRA</t>
  </si>
  <si>
    <t>NADSON VITOR ARAUJO SILVA</t>
  </si>
  <si>
    <t>RAVY EDUARDO DOS SANTOS FAGUNDES</t>
  </si>
  <si>
    <t>VITORIA RIBEIRO BARBOSA</t>
  </si>
  <si>
    <t>VITTOR MURILO DE SANTANA SANTOS</t>
  </si>
  <si>
    <t>5º ANO - C</t>
  </si>
  <si>
    <t>ANA CECILIA SANTOS SILVA</t>
  </si>
  <si>
    <t>ANA JULIA BARBOSA MOTA</t>
  </si>
  <si>
    <t>ANA LIVIA NEVES MARTINS</t>
  </si>
  <si>
    <t>ANGELA BATISTA SILVA</t>
  </si>
  <si>
    <t>BERNARDO BALIZA GOMES</t>
  </si>
  <si>
    <t>DAMARES DA SILVA LIRA</t>
  </si>
  <si>
    <t>ENZO GABRIEL DE JESUS NEVES</t>
  </si>
  <si>
    <t>EVELLYNN ALMEIDA RIBEIRO</t>
  </si>
  <si>
    <t xml:space="preserve">EVERTON LOPES RODRIGUES </t>
  </si>
  <si>
    <t>FLAVIO DAVI DOS SANTOS FERNANDES</t>
  </si>
  <si>
    <t>GIOVANA SOUZA PEREIRA</t>
  </si>
  <si>
    <t>JOAO LUCAS PEREIRA LARANJEIRA</t>
  </si>
  <si>
    <t>JOAO PEDRO ALVES DOS SANTOS</t>
  </si>
  <si>
    <t>JULYA EMANUELLE DIAS ROCHA</t>
  </si>
  <si>
    <t>LARA MONIELLY OLIVEIRA CARDOSO</t>
  </si>
  <si>
    <t>LUIZ FELIPE COUTINHO GUEDES</t>
  </si>
  <si>
    <t>LUIZ GUSTAVO DOS SANTOS SILVA</t>
  </si>
  <si>
    <t>MONARA SILVA SANTOS NASCIMENTO</t>
  </si>
  <si>
    <t>SOPHIA GABRIELLE NOVAES OLIVEIRA</t>
  </si>
  <si>
    <t>ADRIELLY BATISTA BRITO</t>
  </si>
  <si>
    <t>ANICLECIO DA SILVA PEREIRA</t>
  </si>
  <si>
    <t>ANSELMO NUNES ALVES</t>
  </si>
  <si>
    <t>ARTHUR CAIO DE JESUS OLIVEIRA</t>
  </si>
  <si>
    <t>EDILAINE DA CONCEICAO SOUZA</t>
  </si>
  <si>
    <t>IRIS VITORIA OLIVEIRA DE JESUS</t>
  </si>
  <si>
    <t>JADSON GABRIEL CONCEICAO DO CARMO</t>
  </si>
  <si>
    <t>JOAO FERNANDO BRITO DE ALMEIDA</t>
  </si>
  <si>
    <t>JORGE EMANUEL SOUZA DA CRUZ</t>
  </si>
  <si>
    <t>KAUANNY BRITO DA CRUZ</t>
  </si>
  <si>
    <t>LETICIA MONTALVAO PAES</t>
  </si>
  <si>
    <t>LUAN SILVA NEVES</t>
  </si>
  <si>
    <t>NATAN ALMEIDA DOS SANTOS</t>
  </si>
  <si>
    <t>RIKELME DIAS DE ALMEIDA</t>
  </si>
  <si>
    <t>BARBARA OLIVEIRA DE JESUS</t>
  </si>
  <si>
    <t>DANIEL SILVA SANTOS</t>
  </si>
  <si>
    <t>DAVI DIAS CARDOSO</t>
  </si>
  <si>
    <t>DEBORA CARDOSO FERNANDES</t>
  </si>
  <si>
    <t>DIEGO DOS SANTOS MALHEIRO</t>
  </si>
  <si>
    <t>DOMINGOS DE OLIVEIRA ROCHA</t>
  </si>
  <si>
    <t>JOAO LUCAS RAMOS DUARTE</t>
  </si>
  <si>
    <t xml:space="preserve">JOAO PEREIRA DA SILVA NETO </t>
  </si>
  <si>
    <t>JOSE NALDO CARDOSO MAGALHÃES</t>
  </si>
  <si>
    <t>KAIQUE MARQUES BENEVIDES</t>
  </si>
  <si>
    <t>LUAN GABRIEL MOREIRA PAZ</t>
  </si>
  <si>
    <t>MAISA AMARAL BENEVIDES</t>
  </si>
  <si>
    <t>MARCOS VINICIOS OLIVEIRA BENEVIDES</t>
  </si>
  <si>
    <t>PAULO CEZAR AMARAL GOMES ARAUJO</t>
  </si>
  <si>
    <t>RYAN OLIVEIRA DE JESUS</t>
  </si>
  <si>
    <t>VANTERNO DUARTE PEREIRA GUIMARAES</t>
  </si>
  <si>
    <t>ANDRESA DUARTE AMORIM</t>
  </si>
  <si>
    <t>DAVI LUIZ DUARTE BENEVIDES</t>
  </si>
  <si>
    <t xml:space="preserve">FABRÍCIO BONFIM SILVA </t>
  </si>
  <si>
    <t>ELLEN VITORIA RODRIGUES BENEVIDES</t>
  </si>
  <si>
    <t>GILBERTO SOUZA DUARTE</t>
  </si>
  <si>
    <t>GUILHERME AMORIM BENEVIDES</t>
  </si>
  <si>
    <t>IAGO DUARTE ALVES</t>
  </si>
  <si>
    <t>ISAAC DUARTE DE SOUZA</t>
  </si>
  <si>
    <t>JOAO LUCAS DE JESUS AMORIM</t>
  </si>
  <si>
    <t>LARISSA DA SILVA PEREIRA</t>
  </si>
  <si>
    <t>LEANDRO PEREIRA BENEVIDES</t>
  </si>
  <si>
    <t>SAMUEL DUARTE BENEVIDES</t>
  </si>
  <si>
    <t>SAMUELL DE SOUZA XAVIER</t>
  </si>
  <si>
    <t>THALISON LIMA MARQUES</t>
  </si>
  <si>
    <t>THAIS MILLE SILVA BENEVIDES</t>
  </si>
  <si>
    <t>YAN DE SOUZA DUARTE</t>
  </si>
  <si>
    <t>VALDEMIR DE SOUZA DUARTE JÚNIOR</t>
  </si>
  <si>
    <t>ANA JULIA DE JESUS NEVES</t>
  </si>
  <si>
    <t>ANDRESSA DE ALMEIDA ALVES</t>
  </si>
  <si>
    <t>DAVI LUCAS DA SILVA COSTA</t>
  </si>
  <si>
    <t>DJHONATAS FABYAN ALVES</t>
  </si>
  <si>
    <t>ENZO MICHEL DE OLIVEIRA SOUZA</t>
  </si>
  <si>
    <t>IGO DE OLIVEIRA ALMEIDA</t>
  </si>
  <si>
    <t>JAMILE ALVES DA SILVA</t>
  </si>
  <si>
    <t>JOAO LUCAS SILVA COUTRIM</t>
  </si>
  <si>
    <t>KELIANE DOS SANTOS FERNANDES</t>
  </si>
  <si>
    <t>KEVILLY LARIELLY SANTANA MOREIRA</t>
  </si>
  <si>
    <t>LETICIA BRITO ALVES</t>
  </si>
  <si>
    <t>STEFANE KAUANNE FERNANDES MAGALHAES</t>
  </si>
  <si>
    <t>ALAN DE JESUS SANTOS</t>
  </si>
  <si>
    <t>WENZO HENRIQUE BATISTA DE SOUZA</t>
  </si>
  <si>
    <t>ADRIELLE DE OLIVEIRA DANTAS</t>
  </si>
  <si>
    <t>CLARISSA DE JESUS MARTINS</t>
  </si>
  <si>
    <t>ADRYAN SANTOS DE SOUZA</t>
  </si>
  <si>
    <t>ANNA CLARA SILVA DOMINGUES</t>
  </si>
  <si>
    <t>CIBELLY VITORIA SOUZA CAMPOS</t>
  </si>
  <si>
    <t>EMILLY SOPHIA SANTANA SILVA</t>
  </si>
  <si>
    <t>GLEICI KELLY BARBOSA DA SILVA</t>
  </si>
  <si>
    <t>JOAO HENRIQUE DE OLIVEIRA CASTRO</t>
  </si>
  <si>
    <t>KAMILLY VITORIA DOURADO SOUZA</t>
  </si>
  <si>
    <t>KELVI DOS SANTOS BARBOSA</t>
  </si>
  <si>
    <t>VITOR SANTANA PEREIRA</t>
  </si>
  <si>
    <t xml:space="preserve">ARTHUR PEREIRA SANTANA </t>
  </si>
  <si>
    <t>ITALO SOARES SILVA</t>
  </si>
  <si>
    <t>MAYRLA BENEVIDES</t>
  </si>
  <si>
    <t>CAROL ALMEIDA SOUZA</t>
  </si>
  <si>
    <t>DEIBIDI DOS SANTOS MARTINS</t>
  </si>
  <si>
    <t>KAUAN DOS SANTOS MARTINS</t>
  </si>
  <si>
    <t>BEATRIZ DE JESUS CARNEIRO</t>
  </si>
  <si>
    <t>HELOISA CONCEICAO RODRIGUES</t>
  </si>
  <si>
    <t>JOVANIA CONCEICAO CERQUEIRA</t>
  </si>
  <si>
    <t>KAUANY STEFHANY DAS NEVES TEODORO</t>
  </si>
  <si>
    <t>LARISSA EMANUELLY SILVA SOARES</t>
  </si>
  <si>
    <t xml:space="preserve">MARIA EDUARDA NOGUEIRA SANTOS </t>
  </si>
  <si>
    <t>RIKELLME RIBEIRO BATISTA</t>
  </si>
  <si>
    <t xml:space="preserve">SABRINA DA CONCEIÇÃO ALVES </t>
  </si>
  <si>
    <t>ADRYAN ROBERTO DE JESUS MARTINS</t>
  </si>
  <si>
    <t>ALYSSON FRANCISCO LIMA</t>
  </si>
  <si>
    <t>CAROL SILVA OLIVEIRA (AUSENTE)</t>
  </si>
  <si>
    <t>GEOVANNA ALMEIDA DOURADO</t>
  </si>
  <si>
    <t>LETICIA SILVA FARIAS</t>
  </si>
  <si>
    <t>MARIA EDUARDA PEREIRA DOURADO</t>
  </si>
  <si>
    <t>MAYARA DA SILVA DE OLIVEIRA</t>
  </si>
  <si>
    <t>VIVIANE DE JESUS FERREIRA</t>
  </si>
  <si>
    <t>YASMIM MARIA BATISTA DA SILVA</t>
  </si>
  <si>
    <t>AMANCIO DA SILVA OLIVEIRA</t>
  </si>
  <si>
    <t xml:space="preserve">ANA CLARA DOS SANTOS PEREIRA </t>
  </si>
  <si>
    <t xml:space="preserve">ANABELA DA SILVA OLIVEIRA </t>
  </si>
  <si>
    <t>ANDRE LUIZ ALVES DA COSTA</t>
  </si>
  <si>
    <t>ANGELICA FREIRE COSTA</t>
  </si>
  <si>
    <t>ANNA LAURA ALVES DA SILVA</t>
  </si>
  <si>
    <t>BEATRIZ ROCHA OLIVEIRA</t>
  </si>
  <si>
    <t>CARLOS ANTONIO BARBOSA SOUZA</t>
  </si>
  <si>
    <t>DAVI DOURADO QUEIROZ</t>
  </si>
  <si>
    <t>DAVI FERNANDES DA SILVA</t>
  </si>
  <si>
    <t>FERNANDA BEATRIZ COUTINHO MENDES</t>
  </si>
  <si>
    <t>FRANCIELY MARTINS OLIVEIRA</t>
  </si>
  <si>
    <t xml:space="preserve">HIAGO SILVA SOUZA </t>
  </si>
  <si>
    <t xml:space="preserve">JOSE LUCAS SANTOS COSTA </t>
  </si>
  <si>
    <t>LIVIA SILVA CARDOSO</t>
  </si>
  <si>
    <t>MARIA ALICE OLIVEIRA LESSA</t>
  </si>
  <si>
    <t>MARIA ANTONIA FRANCISCA DOS SANTOS CARDOSO</t>
  </si>
  <si>
    <t>MARIA LUIZA MARTINS CASTRO</t>
  </si>
  <si>
    <t>MARIANA SILVA DE OLIVEIRA</t>
  </si>
  <si>
    <t>NICOLAS SANTOS FERREIRA</t>
  </si>
  <si>
    <t>SAMILLY FERNANDES BARBOSA</t>
  </si>
  <si>
    <t>SAULO HENRIQUE BRITO FERREIRA</t>
  </si>
  <si>
    <t>VALTER MAURICIO ROCHA DE OLIVEIRA JUNIOR</t>
  </si>
  <si>
    <t>VITORIA DE JESUS FARIAS</t>
  </si>
  <si>
    <t>VITORIA SOUZA SANTOS</t>
  </si>
  <si>
    <t xml:space="preserve">WIBISON ROCHA DE ALMEIDA </t>
  </si>
  <si>
    <t>ALEXYA ROCHA RODRIGUES</t>
  </si>
  <si>
    <t>ANA JULIA BELO DA GUARDA BRITO</t>
  </si>
  <si>
    <t>ANA JULIA SILVA CRUZ</t>
  </si>
  <si>
    <t>BRENO LOURENÇO DE SOUZA</t>
  </si>
  <si>
    <t xml:space="preserve">CLARA SOPHIA DA SILVA SOUZA </t>
  </si>
  <si>
    <t>DAVI DA SILVA CARVALHO</t>
  </si>
  <si>
    <t>EMILLY VITORIA LEAL ROCHA</t>
  </si>
  <si>
    <t>HELOISA MARQUES FERNANDES</t>
  </si>
  <si>
    <t>HIAGO SANTOS SOUZA  (AUSENTE)</t>
  </si>
  <si>
    <t>ISABELLA SOUZA SOARES</t>
  </si>
  <si>
    <t>KEMILLY RYANNA NUNES PEREIRA</t>
  </si>
  <si>
    <t>KESLEY IAN ALVES DE CARVALHO</t>
  </si>
  <si>
    <t xml:space="preserve">LARISSA FERNANDA DA SILVA RIBEIRO </t>
  </si>
  <si>
    <t>LARISSA LOPES BANDEIRA</t>
  </si>
  <si>
    <t>LEANDRO GOMES DE JESUS</t>
  </si>
  <si>
    <t>LORENA FAGUNDES PEREIRA</t>
  </si>
  <si>
    <t>LUIZ FERNANDO DA CRUZ RAMOS</t>
  </si>
  <si>
    <t>MARIA EDUARDA DOS SANTOS ALVES</t>
  </si>
  <si>
    <t>MARLON PEREIRA MACHADO</t>
  </si>
  <si>
    <t>PEDRO HENRIQUE NOGUEIRA DE OLIVEIRA</t>
  </si>
  <si>
    <t>RODRIGO SOUZA DOURADO</t>
  </si>
  <si>
    <t>SAMUEL DE ALMEIDA ALVES</t>
  </si>
  <si>
    <t>STERFANNY SOUZA DE OLIVEIRA</t>
  </si>
  <si>
    <t>YAN AZEVEDO REIS SILVA</t>
  </si>
  <si>
    <t>ANNY BERTRINY ROCHA DE OLIVEIRA</t>
  </si>
  <si>
    <t>ARTHUR PRATES REIS</t>
  </si>
  <si>
    <t>DAVI MAGALHAES DO CARMO</t>
  </si>
  <si>
    <t>EVERTON MANOEL LIMA RODRIGUES</t>
  </si>
  <si>
    <t>HUGO GABRIEL SOUZA MAGALHAES</t>
  </si>
  <si>
    <t>JOAO MIGUEL SILVA DOS ANJOS</t>
  </si>
  <si>
    <t>JOSE ARTUR LESSA ROCHA</t>
  </si>
  <si>
    <t>LARA SOPPHIA PEREIRA DA SILVA</t>
  </si>
  <si>
    <t>LUIS FERNANDO SANTOS ROGRIGUES</t>
  </si>
  <si>
    <t>LUIZ GUSTAVO DE SOUZA LESSA</t>
  </si>
  <si>
    <t>MANUELA RODRIGUES DA SILVA</t>
  </si>
  <si>
    <t>MARIA LAURA OLIVEIRA ROCHA</t>
  </si>
  <si>
    <t xml:space="preserve">MARIA LETICIA LARANJEIRA CARDOSO </t>
  </si>
  <si>
    <t>MIGUEL SILVA MACHADO</t>
  </si>
  <si>
    <t>NIKOLAS CARVALHO SILVA</t>
  </si>
  <si>
    <t>RAYANE VICTORIA DE JESUS LOPES</t>
  </si>
  <si>
    <t>SAMUEL BARBOSA LOPES</t>
  </si>
  <si>
    <t>VICTOR MARQUES DE CASTRO</t>
  </si>
  <si>
    <t xml:space="preserve">VILTON BRUNO SANTOS DA SILVA </t>
  </si>
  <si>
    <t xml:space="preserve">ANA CLARA DE SOUZA NEVES </t>
  </si>
  <si>
    <t>BRENO DA COSTA BARBOSA</t>
  </si>
  <si>
    <t>ELOIZA TAINA SILVA GUEDES</t>
  </si>
  <si>
    <t>EMILLY VITORIA SOUSA</t>
  </si>
  <si>
    <t>EMILY EDUARDA RODRIGUES DE JESUS</t>
  </si>
  <si>
    <t>EUGENIO SOARES DA SILVA</t>
  </si>
  <si>
    <t>FLAVIA CARDOSO SOUZA</t>
  </si>
  <si>
    <t>FRANCISCO AURÉLIO SANTOS DA ROCHA</t>
  </si>
  <si>
    <t>HELOISA ALMEID DE OLIVEIRA</t>
  </si>
  <si>
    <t>JOÃO CARLOS DA SILVA ROCHA</t>
  </si>
  <si>
    <t>LUAN SANTOS SOARES</t>
  </si>
  <si>
    <t>LUCAS SANTOS SOARES</t>
  </si>
  <si>
    <t>MATHEUS BOA SORTE SILVA</t>
  </si>
  <si>
    <t>PYETRO LORENZO BARBOSA SANTOS DE SOUZA</t>
  </si>
  <si>
    <t>TCHARLES HENRIQUE DOURADO MOURA</t>
  </si>
  <si>
    <t xml:space="preserve">VICTOR HUGO DE OLIVEIRA GARCIA </t>
  </si>
  <si>
    <t>WILLIAN NOGUEIRA DA SILVA</t>
  </si>
  <si>
    <t xml:space="preserve">YASMIN VICTORIA SOUZA SANTANA </t>
  </si>
  <si>
    <t>5º ANO - D</t>
  </si>
  <si>
    <t>ALICE LIMA</t>
  </si>
  <si>
    <t>ANA BEATRIZ NEVES DIAS</t>
  </si>
  <si>
    <t>ANA VITORIA DA CRUZ SILVA</t>
  </si>
  <si>
    <t xml:space="preserve">DAVI DE OLIVEIRA RAMOS (AUSENTE) </t>
  </si>
  <si>
    <t>DENIO FERNANDO DE AQUINO SILVA</t>
  </si>
  <si>
    <t>ENZO GABRIEL PEREIRA RIBEIRO</t>
  </si>
  <si>
    <t>GUILHERME BRITO ALVES</t>
  </si>
  <si>
    <t xml:space="preserve">ISABELLA PORTO DA ROCHA </t>
  </si>
  <si>
    <t>IURY APARECIDO FERNANDES SILVA</t>
  </si>
  <si>
    <t>JOAO VICTOR FERREIRA DIAS</t>
  </si>
  <si>
    <t>LORRANE LOPES COSTA</t>
  </si>
  <si>
    <t>LUAN SANTOS DA CRUZ</t>
  </si>
  <si>
    <t>LUCAS GABRIEL SILVA RODRIGUES</t>
  </si>
  <si>
    <t>LUCAS SANTOS DA CRUZ</t>
  </si>
  <si>
    <t>RAYLLA LORAYNY ALMEIDA FERNANDES</t>
  </si>
  <si>
    <t>SAMUEL SANTANA BRANDAO</t>
  </si>
  <si>
    <t>EF05LP10</t>
  </si>
  <si>
    <t>EF05LP23</t>
  </si>
  <si>
    <t>EF05LP15</t>
  </si>
  <si>
    <t>EF05LP16</t>
  </si>
  <si>
    <t>EF05LP08</t>
  </si>
  <si>
    <t>EF05LP01</t>
  </si>
  <si>
    <t>EF05LP02</t>
  </si>
  <si>
    <t>EF05LP03</t>
  </si>
  <si>
    <t>EF05LP04</t>
  </si>
  <si>
    <t>EF05LP05</t>
  </si>
  <si>
    <t>EF05LP06</t>
  </si>
  <si>
    <t>EF05MA01</t>
  </si>
  <si>
    <t>EF05MA02</t>
  </si>
  <si>
    <t>EF05MA03</t>
  </si>
  <si>
    <t>EF05MA05</t>
  </si>
  <si>
    <t>EF05MA06</t>
  </si>
  <si>
    <t>EF05MA08</t>
  </si>
  <si>
    <t>EF05MA09</t>
  </si>
  <si>
    <t>EF05MA10</t>
  </si>
  <si>
    <t>EF05MA11</t>
  </si>
  <si>
    <t>EF05MA12</t>
  </si>
  <si>
    <t>EF05MA14</t>
  </si>
  <si>
    <t>EF05MA19</t>
  </si>
  <si>
    <t>EF05MA21</t>
  </si>
  <si>
    <t>EF05MA24</t>
  </si>
  <si>
    <t xml:space="preserve">ESTEFANE KAUANY DE OLIVEIRA FERNANDES </t>
  </si>
  <si>
    <t>6º ANO  - A</t>
  </si>
  <si>
    <t>AMAILSON DE OLIVEIRA FERREIRA   (AUSENTE)</t>
  </si>
  <si>
    <t>DANIEL OLIVEIRA DUARTE</t>
  </si>
  <si>
    <t>ENIO CARLOS DE SOUZA  CARDOSO</t>
  </si>
  <si>
    <t>ENNZO GABRIEL SILVA OLIVEIRA</t>
  </si>
  <si>
    <t>FILIPE EMANUEL DE JESUS OLIVEIRA</t>
  </si>
  <si>
    <t>GABRIELE RODRIGUES DA SILVA</t>
  </si>
  <si>
    <t>HEDI LUCAS DA SILVA NUNES</t>
  </si>
  <si>
    <t>HELOISA SILVA COSTA</t>
  </si>
  <si>
    <t>JADE MARIA SANTANA FERREIRA</t>
  </si>
  <si>
    <t>JULIANA RIBEIRO SILVA</t>
  </si>
  <si>
    <t>KEIRRISON GABRIEL SOUZA RODRIGUES</t>
  </si>
  <si>
    <t>LORENZO RAVY FERREIRA DA SILVA</t>
  </si>
  <si>
    <t>MAIK LUAN DE SOUZA CARDOSO</t>
  </si>
  <si>
    <t>MATHIAS ALVES SOUZA</t>
  </si>
  <si>
    <t>MURILLO MIGUEL DE OLIVEIRA SOUZA</t>
  </si>
  <si>
    <t>SAMUEL DA SILVA LOPES</t>
  </si>
  <si>
    <t>SAMUEL MENDES DE OLIVEIRA</t>
  </si>
  <si>
    <t>SAULO SANTANA RODRIGUES  (AUSENTE)</t>
  </si>
  <si>
    <t>SUELEN MARIANA DA SILVA MACEDO</t>
  </si>
  <si>
    <t xml:space="preserve">THAUANY APARECIDA DA TRINDADE JESUS </t>
  </si>
  <si>
    <t>WEVITON SOUZA NONATO</t>
  </si>
  <si>
    <t>YURI OLIVEIRA RODRIGUES</t>
  </si>
  <si>
    <t>6º ANO  - B</t>
  </si>
  <si>
    <t>ALANNA APARECIDA COSTA SILVA</t>
  </si>
  <si>
    <t>ANA CLARA SANTANA COSTA</t>
  </si>
  <si>
    <t>BRENDA MAYARA SANTOS DOURADO</t>
  </si>
  <si>
    <t>DAVI LUCAS SILVA COSTA</t>
  </si>
  <si>
    <t>EDNA PIETRA CARDOSO SILVA</t>
  </si>
  <si>
    <t>ENZO DE SOUZA FERREIRA</t>
  </si>
  <si>
    <t>ERIAN SERGIO NOGUEIRA DA SILVA</t>
  </si>
  <si>
    <t>ISABELA DE OLIVEIRA RIBEIRO</t>
  </si>
  <si>
    <t>LUCAS RAFAEL ROCHA DE SOUZA</t>
  </si>
  <si>
    <t>MEIRELES RIBEIRO PEREIRA</t>
  </si>
  <si>
    <t>MYLLENA OLIVEIRA COSTA</t>
  </si>
  <si>
    <t>THALYS SOUZA PEREIRA</t>
  </si>
  <si>
    <t>VITORIA TEIXEIRA SANTANA</t>
  </si>
  <si>
    <t>WENDEL SOUZA SILVA</t>
  </si>
  <si>
    <t>YURI GABRIELL MOREIRA DE ASSIS</t>
  </si>
  <si>
    <t>AMANDA FERREIRA DA SILVA</t>
  </si>
  <si>
    <t>ANA VITORIA DE MAGALHAES CRUZ</t>
  </si>
  <si>
    <t>ANALIZE CASTRO ARAUJO</t>
  </si>
  <si>
    <t>ANTHONY AZEVEDO ROCHA</t>
  </si>
  <si>
    <t>ARIEL DOS SANTOS CASTRO</t>
  </si>
  <si>
    <t>ARTHUR RAYNNER ROCHA PRATES</t>
  </si>
  <si>
    <t>EVERTON BARBOSA ROCHA</t>
  </si>
  <si>
    <t>GABRIELLY VICTORIA GOMES CARDOSO</t>
  </si>
  <si>
    <t>GUILHERME ANDERSON GOMES CARDOSO</t>
  </si>
  <si>
    <t>HYAGO ALVES DE OLIVEIRA</t>
  </si>
  <si>
    <t xml:space="preserve">JORGE MIGUEL SILVA SANTOS </t>
  </si>
  <si>
    <t>MARIA CECILIA DE OLIVEIRA FERNANDES</t>
  </si>
  <si>
    <t>MARIA CLARA DA SILVA SANTOS</t>
  </si>
  <si>
    <t>MARIA GABRIELA NEVES SANTANA</t>
  </si>
  <si>
    <t>MARIA LUYZA DE AZEVEDO SANTOS</t>
  </si>
  <si>
    <t>MELISSA FARIAS FERNANDES</t>
  </si>
  <si>
    <t>SHAYMON HENRIQUE DE JESUS FERNANDES</t>
  </si>
  <si>
    <t>VITOR ENZO SILVA PEREIRA</t>
  </si>
  <si>
    <t>VITOR NASCIMENTO AZEVEDO</t>
  </si>
  <si>
    <t>ANA CLARA DE OLIVEIRA SILVA</t>
  </si>
  <si>
    <t>BIANCA DE OLIVEIRA SILVA</t>
  </si>
  <si>
    <t>EMANUELA FAGUNDES SILVA</t>
  </si>
  <si>
    <t>EMELLY ROBERTA DE OLIVEIRA SANTOS</t>
  </si>
  <si>
    <t>ISMAEL DOS SANTOS RIBEIRO</t>
  </si>
  <si>
    <t>JAMILLY VITORIA SANTOS CARDOSO</t>
  </si>
  <si>
    <t>JORGE HENRIQUE PEREIRA DE OLIVEIRA</t>
  </si>
  <si>
    <t>LAYZA GABRIELLY DOS SANTOS AMORIM</t>
  </si>
  <si>
    <t>MARYANNE SANTOS GUIMARAES   (AUSENTE)</t>
  </si>
  <si>
    <t xml:space="preserve">MAYARA DA SILVA PEREIRA </t>
  </si>
  <si>
    <t xml:space="preserve">RAASIA PHABLINE SOUZA SANTOS </t>
  </si>
  <si>
    <t>RENAN DE OLIVEIRA SOUZA</t>
  </si>
  <si>
    <t>ROMILSON PEREIRA SANTOS</t>
  </si>
  <si>
    <t>RUAN VICTOR SANTOS LOPES</t>
  </si>
  <si>
    <t>YASMIM ALVES DOS SANTOS</t>
  </si>
  <si>
    <t>ANE VITORIA SILVA PEREIRA</t>
  </si>
  <si>
    <t>BEATRIZ DE SOUZA FERREIRA</t>
  </si>
  <si>
    <t>EDUARDO FERREIRA RODRIGUES</t>
  </si>
  <si>
    <t xml:space="preserve">MARCOS ROBERTO MARQUES SILVA </t>
  </si>
  <si>
    <t xml:space="preserve">RUAN DE OLIVEIRA SOUZA </t>
  </si>
  <si>
    <t>STENIO SILVA MARQUES</t>
  </si>
  <si>
    <t>ANA BEATRIZ DA SILVA NASCIMENTO</t>
  </si>
  <si>
    <t>ANGELA CRISTINA DE JESUS SANTOS</t>
  </si>
  <si>
    <t>EDILAINE SOUZA SILVA</t>
  </si>
  <si>
    <t>ELAINE SILVA AMARAL</t>
  </si>
  <si>
    <t>ELOIZA VITORIA LOPES COSTA</t>
  </si>
  <si>
    <t>ERIK SILVA OLIVEIRA</t>
  </si>
  <si>
    <t>ERIKA VITORIA SANTOS SILVA</t>
  </si>
  <si>
    <t>GISELE DE JESUS SILVA</t>
  </si>
  <si>
    <t>ISABELLY DIAS MARTINS</t>
  </si>
  <si>
    <t>JULIA DE JESUS SILVA</t>
  </si>
  <si>
    <t>LAIS APARECIDA PEREIRA SOUZA</t>
  </si>
  <si>
    <t>MAISA SILVA OLIVEIRA</t>
  </si>
  <si>
    <t>MARIENE DA SILVA COSTA</t>
  </si>
  <si>
    <t>PEDRO HENRIQUE SILVA DE OLIVEIRA</t>
  </si>
  <si>
    <t>RONEY DE JESUS ALVES</t>
  </si>
  <si>
    <t>YGOR HENRIQUE SILVA LOPES (AUSENTE)</t>
  </si>
  <si>
    <t>LUIS GABRIEL SANTOS DE OLIVEIRA</t>
  </si>
  <si>
    <t>RUAN DYEIMISSON SOUZA FERREIRA</t>
  </si>
  <si>
    <t>SAULO DANIEL SOUZA LIMA</t>
  </si>
  <si>
    <t>VICTOR JUNIOR PEREIRA ROCHA</t>
  </si>
  <si>
    <t>CHARLES FERNANDES MARTINS</t>
  </si>
  <si>
    <t>IRAN CRUZ DE JESUS</t>
  </si>
  <si>
    <t>IRAN PEDRO NEVES BRITO</t>
  </si>
  <si>
    <t>JEAN CARLOS MARTINS</t>
  </si>
  <si>
    <t>LUAN DA SILVA DOURADO</t>
  </si>
  <si>
    <t>MARCIEL VIEIRA LIMA</t>
  </si>
  <si>
    <t>VALQUIRIA  PEREIRA DA SILVA SANTOS</t>
  </si>
  <si>
    <t>WENIO KASSIO XAVIER DA SILVA</t>
  </si>
  <si>
    <t>6º ANO  - D</t>
  </si>
  <si>
    <t xml:space="preserve">ALDO TADEU SOUZA SILVA </t>
  </si>
  <si>
    <t>ARTHUR RODRIGUES DA CRUZ</t>
  </si>
  <si>
    <t>CARLOS DANIEL MOURA ALMEIDA</t>
  </si>
  <si>
    <t xml:space="preserve">CLEITON JUAREZ  DE JESUS </t>
  </si>
  <si>
    <t>DANIEL ALVES MOREIRA</t>
  </si>
  <si>
    <t>DAVI LUCCA PEREIRA LELES</t>
  </si>
  <si>
    <t>DAVI SANTOS OLIVEIRA</t>
  </si>
  <si>
    <t>EMILLY RAINE SILVA SANTANA</t>
  </si>
  <si>
    <t xml:space="preserve">ESTER ROCHA CARDOSO </t>
  </si>
  <si>
    <t>FELIPE BRUNO AZEVEDO DOS SANTOS</t>
  </si>
  <si>
    <t>FELIPE GABRIEL MOREIRA DE SOUZA</t>
  </si>
  <si>
    <t>FERNANDO DE JESUS PEREIRA</t>
  </si>
  <si>
    <t>GUILHERME DA SILVA CONCEICAO</t>
  </si>
  <si>
    <t>HEITOR BRANDAO LAGO</t>
  </si>
  <si>
    <t>HERNANE ZETOLI LARANJEIRA</t>
  </si>
  <si>
    <t>JAQUELINE PEREIRA REIS</t>
  </si>
  <si>
    <t>JOAO MIGUEL SANTANA FAGUNDES</t>
  </si>
  <si>
    <t>JOAO VITOR DE ALMEIDA PEREIRA</t>
  </si>
  <si>
    <t>JOSE CARLOS SILVA QUEIROZ</t>
  </si>
  <si>
    <t>MARIA CLARA BARBOSA CARDOSO</t>
  </si>
  <si>
    <t>MARIA FERNANDA FERNANDES XAVIER</t>
  </si>
  <si>
    <t>MURILLO COSTA ARAUJO</t>
  </si>
  <si>
    <t>PEDRO ERICK LOPES FERNANDES</t>
  </si>
  <si>
    <t>RAISSA PEREIRA ROCHA</t>
  </si>
  <si>
    <t>SAUAN FELIPE LESSA BENEVIDES</t>
  </si>
  <si>
    <t>VICTOR HUGO PEREIRA CARDOSO</t>
  </si>
  <si>
    <t>YAN MOREIRA OLIVEIRA</t>
  </si>
  <si>
    <t>ALICIA LARANJEIRA FERREIRA</t>
  </si>
  <si>
    <t>ARTHUR MARQUES PEREIRA</t>
  </si>
  <si>
    <t>DHENIFFER PAULA SILVA BRITO</t>
  </si>
  <si>
    <t>ELIEL DUARTE LOPES</t>
  </si>
  <si>
    <t>ERICK KAIAN OLIVEIRA FERNANDES</t>
  </si>
  <si>
    <t>FILYPE GABRIEL DE SOUZA ALMEIDA</t>
  </si>
  <si>
    <t>GEOVANNA RODRIGUES LOPES</t>
  </si>
  <si>
    <t>HEITOR PIETRO LOPES BARBOSA</t>
  </si>
  <si>
    <t>ISABELLA APARECIDA FARIAS MALHEIRO</t>
  </si>
  <si>
    <t>JOAO CLEBERSON DA SILVA BANDEIRA</t>
  </si>
  <si>
    <t xml:space="preserve">JOSE ARTHUR OLIVEIRA LELIS </t>
  </si>
  <si>
    <t>LARISSA EMANUELE PELICIARI MAGALHAES</t>
  </si>
  <si>
    <t>LOHANA BRITO BOA SORTE</t>
  </si>
  <si>
    <t>MARIA CLARA FERNANDES PRATES NAVARRO</t>
  </si>
  <si>
    <t>MURILO DA SILVA SANTOS</t>
  </si>
  <si>
    <t>NATHIELLY DE JESUS RIBEIRO</t>
  </si>
  <si>
    <t>RIAN MICHEL PEREIRA DE OLIVEIRA</t>
  </si>
  <si>
    <t>VALENTINA DOURADO ALVES</t>
  </si>
  <si>
    <t>ANA LIVIA NEVES DA SILVA</t>
  </si>
  <si>
    <t>BIANCA DE AZEVEDO BARBOSA</t>
  </si>
  <si>
    <t>DAVI DA SILVA SANTOS</t>
  </si>
  <si>
    <t>DAVI LUCAS FERREIRA BRAGA   (PCD)</t>
  </si>
  <si>
    <t>DEYVID NDANIEL DE JESUS NEVES</t>
  </si>
  <si>
    <t xml:space="preserve">DHEISON PEREIRA DA SILVA    (PCD) </t>
  </si>
  <si>
    <t>DIOGO VICTOR SANTOS FERREIRA</t>
  </si>
  <si>
    <t>HENRIQUE GABRIEL DE JESUS SILVA     (PCD)</t>
  </si>
  <si>
    <t>ISABELA CONCEIÇÃO SILVA RÊGO    (PCD)</t>
  </si>
  <si>
    <t>JOAO VITOR DA CONCEICAO BARBOSA</t>
  </si>
  <si>
    <t>JOSE MESSIAS FERNANDES</t>
  </si>
  <si>
    <t>LUIZA VIANNE DA SILVA OLIVEIRA</t>
  </si>
  <si>
    <t>MIKAELLE LOPES DIAS</t>
  </si>
  <si>
    <t>OSCAR WILIAM DUARTE ALMEIDA</t>
  </si>
  <si>
    <t>PABLO ANREL BANDEIRA MENDES</t>
  </si>
  <si>
    <t>PEDRO GUILHERME FERREIRA BARBOSA</t>
  </si>
  <si>
    <t>SAMUEL GOMES SILVA</t>
  </si>
  <si>
    <t xml:space="preserve">STEFANNI GOMES DOS SANTOS </t>
  </si>
  <si>
    <t>6º ANO - C</t>
  </si>
  <si>
    <t>ADSON HARLEY DE JESUS NASCIMENTO</t>
  </si>
  <si>
    <t>ALISSON HENRIQUE DE JESUS NASCIMENTO</t>
  </si>
  <si>
    <t>ANA BEATRIZ DE ARAUJO MENDES</t>
  </si>
  <si>
    <t>DAVI LUCAS MARQUES ROCHA</t>
  </si>
  <si>
    <t>ESTEFANE VITORIA SANTOS MATOS</t>
  </si>
  <si>
    <t>FABRICIO DA SILVA VERISSIMO</t>
  </si>
  <si>
    <t>HIASMINE FLORES DOS SANTOS</t>
  </si>
  <si>
    <t>ISABELLA LIMA MAGALHÃES</t>
  </si>
  <si>
    <t>ISLANNY FERREIRA DA SILVA</t>
  </si>
  <si>
    <t>LAYLA SOPHIA APARECIDA ARAUJO LOPES</t>
  </si>
  <si>
    <t>MARIA CECILIA BARBOSA ABREU</t>
  </si>
  <si>
    <t>MARIA HELOISA LESSA DO CARMO</t>
  </si>
  <si>
    <t>MELISSA RODRIGUES FERNANDES</t>
  </si>
  <si>
    <t>MIGUEL ARCANJO SENA GOMES</t>
  </si>
  <si>
    <t>OTAVIANO CARDOSO PEREIRA NETO</t>
  </si>
  <si>
    <t>PABLO GABRIEL DE OLIVEIRA ANDRADE</t>
  </si>
  <si>
    <t>REBECA DUARTE OLIVEIRA</t>
  </si>
  <si>
    <t>RYAN VINICIUS OLIVEIRA FERNANDES</t>
  </si>
  <si>
    <t>SAMUELL FERNANDES CARDOSO</t>
  </si>
  <si>
    <t>SAVIO MACEDO OLIVEIRA</t>
  </si>
  <si>
    <t xml:space="preserve">UALISON MARCOS DA CRUZ SILVA </t>
  </si>
  <si>
    <t>6º ANO - E</t>
  </si>
  <si>
    <t>ANA LOIZA MOREIRA MACEDO</t>
  </si>
  <si>
    <t>ENZO GABRIEL RODRIGUES ALCANTARA</t>
  </si>
  <si>
    <t>ISADORA PRATES DE SOUZA</t>
  </si>
  <si>
    <t xml:space="preserve">JHONATA ROCHA AZEVEDO    (PCD) </t>
  </si>
  <si>
    <t xml:space="preserve">LARA CARDOSO DE SOUZA </t>
  </si>
  <si>
    <t>LARA LOHANNY SANTOS SOUZA</t>
  </si>
  <si>
    <t>LAUANY BEATRIZ CASTRO SILVA</t>
  </si>
  <si>
    <t xml:space="preserve">LETICIA CARDOSO DE SOUZA </t>
  </si>
  <si>
    <t xml:space="preserve">LIVIA DOURADO SILVA </t>
  </si>
  <si>
    <t>LUIS GUSTAVO SILVA SANTOS</t>
  </si>
  <si>
    <t>LUIZ GUILHERME DOURADO SANTOS</t>
  </si>
  <si>
    <t>MARIA ALICE DOS SANTOS OLIVEIRA</t>
  </si>
  <si>
    <t>MARIA FERNANDA NOGUEIRA BARBOSA</t>
  </si>
  <si>
    <t>MARIO KLAYVER BATISTA SANTOS</t>
  </si>
  <si>
    <t>MURILO SANTANA DOS SANTOS FILHO</t>
  </si>
  <si>
    <t>NICOLE NOGUEIRA DA SILVA</t>
  </si>
  <si>
    <t>NICOLLE ROCHA MARQUES</t>
  </si>
  <si>
    <t>PATRICK RODRIGUES BARBOSA</t>
  </si>
  <si>
    <t>PIETRO RODRIGUES BARBOSA</t>
  </si>
  <si>
    <t>ROBERIO SENA DE OLIVEIRA JUNIOR</t>
  </si>
  <si>
    <t>ROBERTO RODRIGUES DE OLIVEIRA JÚNIOR</t>
  </si>
  <si>
    <t>VITOR EMANUEL ARAUJO DA SILVA</t>
  </si>
  <si>
    <t>WHALYSSON DE OLIVEIRA ROCHA</t>
  </si>
  <si>
    <t>YASMIM MARY FERNANDES NEVES</t>
  </si>
  <si>
    <t xml:space="preserve">YURI MOREIRA COSTA </t>
  </si>
  <si>
    <t>DANIEL DE OLIVEIRA PAES</t>
  </si>
  <si>
    <t>EDILSON LIMA PEREIRA</t>
  </si>
  <si>
    <t>EDNA CARLA DE JESUS RODRIGUES</t>
  </si>
  <si>
    <t>GUSTAVO HENRIQUE SILVA E OLIVEIRA</t>
  </si>
  <si>
    <t>KEVLLY SOPHIA FERNANDES PEREIRA</t>
  </si>
  <si>
    <t>LARISSA SANTOS OLIVEIRA</t>
  </si>
  <si>
    <t>LUCIANO DE ALMEIDA OLIVEIRA</t>
  </si>
  <si>
    <t>SAMUEL SANDRO NUNES DE JESUS</t>
  </si>
  <si>
    <t>SOPHIA VITORIA CARVALHO VENTURA</t>
  </si>
  <si>
    <t>TIERLLY RODRIGUES VIEIRA</t>
  </si>
  <si>
    <t>VITOR KAUA PEREIRA DE OLIVEIRA</t>
  </si>
  <si>
    <t>CARLOS DANIEL NEVES PEREIRA</t>
  </si>
  <si>
    <t>CARLOS EDUARDO SILVA DUARTE</t>
  </si>
  <si>
    <t>CAROL AMORIM BENEVIDES</t>
  </si>
  <si>
    <t>CATILEIA JESUS DOS SANTOS</t>
  </si>
  <si>
    <t>CLAUDIO IVO FERNANDES</t>
  </si>
  <si>
    <t>ENZO BISMARK AMORIM DUARTE</t>
  </si>
  <si>
    <t>ESTER RODRIGUES OLIVEIRA</t>
  </si>
  <si>
    <t xml:space="preserve">FLAVIO SOUZA MARTINS </t>
  </si>
  <si>
    <t>ICARO DE SOUZA PEREIRA</t>
  </si>
  <si>
    <t xml:space="preserve">ISABELLA MARQUES RODRIGUES </t>
  </si>
  <si>
    <t>ITALO BENEVIDES DA SILVA</t>
  </si>
  <si>
    <t>JESSICA CRISTINA AMORIM OLIVEIRA</t>
  </si>
  <si>
    <t>LANE PAULINA AZEVEDO RODRIGUES</t>
  </si>
  <si>
    <t>LUDIMILA DE SOUZA DUARTE</t>
  </si>
  <si>
    <t>MARCOS VINICIUS CARDOSO FERNANDES</t>
  </si>
  <si>
    <t>MARIA EDUARDA DE OLIVEIRA SILVA</t>
  </si>
  <si>
    <t>MARIA JOAQUINA OLIVEIRA            (PCD)</t>
  </si>
  <si>
    <t>RAFAELA DE SOUSA DUARTE</t>
  </si>
  <si>
    <t>SAULO CARDOSO AMORIM</t>
  </si>
  <si>
    <t>VANESSA DA SILVA BENEVIDES</t>
  </si>
  <si>
    <t>YURI BENEVIDES MARQUES</t>
  </si>
  <si>
    <t>ALISSON KAIQUE PEREIRA SILVA</t>
  </si>
  <si>
    <t>ALISSON LIMA DE ALMEIDA</t>
  </si>
  <si>
    <t>ANA FLAVIA DIAS DE JESUS</t>
  </si>
  <si>
    <t>CAIO DE JESUS PEREIRA</t>
  </si>
  <si>
    <t>EMILLY VITORIA FERNANDES PEREIRA</t>
  </si>
  <si>
    <t>FLAVIO LEVY BARBOSA ALVES</t>
  </si>
  <si>
    <t>ISMAEL DOS SANTOS SILVA</t>
  </si>
  <si>
    <t>JADISON HERNANES DE JESUS OLIVEIRA</t>
  </si>
  <si>
    <t>MIKAEL VITOR ROCHA DOS SANTOS</t>
  </si>
  <si>
    <t>NADSON RYAN DE JESUS PEREIRA</t>
  </si>
  <si>
    <t>PALOMA DE ALMEIDA COELHO</t>
  </si>
  <si>
    <t>RAEL DOUGLAS DE JESUS SANTOS</t>
  </si>
  <si>
    <t>ROSILANY DA SILVA ALVES</t>
  </si>
  <si>
    <t>VANDERNILSON NEVES DE ALMEIDA</t>
  </si>
  <si>
    <t>6º ANO MATUTINO - A</t>
  </si>
  <si>
    <t>ALYSSON BOA SORTE DE ALMEIDA</t>
  </si>
  <si>
    <t>ANA CAROLINA DA SILVA ROCHA</t>
  </si>
  <si>
    <t>ANA CLARA PEREIRA SOUZA</t>
  </si>
  <si>
    <t>BERVELLY LUIZA OLIVEIRA CARDOSO</t>
  </si>
  <si>
    <t>DANDARA YASMIN RODRIGUES DE JESUS</t>
  </si>
  <si>
    <t>ELIAS GABRIEL SILVA DA CRUZ</t>
  </si>
  <si>
    <t>EMILLY GABRIELLY PRATES REIS</t>
  </si>
  <si>
    <t>GHARDENIA REIS RODRIGUES</t>
  </si>
  <si>
    <t>GUILHERME PEREIRA BATISTA</t>
  </si>
  <si>
    <t>GUSTAVO OLIVEIRA DIAS</t>
  </si>
  <si>
    <t>HAYLA BELLA SOUZA SOBRAL</t>
  </si>
  <si>
    <t>JEANDERSON PEREIRA ROCHA</t>
  </si>
  <si>
    <t>JOAO MIGUEL MARINO DA SILVA</t>
  </si>
  <si>
    <t>LARISSA DA CONCEICAO PEREIRA</t>
  </si>
  <si>
    <t>LORANNE GABRIELLY ROCHA</t>
  </si>
  <si>
    <t xml:space="preserve">LUIZ FERNANDO DA SILVA RIBEIRO </t>
  </si>
  <si>
    <t>LÍVIA GABRIELLY LOPES PRATES</t>
  </si>
  <si>
    <t>MARIA GABRIELA FERNANDES ANDRADE</t>
  </si>
  <si>
    <t>MARIA JULIA DE OLIVEIRA CRUZ</t>
  </si>
  <si>
    <t>MARIA LUISA SANTOS DE OLIVEIRA</t>
  </si>
  <si>
    <t>MELISSA EVELLYN OLIVEIRA SOUZA</t>
  </si>
  <si>
    <t>NATHAN LIMA QUEIROZ</t>
  </si>
  <si>
    <t>PABLO HENRIQUE DIAS</t>
  </si>
  <si>
    <t>RONYEDSON NEVES PRATES</t>
  </si>
  <si>
    <t>SOFIA LIMA SANTOS</t>
  </si>
  <si>
    <t>VITORIA DOS SANTOS ALVES</t>
  </si>
  <si>
    <t>6º ANO MATUTINO - B</t>
  </si>
  <si>
    <t>ANNY GABRIELY CHAGAS DE OLIVEIRA</t>
  </si>
  <si>
    <t>CAMILA VITORIA OLIVEIRA DE SOUZA</t>
  </si>
  <si>
    <t>DAVID EMANNUEL SILVA SOUZA</t>
  </si>
  <si>
    <t>DEIVID WALLACE LEAL SILVA</t>
  </si>
  <si>
    <t>DEVYD RUAN DE SOUZA SILVA</t>
  </si>
  <si>
    <t>ESTEFANNY GABRIELLY DA SILVA OLIVEIRA</t>
  </si>
  <si>
    <t>GLEICE KELLY PEREIRA SILVA</t>
  </si>
  <si>
    <t>GUSTHAVO SILVA LIMA</t>
  </si>
  <si>
    <t>ISADORA REIS SILVA</t>
  </si>
  <si>
    <t>JULIA KAROL FOGACA PEREIRA</t>
  </si>
  <si>
    <t>LORENZO ALVES SEIXAS</t>
  </si>
  <si>
    <t xml:space="preserve">LORENZZO KAIAN DE SOUZA NOGUEIRA </t>
  </si>
  <si>
    <t>LOROHANA DOS SANTOS SOUZA</t>
  </si>
  <si>
    <t>LUIS GUILHERME ALVES BOA SORTE</t>
  </si>
  <si>
    <t>MARLUCIO MAGNO DE SOUZA SILVA</t>
  </si>
  <si>
    <t>OTHAVIO LESSA SOUZA</t>
  </si>
  <si>
    <t xml:space="preserve">RAISSA MANUELA SANTOS MEIRA </t>
  </si>
  <si>
    <t>SAMUEL BARBOSA RAMALHO</t>
  </si>
  <si>
    <t xml:space="preserve">TAINA APARECIDA DA JESUS SILVA </t>
  </si>
  <si>
    <t>VALERIO SANTOS DA SILVA</t>
  </si>
  <si>
    <t>VICTOR EMANUEL ALVES PEREIRA</t>
  </si>
  <si>
    <t>VINICIUS RIBEIRO SILVA</t>
  </si>
  <si>
    <t>VITOR HUGO OLIVEIRA MARTIM</t>
  </si>
  <si>
    <t>6º ANO VESPERTINO - A</t>
  </si>
  <si>
    <t>ALEXANDRO MAGALHAES LESSA</t>
  </si>
  <si>
    <t>ANE ELOIZA DIAS CASTRO</t>
  </si>
  <si>
    <t>DEIVID LIMA DE JESUS</t>
  </si>
  <si>
    <t>EMILY VICTORIA DA SILVA ALVES</t>
  </si>
  <si>
    <t>FLAVIA KAUANNY DE AZEVEDO MOURA</t>
  </si>
  <si>
    <t>GABRIELLA MARINE DE ALMEIDA BARBOSA</t>
  </si>
  <si>
    <t>GLEICIANE KATRIELE NASCIMENTO BANDEIRA</t>
  </si>
  <si>
    <t>GUILHERME SILVA MARQUES</t>
  </si>
  <si>
    <t>LARISSA SANTANA ALVES</t>
  </si>
  <si>
    <t>LORRANE DA SILVA LESSA</t>
  </si>
  <si>
    <t>MARCIO OTAVIO DE AZEVEDO GUEDES</t>
  </si>
  <si>
    <t>MARIA FERNANDA BENEVIDES COUTINHO</t>
  </si>
  <si>
    <t>MISLANY SANTANA DIAS</t>
  </si>
  <si>
    <t>STEFANNY TATIELY ALVES DOS SANTOS</t>
  </si>
  <si>
    <t>VITOR DE JESUS SILVA</t>
  </si>
  <si>
    <t>WELBER SILVA RODRIGUES</t>
  </si>
  <si>
    <t>WILK THIERRY COSTA SILVA</t>
  </si>
  <si>
    <t>cmchrispin@sare.com</t>
  </si>
  <si>
    <t>cmestevao@sare.com</t>
  </si>
  <si>
    <t>cmgeraldo@sare.com</t>
  </si>
  <si>
    <t>cmjoao@sare.com</t>
  </si>
  <si>
    <t>cmmarciano@sare.com</t>
  </si>
  <si>
    <t>cmmaria@sare.com</t>
  </si>
  <si>
    <t>cmporphyrio@sare.com</t>
  </si>
  <si>
    <t>cmprofessor@sare.com</t>
  </si>
  <si>
    <t>cmedivaldo@sare.com</t>
  </si>
  <si>
    <t>cmjosealves@sare.com</t>
  </si>
  <si>
    <t>cmjosepedro@sare.com</t>
  </si>
  <si>
    <t>emalcides@sare.com</t>
  </si>
  <si>
    <t>emantonio@sare.com</t>
  </si>
  <si>
    <t>emjoaquim@sare.com</t>
  </si>
  <si>
    <t>emmanoel@sare.com</t>
  </si>
  <si>
    <t>emxavier@sare.com</t>
  </si>
  <si>
    <t>emjurema@sare.com</t>
  </si>
  <si>
    <t>emmata@sare.com</t>
  </si>
  <si>
    <t>emmaninho@sare.com</t>
  </si>
  <si>
    <t>cmamaral@sare.com</t>
  </si>
  <si>
    <t>SARE2025</t>
  </si>
  <si>
    <t>emarnaldo@sare.com</t>
  </si>
  <si>
    <t>diretorianafe@sare.com</t>
  </si>
  <si>
    <t>diretoria2025NAFE</t>
  </si>
  <si>
    <t>TODAS</t>
  </si>
  <si>
    <t>5º ANO</t>
  </si>
  <si>
    <t>6º  ANO</t>
  </si>
  <si>
    <t>TOTAL DE ACERTOS MATEMÁTICA</t>
  </si>
  <si>
    <t>PERCENTUAL DE ACERTOS MATEMÁTICA</t>
  </si>
  <si>
    <t>PROFICIÊNCIA MATEMÁTICA</t>
  </si>
  <si>
    <t>LUIS EDUARDO RIBEIRO DOS SANTOS (AUSENTE)</t>
  </si>
  <si>
    <t xml:space="preserve">KELVIN LUCAS SANTOS ARAUJO (AUSENTE) </t>
  </si>
  <si>
    <t xml:space="preserve">CAIQUE OLIVEIRA MAGALHÃES (AUSENTE) </t>
  </si>
  <si>
    <t>AUTODECLARAÇÃO</t>
  </si>
  <si>
    <t>PRESENÇA</t>
  </si>
  <si>
    <t>EF02LP12</t>
  </si>
  <si>
    <t>EF02LP01</t>
  </si>
  <si>
    <t>EF02LP13</t>
  </si>
  <si>
    <t>EF15LP12</t>
  </si>
  <si>
    <t>EF02LP05</t>
  </si>
  <si>
    <t>EF02LP10</t>
  </si>
  <si>
    <t>EF02LP17</t>
  </si>
  <si>
    <t>EF02LP28</t>
  </si>
  <si>
    <t>PROFICIÊNCIA PORTUGUÊS</t>
  </si>
  <si>
    <t>EF02MA01</t>
  </si>
  <si>
    <t>EF02MA05</t>
  </si>
  <si>
    <t>EF02MA06</t>
  </si>
  <si>
    <t>EF02MA07</t>
  </si>
  <si>
    <t>EF02MA09</t>
  </si>
  <si>
    <t>EF02MA15</t>
  </si>
  <si>
    <t>EF02MA19</t>
  </si>
  <si>
    <t>EF02MA20</t>
  </si>
  <si>
    <t>BRANCO</t>
  </si>
  <si>
    <t>PRESENTE</t>
  </si>
  <si>
    <t xml:space="preserve">2° - ANO </t>
  </si>
  <si>
    <t>NÃO DECLARADO</t>
  </si>
  <si>
    <t>AUSENTE</t>
  </si>
  <si>
    <t xml:space="preserve">HITALO OLIVEIRA ZETOLIS  </t>
  </si>
  <si>
    <t>DEFASAGEM</t>
  </si>
  <si>
    <t>PARDO</t>
  </si>
  <si>
    <t>PRETO</t>
  </si>
  <si>
    <t>AMARELO</t>
  </si>
  <si>
    <t xml:space="preserve">MILLENA THIANE SILVA NOGUEIRA </t>
  </si>
  <si>
    <t xml:space="preserve">JOAO MIGUEL PEREIRA DOS SANTOS </t>
  </si>
  <si>
    <t xml:space="preserve">LORENA MAGALHAES DIAS </t>
  </si>
  <si>
    <t xml:space="preserve">LAURA DA SILVA CRUZ </t>
  </si>
  <si>
    <t>2° ANO - A</t>
  </si>
  <si>
    <t>ENZO GABRIEL BARBOSA VILELA</t>
  </si>
  <si>
    <t xml:space="preserve">ARTHUR BRYAN ALVES LIMA </t>
  </si>
  <si>
    <t xml:space="preserve">BENICIO FERNANDES PRATES NAVARRO </t>
  </si>
  <si>
    <t xml:space="preserve">LUIZ OTAVIO LARANJEIRA SILVA </t>
  </si>
  <si>
    <t xml:space="preserve">MIGUEL ROMULO BATISTA RODRIGUES </t>
  </si>
  <si>
    <t xml:space="preserve">ANA JÚLIA MARQUES DE OLIVEIRA </t>
  </si>
  <si>
    <t xml:space="preserve">INDIGENA </t>
  </si>
  <si>
    <t xml:space="preserve">ARIANE DO CARMO MOREIRA </t>
  </si>
  <si>
    <t>INTERMEDIÁRIO</t>
  </si>
  <si>
    <t>ADEQUADA</t>
  </si>
  <si>
    <t xml:space="preserve">FABRICIO JUNIOR SILVA BORGES </t>
  </si>
  <si>
    <t xml:space="preserve">PRETO </t>
  </si>
  <si>
    <t xml:space="preserve">LORENZO DA SILVA DUARTE </t>
  </si>
  <si>
    <t xml:space="preserve">KATILA PATRICIA DE SOUZA MOREIRA </t>
  </si>
  <si>
    <t xml:space="preserve">ERICK HENRIQUE SILVA NEVES </t>
  </si>
  <si>
    <t xml:space="preserve">ARTHUR COSTA CARDOSO </t>
  </si>
  <si>
    <t xml:space="preserve">RANIEL SOUSA SANTOS  </t>
  </si>
  <si>
    <t xml:space="preserve">ALERANDO CONCEICAO  SILVA </t>
  </si>
  <si>
    <t xml:space="preserve">ALEXANDRE DA CONCEICAO CERQUEIRA </t>
  </si>
  <si>
    <t xml:space="preserve">MAYARA CRISTINY PEREIRA DOURADO </t>
  </si>
  <si>
    <t xml:space="preserve">LARISSA MANUELA DE JESUS ALVES </t>
  </si>
  <si>
    <t xml:space="preserve">CLERISTON KAUA NASCIMENTO BANDEIRA </t>
  </si>
  <si>
    <t xml:space="preserve">FABIANA CARLA CARDOSO DE OLIVEIRA     </t>
  </si>
  <si>
    <t>INDIGENA</t>
  </si>
  <si>
    <t>DANIEL DIAS LEAO</t>
  </si>
  <si>
    <t xml:space="preserve">HELLEN MURIELE NASCIMENTO SANTOS </t>
  </si>
  <si>
    <t xml:space="preserve">ANA JÚLIA AGUIAR SOUZA  </t>
  </si>
  <si>
    <t>DAVI MIGUEL  FERNANDES DE ALMEIDA</t>
  </si>
  <si>
    <t xml:space="preserve">CARLOS SAMUEL LIMA FERNANDES    </t>
  </si>
  <si>
    <t xml:space="preserve">NICOLLY OLIVEIRA ROCHA </t>
  </si>
  <si>
    <t xml:space="preserve">SAMUEL DOURADO DE JESUS  </t>
  </si>
  <si>
    <t xml:space="preserve">ABRAAO DA SILVA DOURADO </t>
  </si>
  <si>
    <t xml:space="preserve">ANNA CLARA SILVA PEREIRA  </t>
  </si>
  <si>
    <t xml:space="preserve">ARTHUR LIMA </t>
  </si>
  <si>
    <t xml:space="preserve">AYLA SANTANA DIAS </t>
  </si>
  <si>
    <t xml:space="preserve">KAUAN KAIRO ALVES LOPES  </t>
  </si>
  <si>
    <t>2° ANO -C</t>
  </si>
  <si>
    <t>MARIA CECILIA XAVIER RIBEIRO</t>
  </si>
  <si>
    <t xml:space="preserve">RAFAEL DE MAGALHAES FERNANDES   </t>
  </si>
  <si>
    <t xml:space="preserve">SAMUEL DE JESUS NASCIMENTO  </t>
  </si>
  <si>
    <t>EF15LP01</t>
  </si>
  <si>
    <t>EF15LP03</t>
  </si>
  <si>
    <t>EF15LP16</t>
  </si>
  <si>
    <t>EF35LP09</t>
  </si>
  <si>
    <t>EF05MA04</t>
  </si>
  <si>
    <t>EF05MA13</t>
  </si>
  <si>
    <t>EF05MA15</t>
  </si>
  <si>
    <t>EF05MA17</t>
  </si>
  <si>
    <t>JOAO MIGUEL DE CASTRO DOURADO( AUSENTE)</t>
  </si>
  <si>
    <t>MARIA LUISA SIVA FERNANDES</t>
  </si>
  <si>
    <t xml:space="preserve">5º ANO </t>
  </si>
  <si>
    <t xml:space="preserve">PARDO </t>
  </si>
  <si>
    <t xml:space="preserve">VICTOR GABRIEL DA SILVA ROCHA </t>
  </si>
  <si>
    <t xml:space="preserve">DIOGO COSTA DA SILVA </t>
  </si>
  <si>
    <t>GUSTAVO SANTOS SILVA</t>
  </si>
  <si>
    <t>JOAO LUCAS SILVA RODRIGUES</t>
  </si>
  <si>
    <t>ARTUR MAGALHAES SANTOS ( AUSENTE)</t>
  </si>
  <si>
    <t xml:space="preserve"> PARDO</t>
  </si>
  <si>
    <t>BRUNO HENZZO NOVAIS PEREIRA</t>
  </si>
  <si>
    <t>CALEBE CADMIEL DE SANTANA RODRIGUES</t>
  </si>
  <si>
    <t>CARLOS EDUARDO NOGUEIRAROCHA</t>
  </si>
  <si>
    <t>JULIA MARQUES SABINA</t>
  </si>
  <si>
    <t>JESSICA DA SILVA RODRIGUES</t>
  </si>
  <si>
    <t xml:space="preserve">JOAO VITOR DE OLIVEIRA DUARTE  </t>
  </si>
  <si>
    <t>DAFNE JAMILY BARBOSA SILVA ( AUSENTE)</t>
  </si>
  <si>
    <t>DANIEL JESUS DA SILVA ( AUSENTE)</t>
  </si>
  <si>
    <t xml:space="preserve">DAPHNY NICOLLY RODRIGUES </t>
  </si>
  <si>
    <t xml:space="preserve">ISABELLA DE OLIVEIRA SENA    </t>
  </si>
  <si>
    <t>LUIZ OTAVIO FERREIRA FERNANDES (AUSENTE)</t>
  </si>
  <si>
    <t xml:space="preserve">DJULYA MAGALY SILVA DA CONCEICAO  </t>
  </si>
  <si>
    <t xml:space="preserve">KAIO RUAN FARIAS BOA SORTE  </t>
  </si>
  <si>
    <t>JOSE NILTON SANTANA DOS SANTOS</t>
  </si>
  <si>
    <t xml:space="preserve">YSLOM PABLIO ALVES NOVAIS </t>
  </si>
  <si>
    <t>EF06LP01</t>
  </si>
  <si>
    <t>EF67LP04</t>
  </si>
  <si>
    <t>EF67LP05</t>
  </si>
  <si>
    <t>EF67LP28</t>
  </si>
  <si>
    <t>EF67LP38</t>
  </si>
  <si>
    <t>EF67LP08</t>
  </si>
  <si>
    <t>EF67LP10</t>
  </si>
  <si>
    <t>EF67LP12</t>
  </si>
  <si>
    <t>EF67LP30</t>
  </si>
  <si>
    <t>EF67LP34</t>
  </si>
  <si>
    <t>EF67LP23</t>
  </si>
  <si>
    <t>EF67LP24</t>
  </si>
  <si>
    <t>EF06LP04</t>
  </si>
  <si>
    <t>EF06LP06</t>
  </si>
  <si>
    <t>EF06LP09</t>
  </si>
  <si>
    <t>EF06LP11</t>
  </si>
  <si>
    <t>EF67LP32</t>
  </si>
  <si>
    <t>EF67LP36</t>
  </si>
  <si>
    <t>EF06MA01</t>
  </si>
  <si>
    <t>EF06MA03</t>
  </si>
  <si>
    <t>EF06MA06</t>
  </si>
  <si>
    <t>EF06MA07</t>
  </si>
  <si>
    <t>EF06MA08</t>
  </si>
  <si>
    <t>EF06MA13</t>
  </si>
  <si>
    <t>EF06MA14</t>
  </si>
  <si>
    <t>EF06MA15</t>
  </si>
  <si>
    <t>EF06MA16</t>
  </si>
  <si>
    <t>EF06MA19</t>
  </si>
  <si>
    <t>EF06MA20</t>
  </si>
  <si>
    <t>EF06MA21</t>
  </si>
  <si>
    <t>EF06MA24</t>
  </si>
  <si>
    <t>EF06MA25</t>
  </si>
  <si>
    <t>EF06MA27</t>
  </si>
  <si>
    <t>EF06MA30</t>
  </si>
  <si>
    <t>EF06MA31</t>
  </si>
  <si>
    <t>EF06MA32</t>
  </si>
  <si>
    <t xml:space="preserve">BRANCO </t>
  </si>
  <si>
    <t xml:space="preserve">6º ANO - A </t>
  </si>
  <si>
    <t xml:space="preserve">HERNANE RIBEIRO DE OLIVEIRA </t>
  </si>
  <si>
    <t>INDÍGENA</t>
  </si>
  <si>
    <t xml:space="preserve">KERLON JARDEL SANTANA COSTA </t>
  </si>
  <si>
    <t xml:space="preserve">ANA BEATRIZ DA CRUZ CONCEICAO </t>
  </si>
  <si>
    <t>ILSON DE JESUS SOUZA  (AUSENTE)</t>
  </si>
  <si>
    <t>6º ANO</t>
  </si>
  <si>
    <t xml:space="preserve">NAIAN SANTOS SILVA   </t>
  </si>
  <si>
    <t xml:space="preserve">PEDRO GABRIEL AMARAL SILVA     (AUSENTE) </t>
  </si>
  <si>
    <t xml:space="preserve">6º ANO  - A </t>
  </si>
  <si>
    <t xml:space="preserve">GLEISIELLY CRUZ NEVES </t>
  </si>
  <si>
    <t xml:space="preserve">ISABELLA VICTORIA SOUZA COSTA </t>
  </si>
  <si>
    <t xml:space="preserve">6º ANO  - D </t>
  </si>
  <si>
    <t xml:space="preserve">KEVIN DEODACIO DOS REIS CARDOSO </t>
  </si>
  <si>
    <t xml:space="preserve">EVERTON HENRIQUE SILVA ROCHA </t>
  </si>
  <si>
    <t xml:space="preserve">GRASIELE BARBOSA DOS REIS </t>
  </si>
  <si>
    <t xml:space="preserve">LUDMILLA BEATRIZ SANTOS LOPES </t>
  </si>
  <si>
    <t xml:space="preserve">MARCIO LUAN GUIMARAES LOPES (AUSENTE) </t>
  </si>
  <si>
    <t xml:space="preserve">SAMUEL DE SOUZA BATISTA    (PCD)  </t>
  </si>
  <si>
    <t xml:space="preserve">MARCOS GABRIEL SOUZA DE ARAUJO </t>
  </si>
  <si>
    <t xml:space="preserve">6º ANO - E </t>
  </si>
  <si>
    <t xml:space="preserve">MARIA CLARA FERNANDES ALMEIDA </t>
  </si>
  <si>
    <t xml:space="preserve">6º ANO </t>
  </si>
  <si>
    <t xml:space="preserve">GEANDERSON DO CARMO MOREIRA </t>
  </si>
  <si>
    <t xml:space="preserve">JULIA SAUANE DE SOUZA MOREIRA </t>
  </si>
  <si>
    <t>PALOMA VITORIA NEVES COSTA     (AUSENTE)</t>
  </si>
  <si>
    <t xml:space="preserve">TAYSLA VITORIA FERREIRA SANTOS     (AUSENTE) </t>
  </si>
  <si>
    <t xml:space="preserve">6° ANO </t>
  </si>
  <si>
    <t xml:space="preserve">DAVI DE BRITO PEREIRA </t>
  </si>
  <si>
    <t xml:space="preserve">BRUNA LOHANY CRUZ CARDOSO </t>
  </si>
  <si>
    <t xml:space="preserve">6º ANO MATUTINO - B </t>
  </si>
  <si>
    <t xml:space="preserve">DAVI HENRIQUE SILVA DE JESUS </t>
  </si>
  <si>
    <t xml:space="preserve">MARIA EDUARDA SOUZA SILVA </t>
  </si>
  <si>
    <t>GUILHERME LEONARDO DE OLIVEIRA NEVES(AUSENTE)</t>
  </si>
  <si>
    <t xml:space="preserve">RAFAEL OLIVEIRA BOA SORTE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</si>
</sst>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º\ &quot;Ano&quot;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/>
    <xf numFmtId="0" fontId="7" fillId="0" borderId="4" xfId="1" applyBorder="1"/>
    <xf numFmtId="0" fontId="5" fillId="0" borderId="4" xfId="0" applyFont="1" applyBorder="1"/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6" borderId="1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mmarciano@sare.com" TargetMode="External"/><Relationship Id="rId13" Type="http://schemas.openxmlformats.org/officeDocument/2006/relationships/hyperlink" Target="mailto:emarnaldo@sare.com" TargetMode="External"/><Relationship Id="rId18" Type="http://schemas.openxmlformats.org/officeDocument/2006/relationships/hyperlink" Target="mailto:emjoaquim@sare.com" TargetMode="External"/><Relationship Id="rId3" Type="http://schemas.openxmlformats.org/officeDocument/2006/relationships/hyperlink" Target="mailto:cmestevao@sare.com" TargetMode="External"/><Relationship Id="rId21" Type="http://schemas.openxmlformats.org/officeDocument/2006/relationships/hyperlink" Target="mailto:emxavier@sare.com" TargetMode="External"/><Relationship Id="rId7" Type="http://schemas.openxmlformats.org/officeDocument/2006/relationships/hyperlink" Target="mailto:cmjosepedro@sare.com" TargetMode="External"/><Relationship Id="rId12" Type="http://schemas.openxmlformats.org/officeDocument/2006/relationships/hyperlink" Target="mailto:cmprofessor@sare.com" TargetMode="External"/><Relationship Id="rId17" Type="http://schemas.openxmlformats.org/officeDocument/2006/relationships/hyperlink" Target="mailto:emmata@sare.com" TargetMode="External"/><Relationship Id="rId2" Type="http://schemas.openxmlformats.org/officeDocument/2006/relationships/hyperlink" Target="mailto:cmedivaldo@sare.com" TargetMode="External"/><Relationship Id="rId16" Type="http://schemas.openxmlformats.org/officeDocument/2006/relationships/hyperlink" Target="mailto:emjurema@sare.com" TargetMode="External"/><Relationship Id="rId20" Type="http://schemas.openxmlformats.org/officeDocument/2006/relationships/hyperlink" Target="mailto:emmaninho@sare.com" TargetMode="External"/><Relationship Id="rId1" Type="http://schemas.openxmlformats.org/officeDocument/2006/relationships/hyperlink" Target="mailto:cmchrispin@sare.com" TargetMode="External"/><Relationship Id="rId6" Type="http://schemas.openxmlformats.org/officeDocument/2006/relationships/hyperlink" Target="mailto:cmjosealves@sare.com" TargetMode="External"/><Relationship Id="rId11" Type="http://schemas.openxmlformats.org/officeDocument/2006/relationships/hyperlink" Target="mailto:cmporphyrio@sare.com" TargetMode="External"/><Relationship Id="rId5" Type="http://schemas.openxmlformats.org/officeDocument/2006/relationships/hyperlink" Target="mailto:cmjoao@sare.com" TargetMode="External"/><Relationship Id="rId15" Type="http://schemas.openxmlformats.org/officeDocument/2006/relationships/hyperlink" Target="mailto:emantonio@sare.com" TargetMode="External"/><Relationship Id="rId10" Type="http://schemas.openxmlformats.org/officeDocument/2006/relationships/hyperlink" Target="mailto:cmmaria@sare.com" TargetMode="External"/><Relationship Id="rId19" Type="http://schemas.openxmlformats.org/officeDocument/2006/relationships/hyperlink" Target="mailto:emmanoel@sare.com" TargetMode="External"/><Relationship Id="rId4" Type="http://schemas.openxmlformats.org/officeDocument/2006/relationships/hyperlink" Target="mailto:cmgeraldo@sare.com" TargetMode="External"/><Relationship Id="rId9" Type="http://schemas.openxmlformats.org/officeDocument/2006/relationships/hyperlink" Target="mailto:cmamaral@sare.com" TargetMode="External"/><Relationship Id="rId14" Type="http://schemas.openxmlformats.org/officeDocument/2006/relationships/hyperlink" Target="mailto:emalcides@sare.com" TargetMode="External"/><Relationship Id="rId22" Type="http://schemas.openxmlformats.org/officeDocument/2006/relationships/hyperlink" Target="mailto:diretorianafe@s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3"/>
  <sheetViews>
    <sheetView zoomScale="90" zoomScaleNormal="90" workbookViewId="0">
      <selection activeCell="D5" sqref="D5"/>
    </sheetView>
  </sheetViews>
  <sheetFormatPr defaultColWidth="14.42578125" defaultRowHeight="15" customHeight="1" x14ac:dyDescent="0.25"/>
  <cols>
    <col min="1" max="1" width="78.7109375" customWidth="1"/>
    <col min="2" max="2" width="36.7109375" customWidth="1"/>
    <col min="3" max="3" width="18.85546875" customWidth="1"/>
  </cols>
  <sheetData>
    <row r="1" spans="1:3" ht="25.5" customHeight="1" x14ac:dyDescent="0.25">
      <c r="A1" s="22" t="s">
        <v>0</v>
      </c>
      <c r="B1" s="21" t="s">
        <v>1</v>
      </c>
      <c r="C1" s="21" t="s">
        <v>2</v>
      </c>
    </row>
    <row r="2" spans="1:3" ht="15.75" x14ac:dyDescent="0.25">
      <c r="A2" s="17" t="s">
        <v>3</v>
      </c>
      <c r="B2" s="18" t="s">
        <v>1044</v>
      </c>
      <c r="C2" s="16" t="s">
        <v>1064</v>
      </c>
    </row>
    <row r="3" spans="1:3" ht="15.75" x14ac:dyDescent="0.25">
      <c r="A3" s="17" t="s">
        <v>4</v>
      </c>
      <c r="B3" s="18" t="s">
        <v>1052</v>
      </c>
      <c r="C3" s="16" t="s">
        <v>1064</v>
      </c>
    </row>
    <row r="4" spans="1:3" ht="15.75" x14ac:dyDescent="0.25">
      <c r="A4" s="17" t="s">
        <v>5</v>
      </c>
      <c r="B4" s="18" t="s">
        <v>1045</v>
      </c>
      <c r="C4" s="16" t="s">
        <v>1064</v>
      </c>
    </row>
    <row r="5" spans="1:3" ht="15.75" x14ac:dyDescent="0.25">
      <c r="A5" s="17" t="s">
        <v>6</v>
      </c>
      <c r="B5" s="18" t="s">
        <v>1046</v>
      </c>
      <c r="C5" s="16" t="s">
        <v>1064</v>
      </c>
    </row>
    <row r="6" spans="1:3" ht="15.75" x14ac:dyDescent="0.25">
      <c r="A6" s="17" t="s">
        <v>7</v>
      </c>
      <c r="B6" s="18" t="s">
        <v>1047</v>
      </c>
      <c r="C6" s="16" t="s">
        <v>1064</v>
      </c>
    </row>
    <row r="7" spans="1:3" ht="15.75" x14ac:dyDescent="0.25">
      <c r="A7" s="17" t="s">
        <v>8</v>
      </c>
      <c r="B7" s="18" t="s">
        <v>1053</v>
      </c>
      <c r="C7" s="16" t="s">
        <v>1064</v>
      </c>
    </row>
    <row r="8" spans="1:3" ht="15.75" x14ac:dyDescent="0.25">
      <c r="A8" s="17" t="s">
        <v>9</v>
      </c>
      <c r="B8" s="18" t="s">
        <v>1054</v>
      </c>
      <c r="C8" s="16" t="s">
        <v>1064</v>
      </c>
    </row>
    <row r="9" spans="1:3" ht="15.75" x14ac:dyDescent="0.25">
      <c r="A9" s="17" t="s">
        <v>10</v>
      </c>
      <c r="B9" s="18" t="s">
        <v>1048</v>
      </c>
      <c r="C9" s="16" t="s">
        <v>1064</v>
      </c>
    </row>
    <row r="10" spans="1:3" ht="15.75" x14ac:dyDescent="0.25">
      <c r="A10" s="17" t="s">
        <v>11</v>
      </c>
      <c r="B10" s="18" t="s">
        <v>1063</v>
      </c>
      <c r="C10" s="16" t="s">
        <v>1064</v>
      </c>
    </row>
    <row r="11" spans="1:3" ht="15.75" x14ac:dyDescent="0.25">
      <c r="A11" s="17" t="s">
        <v>12</v>
      </c>
      <c r="B11" s="18" t="s">
        <v>1049</v>
      </c>
      <c r="C11" s="16" t="s">
        <v>1064</v>
      </c>
    </row>
    <row r="12" spans="1:3" ht="15.75" x14ac:dyDescent="0.25">
      <c r="A12" s="17" t="s">
        <v>13</v>
      </c>
      <c r="B12" s="18" t="s">
        <v>1050</v>
      </c>
      <c r="C12" s="16" t="s">
        <v>1064</v>
      </c>
    </row>
    <row r="13" spans="1:3" ht="15.75" x14ac:dyDescent="0.25">
      <c r="A13" s="17" t="s">
        <v>14</v>
      </c>
      <c r="B13" s="18" t="s">
        <v>1051</v>
      </c>
      <c r="C13" s="16" t="s">
        <v>1064</v>
      </c>
    </row>
    <row r="14" spans="1:3" ht="15.75" x14ac:dyDescent="0.25">
      <c r="A14" s="17" t="s">
        <v>15</v>
      </c>
      <c r="B14" s="18" t="s">
        <v>1065</v>
      </c>
      <c r="C14" s="16" t="s">
        <v>1064</v>
      </c>
    </row>
    <row r="15" spans="1:3" ht="15" customHeight="1" x14ac:dyDescent="0.25">
      <c r="A15" s="19" t="s">
        <v>201</v>
      </c>
      <c r="B15" s="18" t="s">
        <v>1055</v>
      </c>
      <c r="C15" s="16" t="s">
        <v>1064</v>
      </c>
    </row>
    <row r="16" spans="1:3" ht="15" customHeight="1" x14ac:dyDescent="0.25">
      <c r="A16" s="19" t="s">
        <v>203</v>
      </c>
      <c r="B16" s="18" t="s">
        <v>1056</v>
      </c>
      <c r="C16" s="16" t="s">
        <v>1064</v>
      </c>
    </row>
    <row r="17" spans="1:3" ht="15" customHeight="1" x14ac:dyDescent="0.25">
      <c r="A17" s="19" t="s">
        <v>206</v>
      </c>
      <c r="B17" s="18" t="s">
        <v>1060</v>
      </c>
      <c r="C17" s="16" t="s">
        <v>1064</v>
      </c>
    </row>
    <row r="18" spans="1:3" ht="15" customHeight="1" x14ac:dyDescent="0.25">
      <c r="A18" s="19" t="s">
        <v>209</v>
      </c>
      <c r="B18" s="18" t="s">
        <v>1061</v>
      </c>
      <c r="C18" s="16" t="s">
        <v>1064</v>
      </c>
    </row>
    <row r="19" spans="1:3" ht="15" customHeight="1" x14ac:dyDescent="0.25">
      <c r="A19" s="19" t="s">
        <v>211</v>
      </c>
      <c r="B19" s="18" t="s">
        <v>1057</v>
      </c>
      <c r="C19" s="16" t="s">
        <v>1064</v>
      </c>
    </row>
    <row r="20" spans="1:3" ht="15" customHeight="1" x14ac:dyDescent="0.25">
      <c r="A20" s="19" t="s">
        <v>218</v>
      </c>
      <c r="B20" s="18" t="s">
        <v>1058</v>
      </c>
      <c r="C20" s="16" t="s">
        <v>1064</v>
      </c>
    </row>
    <row r="21" spans="1:3" ht="15" customHeight="1" x14ac:dyDescent="0.25">
      <c r="A21" s="19" t="s">
        <v>224</v>
      </c>
      <c r="B21" s="18" t="s">
        <v>1062</v>
      </c>
      <c r="C21" s="16" t="s">
        <v>1064</v>
      </c>
    </row>
    <row r="22" spans="1:3" ht="15" customHeight="1" x14ac:dyDescent="0.25">
      <c r="A22" s="19" t="s">
        <v>250</v>
      </c>
      <c r="B22" s="18" t="s">
        <v>1059</v>
      </c>
      <c r="C22" s="16" t="s">
        <v>1064</v>
      </c>
    </row>
    <row r="23" spans="1:3" ht="15" customHeight="1" x14ac:dyDescent="0.25">
      <c r="A23" s="17" t="s">
        <v>1068</v>
      </c>
      <c r="B23" s="18" t="s">
        <v>1066</v>
      </c>
      <c r="C23" s="20" t="s">
        <v>1067</v>
      </c>
    </row>
  </sheetData>
  <phoneticPr fontId="8" type="noConversion"/>
  <hyperlinks>
    <hyperlink ref="B2" r:id="rId1" xr:uid="{F26164C4-80AF-41C1-9AFA-33C8BB085FE3}"/>
    <hyperlink ref="B3" r:id="rId2" xr:uid="{7846AB96-5423-4D66-B746-338E36B3CC93}"/>
    <hyperlink ref="B4" r:id="rId3" xr:uid="{AD21B3DD-23FF-4529-8CE8-744A567DA18C}"/>
    <hyperlink ref="B5" r:id="rId4" xr:uid="{E4E0393B-4613-4F51-9EAB-BF5481D871D4}"/>
    <hyperlink ref="B6" r:id="rId5" xr:uid="{A77031E7-60C7-41FD-B0A7-34319316E6BC}"/>
    <hyperlink ref="B7" r:id="rId6" xr:uid="{BF052A34-F856-4BBC-87AC-4EA4853892AC}"/>
    <hyperlink ref="B8" r:id="rId7" xr:uid="{F2BD02D2-E89A-45DD-AE4C-3D3F881DEE51}"/>
    <hyperlink ref="B9" r:id="rId8" xr:uid="{94EA4B67-57FE-439C-9B42-3C44BFCA1943}"/>
    <hyperlink ref="B10" r:id="rId9" xr:uid="{DA6108D7-7304-4AFA-BBAA-C6561FEC2EFA}"/>
    <hyperlink ref="B11" r:id="rId10" xr:uid="{008E946D-CE5D-4E2F-B3AB-8908E1F44B97}"/>
    <hyperlink ref="B12" r:id="rId11" xr:uid="{B228D733-E909-4C5E-8EC4-3F2C321855DE}"/>
    <hyperlink ref="B13" r:id="rId12" xr:uid="{8D364567-846D-45DF-9501-F764E3300FA0}"/>
    <hyperlink ref="B14" r:id="rId13" xr:uid="{CF35F4A2-8310-4940-AC40-AA1DC449BFFF}"/>
    <hyperlink ref="B15" r:id="rId14" xr:uid="{8047CE2E-DD4D-45B5-B1C3-63C96930F3AE}"/>
    <hyperlink ref="B16" r:id="rId15" xr:uid="{F7C7B3FD-FAA6-4E44-A0D7-30C29A519B80}"/>
    <hyperlink ref="B17" r:id="rId16" xr:uid="{9E18EB84-0BF2-44C2-A669-1404F6C8D158}"/>
    <hyperlink ref="B18" r:id="rId17" xr:uid="{F1E2F00E-D915-456A-ABAA-0D0D2D65F00E}"/>
    <hyperlink ref="B19" r:id="rId18" xr:uid="{BECA5743-E621-442B-83E9-8AFEE85701B9}"/>
    <hyperlink ref="B20" r:id="rId19" xr:uid="{22942714-FFEE-4332-B59A-0F80322A2730}"/>
    <hyperlink ref="B21" r:id="rId20" xr:uid="{F46EDEAE-66D1-4D31-9BB2-B80EC992A0EB}"/>
    <hyperlink ref="B22" r:id="rId21" xr:uid="{9D9198BF-6868-433C-92DF-54C8B41C55B2}"/>
    <hyperlink ref="B23" r:id="rId22" xr:uid="{5A289E11-CF0E-4F22-A943-7A3E901F541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73"/>
  <sheetViews>
    <sheetView zoomScale="80" zoomScaleNormal="80" workbookViewId="0">
      <pane ySplit="1" topLeftCell="A300" activePane="bottomLeft" state="frozen"/>
      <selection pane="bottomLeft" activeCell="AC320" sqref="AC320"/>
    </sheetView>
  </sheetViews>
  <sheetFormatPr defaultColWidth="14.42578125" defaultRowHeight="15" customHeight="1" x14ac:dyDescent="0.25"/>
  <cols>
    <col min="1" max="1" width="76.85546875" customWidth="1"/>
    <col min="2" max="2" width="27.7109375" customWidth="1"/>
    <col min="3" max="3" width="26.5703125" customWidth="1"/>
    <col min="4" max="11" width="20.7109375" customWidth="1"/>
    <col min="12" max="12" width="28.85546875" customWidth="1"/>
    <col min="13" max="14" width="37.28515625" customWidth="1"/>
    <col min="15" max="22" width="20.7109375" customWidth="1"/>
    <col min="23" max="23" width="28.85546875" customWidth="1"/>
    <col min="24" max="24" width="37.28515625" customWidth="1"/>
    <col min="25" max="25" width="44" customWidth="1"/>
    <col min="26" max="26" width="51.7109375" customWidth="1"/>
    <col min="27" max="27" width="37.28515625" customWidth="1"/>
    <col min="28" max="28" width="26.5703125" customWidth="1"/>
    <col min="29" max="29" width="33.28515625" customWidth="1"/>
    <col min="30" max="32" width="9.140625" customWidth="1"/>
  </cols>
  <sheetData>
    <row r="1" spans="1:32" ht="22.5" customHeight="1" x14ac:dyDescent="0.3">
      <c r="A1" s="1" t="s">
        <v>0</v>
      </c>
      <c r="B1" s="1" t="s">
        <v>16</v>
      </c>
      <c r="C1" s="1" t="s">
        <v>1077</v>
      </c>
      <c r="D1" s="1" t="s">
        <v>1078</v>
      </c>
      <c r="E1" s="1" t="s">
        <v>17</v>
      </c>
      <c r="F1" s="23" t="s">
        <v>1079</v>
      </c>
      <c r="G1" s="23" t="s">
        <v>1080</v>
      </c>
      <c r="H1" s="23" t="s">
        <v>1081</v>
      </c>
      <c r="I1" s="23" t="s">
        <v>1082</v>
      </c>
      <c r="J1" s="23" t="s">
        <v>1083</v>
      </c>
      <c r="K1" s="23" t="s">
        <v>1084</v>
      </c>
      <c r="L1" s="23" t="s">
        <v>1085</v>
      </c>
      <c r="M1" s="23" t="s">
        <v>1086</v>
      </c>
      <c r="N1" s="2" t="s">
        <v>1071</v>
      </c>
      <c r="O1" s="3" t="s">
        <v>1072</v>
      </c>
      <c r="P1" s="3" t="s">
        <v>1087</v>
      </c>
      <c r="Q1" s="23" t="s">
        <v>1088</v>
      </c>
      <c r="R1" s="23" t="s">
        <v>1089</v>
      </c>
      <c r="S1" s="23" t="s">
        <v>1090</v>
      </c>
      <c r="T1" s="23" t="s">
        <v>1091</v>
      </c>
      <c r="U1" s="23" t="s">
        <v>1092</v>
      </c>
      <c r="V1" s="23" t="s">
        <v>1093</v>
      </c>
      <c r="W1" s="23" t="s">
        <v>1094</v>
      </c>
      <c r="X1" s="23" t="s">
        <v>1095</v>
      </c>
      <c r="Y1" s="2" t="s">
        <v>1071</v>
      </c>
      <c r="Z1" s="3" t="s">
        <v>1072</v>
      </c>
      <c r="AA1" s="3" t="s">
        <v>1073</v>
      </c>
      <c r="AB1" s="2" t="s">
        <v>18</v>
      </c>
      <c r="AC1" s="3" t="s">
        <v>19</v>
      </c>
      <c r="AD1" s="4"/>
      <c r="AE1" s="4"/>
      <c r="AF1" s="4"/>
    </row>
    <row r="2" spans="1:32" ht="15.75" x14ac:dyDescent="0.25">
      <c r="A2" s="5" t="s">
        <v>3</v>
      </c>
      <c r="B2" s="7" t="s">
        <v>24</v>
      </c>
      <c r="C2" s="7" t="s">
        <v>1096</v>
      </c>
      <c r="D2" s="7" t="s">
        <v>1097</v>
      </c>
      <c r="E2" s="5" t="s">
        <v>20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f>SUM(F2:M2)</f>
        <v>8</v>
      </c>
      <c r="O2" s="8">
        <f>((N2*100)/8)/100</f>
        <v>1</v>
      </c>
      <c r="P2" s="8" t="str">
        <f>IF(O2&lt;0.4,"DEFASAGEM",IF(O2&lt;0.7,"INTERMEDIÁRIO","ADEQUADA"))</f>
        <v>ADEQUADA</v>
      </c>
      <c r="Q2" s="7">
        <v>1</v>
      </c>
      <c r="R2" s="7">
        <v>1</v>
      </c>
      <c r="S2" s="7">
        <v>1</v>
      </c>
      <c r="T2" s="7">
        <v>1</v>
      </c>
      <c r="U2" s="7">
        <v>0</v>
      </c>
      <c r="V2" s="7">
        <v>1</v>
      </c>
      <c r="W2" s="7">
        <v>1</v>
      </c>
      <c r="X2" s="7">
        <v>1</v>
      </c>
      <c r="Y2" s="7">
        <f>SUM(Q2:X2)</f>
        <v>7</v>
      </c>
      <c r="Z2" s="8">
        <f>((Y2*100)/8)/100</f>
        <v>0.875</v>
      </c>
      <c r="AA2" s="14" t="str">
        <f>IF(Z2&lt;0.4,"DEFASAGEM",IF(Z2&lt;0.7,"INTERMEDIÁRIO","ADEQUADA"))</f>
        <v>ADEQUADA</v>
      </c>
      <c r="AB2" s="15">
        <f>SUM(F2:M2)+SUM(Q2:X2)</f>
        <v>15</v>
      </c>
      <c r="AC2" s="8">
        <f>((AB2*100)/16)/100</f>
        <v>0.9375</v>
      </c>
      <c r="AD2" s="4"/>
      <c r="AE2" s="4"/>
      <c r="AF2" s="4"/>
    </row>
    <row r="3" spans="1:32" ht="15.75" x14ac:dyDescent="0.25">
      <c r="A3" s="5" t="s">
        <v>3</v>
      </c>
      <c r="B3" s="7" t="s">
        <v>1098</v>
      </c>
      <c r="C3" s="7" t="s">
        <v>1099</v>
      </c>
      <c r="D3" s="7" t="s">
        <v>1100</v>
      </c>
      <c r="E3" s="5" t="s">
        <v>1101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8">
        <v>0</v>
      </c>
      <c r="P3" s="8" t="s">
        <v>1102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8">
        <v>0</v>
      </c>
      <c r="AA3" s="14" t="s">
        <v>1102</v>
      </c>
      <c r="AB3" s="15">
        <v>0</v>
      </c>
      <c r="AC3" s="8">
        <v>0</v>
      </c>
      <c r="AD3" s="4"/>
      <c r="AE3" s="4"/>
      <c r="AF3" s="4"/>
    </row>
    <row r="4" spans="1:32" ht="15.75" x14ac:dyDescent="0.25">
      <c r="A4" s="5" t="s">
        <v>3</v>
      </c>
      <c r="B4" s="7" t="s">
        <v>24</v>
      </c>
      <c r="C4" s="7" t="s">
        <v>1103</v>
      </c>
      <c r="D4" s="7" t="s">
        <v>1097</v>
      </c>
      <c r="E4" s="5" t="s">
        <v>21</v>
      </c>
      <c r="F4" s="7">
        <v>1</v>
      </c>
      <c r="G4" s="7">
        <v>0</v>
      </c>
      <c r="H4" s="7">
        <v>1</v>
      </c>
      <c r="I4" s="7">
        <v>1</v>
      </c>
      <c r="J4" s="7">
        <v>1</v>
      </c>
      <c r="K4" s="7">
        <v>0</v>
      </c>
      <c r="L4" s="7">
        <v>1</v>
      </c>
      <c r="M4" s="7">
        <v>1</v>
      </c>
      <c r="N4" s="7">
        <f t="shared" ref="N4:N21" si="0">SUM(F4:M4)</f>
        <v>6</v>
      </c>
      <c r="O4" s="8">
        <f t="shared" ref="O4:O53" si="1">((N4*100)/8)/100</f>
        <v>0.75</v>
      </c>
      <c r="P4" s="8" t="str">
        <f t="shared" ref="P4:P67" si="2">IF(O4&lt;0.4,"DEFASAGEM",IF(O4&lt;0.7,"INTERMEDIÁRIO","ADEQUADA"))</f>
        <v>ADEQUADA</v>
      </c>
      <c r="Q4" s="7">
        <v>1</v>
      </c>
      <c r="R4" s="7">
        <v>1</v>
      </c>
      <c r="S4" s="7">
        <v>0</v>
      </c>
      <c r="T4" s="7">
        <v>1</v>
      </c>
      <c r="U4" s="7">
        <v>0</v>
      </c>
      <c r="V4" s="7">
        <v>1</v>
      </c>
      <c r="W4" s="7">
        <v>0</v>
      </c>
      <c r="X4" s="7">
        <v>1</v>
      </c>
      <c r="Y4" s="7">
        <f t="shared" ref="Y4:Y67" si="3">SUM(Q4:X4)</f>
        <v>5</v>
      </c>
      <c r="Z4" s="8">
        <f t="shared" ref="Z4:Z36" si="4">((Y4*100)/8)/100</f>
        <v>0.625</v>
      </c>
      <c r="AA4" s="14" t="str">
        <f t="shared" ref="AA4:AA67" si="5">IF(Z4&lt;0.4,"DEFASAGEM",IF(Z4&lt;0.7,"INTERMEDIÁRIO","ADEQUADA"))</f>
        <v>INTERMEDIÁRIO</v>
      </c>
      <c r="AB4" s="15">
        <f t="shared" ref="AB4:AB67" si="6">SUM(F4:M4)+SUM(Q4:X4)</f>
        <v>11</v>
      </c>
      <c r="AC4" s="8">
        <f t="shared" ref="AC4:AC18" si="7">((AB4*100)/16)/100</f>
        <v>0.6875</v>
      </c>
      <c r="AD4" s="4"/>
      <c r="AE4" s="4"/>
      <c r="AF4" s="4"/>
    </row>
    <row r="5" spans="1:32" ht="15.75" x14ac:dyDescent="0.25">
      <c r="A5" s="5" t="s">
        <v>3</v>
      </c>
      <c r="B5" s="7" t="s">
        <v>24</v>
      </c>
      <c r="C5" s="7" t="s">
        <v>1096</v>
      </c>
      <c r="D5" s="7" t="s">
        <v>1097</v>
      </c>
      <c r="E5" s="5" t="s">
        <v>22</v>
      </c>
      <c r="F5" s="7">
        <v>1</v>
      </c>
      <c r="G5" s="7">
        <v>0</v>
      </c>
      <c r="H5" s="7">
        <v>1</v>
      </c>
      <c r="I5" s="7">
        <v>1</v>
      </c>
      <c r="J5" s="7">
        <v>1</v>
      </c>
      <c r="K5" s="7">
        <v>1</v>
      </c>
      <c r="L5" s="7">
        <v>0</v>
      </c>
      <c r="M5" s="7">
        <v>1</v>
      </c>
      <c r="N5" s="7">
        <f t="shared" si="0"/>
        <v>6</v>
      </c>
      <c r="O5" s="8">
        <f t="shared" si="1"/>
        <v>0.75</v>
      </c>
      <c r="P5" s="8" t="str">
        <f t="shared" si="2"/>
        <v>ADEQUADA</v>
      </c>
      <c r="Q5" s="7">
        <v>1</v>
      </c>
      <c r="R5" s="7">
        <v>1</v>
      </c>
      <c r="S5" s="7">
        <v>0</v>
      </c>
      <c r="T5" s="7">
        <v>1</v>
      </c>
      <c r="U5" s="7">
        <v>0</v>
      </c>
      <c r="V5" s="7">
        <v>1</v>
      </c>
      <c r="W5" s="7">
        <v>1</v>
      </c>
      <c r="X5" s="7">
        <v>1</v>
      </c>
      <c r="Y5" s="7">
        <f t="shared" si="3"/>
        <v>6</v>
      </c>
      <c r="Z5" s="8">
        <f t="shared" si="4"/>
        <v>0.75</v>
      </c>
      <c r="AA5" s="14" t="str">
        <f t="shared" si="5"/>
        <v>ADEQUADA</v>
      </c>
      <c r="AB5" s="15">
        <f t="shared" si="6"/>
        <v>12</v>
      </c>
      <c r="AC5" s="8">
        <f t="shared" si="7"/>
        <v>0.75</v>
      </c>
      <c r="AD5" s="4"/>
      <c r="AE5" s="4"/>
      <c r="AF5" s="4"/>
    </row>
    <row r="6" spans="1:32" ht="15.75" x14ac:dyDescent="0.25">
      <c r="A6" s="5" t="s">
        <v>3</v>
      </c>
      <c r="B6" s="7" t="s">
        <v>24</v>
      </c>
      <c r="C6" s="7" t="s">
        <v>1103</v>
      </c>
      <c r="D6" s="7" t="s">
        <v>1097</v>
      </c>
      <c r="E6" s="5" t="s">
        <v>23</v>
      </c>
      <c r="F6" s="7">
        <v>1</v>
      </c>
      <c r="G6" s="7">
        <v>1</v>
      </c>
      <c r="H6" s="7">
        <v>1</v>
      </c>
      <c r="I6" s="7">
        <v>1</v>
      </c>
      <c r="J6" s="7">
        <v>0</v>
      </c>
      <c r="K6" s="7">
        <v>0</v>
      </c>
      <c r="L6" s="7">
        <v>1</v>
      </c>
      <c r="M6" s="7">
        <v>1</v>
      </c>
      <c r="N6" s="7">
        <f t="shared" si="0"/>
        <v>6</v>
      </c>
      <c r="O6" s="8">
        <f t="shared" si="1"/>
        <v>0.75</v>
      </c>
      <c r="P6" s="8" t="str">
        <f t="shared" si="2"/>
        <v>ADEQUADA</v>
      </c>
      <c r="Q6" s="7">
        <v>1</v>
      </c>
      <c r="R6" s="7">
        <v>1</v>
      </c>
      <c r="S6" s="7">
        <v>1</v>
      </c>
      <c r="T6" s="7">
        <v>1</v>
      </c>
      <c r="U6" s="7">
        <v>0</v>
      </c>
      <c r="V6" s="7">
        <v>1</v>
      </c>
      <c r="W6" s="7">
        <v>0</v>
      </c>
      <c r="X6" s="7">
        <v>1</v>
      </c>
      <c r="Y6" s="7">
        <f t="shared" si="3"/>
        <v>6</v>
      </c>
      <c r="Z6" s="8">
        <f t="shared" si="4"/>
        <v>0.75</v>
      </c>
      <c r="AA6" s="14" t="str">
        <f t="shared" si="5"/>
        <v>ADEQUADA</v>
      </c>
      <c r="AB6" s="15">
        <f t="shared" si="6"/>
        <v>12</v>
      </c>
      <c r="AC6" s="8">
        <f t="shared" si="7"/>
        <v>0.75</v>
      </c>
      <c r="AD6" s="4"/>
      <c r="AE6" s="4"/>
      <c r="AF6" s="4"/>
    </row>
    <row r="7" spans="1:32" ht="15.75" x14ac:dyDescent="0.25">
      <c r="A7" s="5" t="s">
        <v>4</v>
      </c>
      <c r="B7" s="7" t="s">
        <v>24</v>
      </c>
      <c r="C7" s="7" t="s">
        <v>1103</v>
      </c>
      <c r="D7" s="7" t="s">
        <v>1097</v>
      </c>
      <c r="E7" s="5" t="s">
        <v>25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f t="shared" si="0"/>
        <v>8</v>
      </c>
      <c r="O7" s="8">
        <f t="shared" si="1"/>
        <v>1</v>
      </c>
      <c r="P7" s="8" t="str">
        <f t="shared" si="2"/>
        <v>ADEQUADA</v>
      </c>
      <c r="Q7" s="7">
        <v>1</v>
      </c>
      <c r="R7" s="7">
        <v>1</v>
      </c>
      <c r="S7" s="7">
        <v>1</v>
      </c>
      <c r="T7" s="7">
        <v>1</v>
      </c>
      <c r="U7" s="7">
        <v>0</v>
      </c>
      <c r="V7" s="7">
        <v>1</v>
      </c>
      <c r="W7" s="7">
        <v>0</v>
      </c>
      <c r="X7" s="7">
        <v>1</v>
      </c>
      <c r="Y7" s="7">
        <f t="shared" si="3"/>
        <v>6</v>
      </c>
      <c r="Z7" s="8">
        <f t="shared" si="4"/>
        <v>0.75</v>
      </c>
      <c r="AA7" s="14" t="str">
        <f t="shared" si="5"/>
        <v>ADEQUADA</v>
      </c>
      <c r="AB7" s="15">
        <f t="shared" si="6"/>
        <v>14</v>
      </c>
      <c r="AC7" s="8">
        <f t="shared" si="7"/>
        <v>0.875</v>
      </c>
      <c r="AD7" s="4"/>
      <c r="AE7" s="4"/>
      <c r="AF7" s="4"/>
    </row>
    <row r="8" spans="1:32" ht="15.75" x14ac:dyDescent="0.25">
      <c r="A8" s="5" t="s">
        <v>4</v>
      </c>
      <c r="B8" s="7" t="s">
        <v>24</v>
      </c>
      <c r="C8" s="7" t="s">
        <v>1096</v>
      </c>
      <c r="D8" s="7" t="s">
        <v>1097</v>
      </c>
      <c r="E8" s="5" t="s">
        <v>26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f t="shared" si="0"/>
        <v>8</v>
      </c>
      <c r="O8" s="8">
        <f t="shared" si="1"/>
        <v>1</v>
      </c>
      <c r="P8" s="8" t="str">
        <f t="shared" si="2"/>
        <v>ADEQUADA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f t="shared" si="3"/>
        <v>8</v>
      </c>
      <c r="Z8" s="8">
        <f t="shared" si="4"/>
        <v>1</v>
      </c>
      <c r="AA8" s="14" t="str">
        <f t="shared" si="5"/>
        <v>ADEQUADA</v>
      </c>
      <c r="AB8" s="15">
        <f t="shared" si="6"/>
        <v>16</v>
      </c>
      <c r="AC8" s="8">
        <f t="shared" si="7"/>
        <v>1</v>
      </c>
      <c r="AD8" s="4"/>
      <c r="AE8" s="4"/>
      <c r="AF8" s="4"/>
    </row>
    <row r="9" spans="1:32" ht="15.75" x14ac:dyDescent="0.25">
      <c r="A9" s="5" t="s">
        <v>4</v>
      </c>
      <c r="B9" s="7" t="s">
        <v>24</v>
      </c>
      <c r="C9" s="7" t="s">
        <v>1104</v>
      </c>
      <c r="D9" s="7" t="s">
        <v>1097</v>
      </c>
      <c r="E9" s="5" t="s">
        <v>27</v>
      </c>
      <c r="F9" s="7">
        <v>1</v>
      </c>
      <c r="G9" s="7">
        <v>0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f t="shared" si="0"/>
        <v>7</v>
      </c>
      <c r="O9" s="8">
        <f t="shared" si="1"/>
        <v>0.875</v>
      </c>
      <c r="P9" s="8" t="str">
        <f t="shared" si="2"/>
        <v>ADEQUADA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f t="shared" si="3"/>
        <v>8</v>
      </c>
      <c r="Z9" s="8">
        <f t="shared" si="4"/>
        <v>1</v>
      </c>
      <c r="AA9" s="14" t="str">
        <f t="shared" si="5"/>
        <v>ADEQUADA</v>
      </c>
      <c r="AB9" s="15">
        <f t="shared" si="6"/>
        <v>15</v>
      </c>
      <c r="AC9" s="8">
        <f t="shared" si="7"/>
        <v>0.9375</v>
      </c>
      <c r="AD9" s="4"/>
      <c r="AE9" s="4"/>
      <c r="AF9" s="4"/>
    </row>
    <row r="10" spans="1:32" ht="15.75" x14ac:dyDescent="0.25">
      <c r="A10" s="5" t="s">
        <v>4</v>
      </c>
      <c r="B10" s="7" t="s">
        <v>24</v>
      </c>
      <c r="C10" s="7" t="s">
        <v>1103</v>
      </c>
      <c r="D10" s="7" t="s">
        <v>1097</v>
      </c>
      <c r="E10" s="5" t="s">
        <v>28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f t="shared" si="0"/>
        <v>8</v>
      </c>
      <c r="O10" s="8">
        <f t="shared" si="1"/>
        <v>1</v>
      </c>
      <c r="P10" s="8" t="str">
        <f t="shared" si="2"/>
        <v>ADEQUADA</v>
      </c>
      <c r="Q10" s="7">
        <v>0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0</v>
      </c>
      <c r="Y10" s="7">
        <f t="shared" si="3"/>
        <v>6</v>
      </c>
      <c r="Z10" s="8">
        <f t="shared" si="4"/>
        <v>0.75</v>
      </c>
      <c r="AA10" s="14" t="str">
        <f t="shared" si="5"/>
        <v>ADEQUADA</v>
      </c>
      <c r="AB10" s="15">
        <f t="shared" si="6"/>
        <v>14</v>
      </c>
      <c r="AC10" s="8">
        <f t="shared" si="7"/>
        <v>0.875</v>
      </c>
      <c r="AD10" s="4"/>
      <c r="AE10" s="4"/>
      <c r="AF10" s="4"/>
    </row>
    <row r="11" spans="1:32" ht="15.75" x14ac:dyDescent="0.25">
      <c r="A11" s="5" t="s">
        <v>4</v>
      </c>
      <c r="B11" s="7" t="s">
        <v>1098</v>
      </c>
      <c r="C11" s="7" t="s">
        <v>1104</v>
      </c>
      <c r="D11" s="7" t="s">
        <v>1097</v>
      </c>
      <c r="E11" s="5" t="s">
        <v>292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f t="shared" si="0"/>
        <v>8</v>
      </c>
      <c r="O11" s="8">
        <f t="shared" si="1"/>
        <v>1</v>
      </c>
      <c r="P11" s="8" t="str">
        <f t="shared" si="2"/>
        <v>ADEQUADA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0</v>
      </c>
      <c r="Y11" s="7">
        <f t="shared" si="3"/>
        <v>7</v>
      </c>
      <c r="Z11" s="8">
        <f t="shared" si="4"/>
        <v>0.875</v>
      </c>
      <c r="AA11" s="14" t="str">
        <f t="shared" si="5"/>
        <v>ADEQUADA</v>
      </c>
      <c r="AB11" s="15">
        <f t="shared" si="6"/>
        <v>15</v>
      </c>
      <c r="AC11" s="8">
        <f t="shared" si="7"/>
        <v>0.9375</v>
      </c>
      <c r="AD11" s="4"/>
      <c r="AE11" s="4"/>
      <c r="AF11" s="4"/>
    </row>
    <row r="12" spans="1:32" ht="15.75" x14ac:dyDescent="0.25">
      <c r="A12" s="5" t="s">
        <v>4</v>
      </c>
      <c r="B12" s="7" t="s">
        <v>24</v>
      </c>
      <c r="C12" s="7" t="s">
        <v>1096</v>
      </c>
      <c r="D12" s="7" t="s">
        <v>1097</v>
      </c>
      <c r="E12" s="5" t="s">
        <v>29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f t="shared" si="0"/>
        <v>8</v>
      </c>
      <c r="O12" s="8">
        <f t="shared" si="1"/>
        <v>1</v>
      </c>
      <c r="P12" s="8" t="str">
        <f t="shared" si="2"/>
        <v>ADEQUADA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0</v>
      </c>
      <c r="X12" s="7">
        <v>0</v>
      </c>
      <c r="Y12" s="7">
        <f t="shared" si="3"/>
        <v>6</v>
      </c>
      <c r="Z12" s="8">
        <f t="shared" si="4"/>
        <v>0.75</v>
      </c>
      <c r="AA12" s="14" t="str">
        <f t="shared" si="5"/>
        <v>ADEQUADA</v>
      </c>
      <c r="AB12" s="15">
        <f t="shared" si="6"/>
        <v>14</v>
      </c>
      <c r="AC12" s="8">
        <f t="shared" si="7"/>
        <v>0.875</v>
      </c>
      <c r="AD12" s="4"/>
      <c r="AE12" s="4"/>
      <c r="AF12" s="4"/>
    </row>
    <row r="13" spans="1:32" ht="15.75" x14ac:dyDescent="0.25">
      <c r="A13" s="5" t="s">
        <v>4</v>
      </c>
      <c r="B13" s="7" t="s">
        <v>24</v>
      </c>
      <c r="C13" s="7" t="s">
        <v>1096</v>
      </c>
      <c r="D13" s="7" t="s">
        <v>1097</v>
      </c>
      <c r="E13" s="5" t="s">
        <v>30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f t="shared" si="0"/>
        <v>8</v>
      </c>
      <c r="O13" s="8">
        <f t="shared" si="1"/>
        <v>1</v>
      </c>
      <c r="P13" s="8" t="str">
        <f t="shared" si="2"/>
        <v>ADEQUADA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0</v>
      </c>
      <c r="X13" s="7">
        <v>1</v>
      </c>
      <c r="Y13" s="7">
        <f t="shared" si="3"/>
        <v>7</v>
      </c>
      <c r="Z13" s="8">
        <f t="shared" si="4"/>
        <v>0.875</v>
      </c>
      <c r="AA13" s="14" t="str">
        <f t="shared" si="5"/>
        <v>ADEQUADA</v>
      </c>
      <c r="AB13" s="15">
        <f t="shared" si="6"/>
        <v>15</v>
      </c>
      <c r="AC13" s="8">
        <f t="shared" si="7"/>
        <v>0.9375</v>
      </c>
      <c r="AD13" s="4"/>
      <c r="AE13" s="4"/>
      <c r="AF13" s="4"/>
    </row>
    <row r="14" spans="1:32" ht="15.75" x14ac:dyDescent="0.25">
      <c r="A14" s="5" t="s">
        <v>4</v>
      </c>
      <c r="B14" s="7" t="s">
        <v>24</v>
      </c>
      <c r="C14" s="7" t="s">
        <v>1103</v>
      </c>
      <c r="D14" s="7" t="s">
        <v>1097</v>
      </c>
      <c r="E14" s="5" t="s">
        <v>31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f t="shared" si="0"/>
        <v>8</v>
      </c>
      <c r="O14" s="8">
        <f t="shared" si="1"/>
        <v>1</v>
      </c>
      <c r="P14" s="8" t="str">
        <f t="shared" si="2"/>
        <v>ADEQUADA</v>
      </c>
      <c r="Q14" s="7">
        <v>1</v>
      </c>
      <c r="R14" s="7">
        <v>1</v>
      </c>
      <c r="S14" s="7">
        <v>1</v>
      </c>
      <c r="T14" s="7">
        <v>1</v>
      </c>
      <c r="U14" s="7">
        <v>0</v>
      </c>
      <c r="V14" s="7">
        <v>1</v>
      </c>
      <c r="W14" s="7">
        <v>0</v>
      </c>
      <c r="X14" s="7">
        <v>1</v>
      </c>
      <c r="Y14" s="7">
        <f t="shared" si="3"/>
        <v>6</v>
      </c>
      <c r="Z14" s="8">
        <f t="shared" si="4"/>
        <v>0.75</v>
      </c>
      <c r="AA14" s="14" t="str">
        <f t="shared" si="5"/>
        <v>ADEQUADA</v>
      </c>
      <c r="AB14" s="15">
        <f t="shared" si="6"/>
        <v>14</v>
      </c>
      <c r="AC14" s="8">
        <f t="shared" si="7"/>
        <v>0.875</v>
      </c>
      <c r="AD14" s="4"/>
      <c r="AE14" s="4"/>
      <c r="AF14" s="4"/>
    </row>
    <row r="15" spans="1:32" ht="15.75" x14ac:dyDescent="0.25">
      <c r="A15" s="5" t="s">
        <v>4</v>
      </c>
      <c r="B15" s="7" t="s">
        <v>24</v>
      </c>
      <c r="C15" s="7" t="s">
        <v>1103</v>
      </c>
      <c r="D15" s="7" t="s">
        <v>1097</v>
      </c>
      <c r="E15" s="5" t="s">
        <v>32</v>
      </c>
      <c r="F15" s="7">
        <v>1</v>
      </c>
      <c r="G15" s="7">
        <v>0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f t="shared" si="0"/>
        <v>7</v>
      </c>
      <c r="O15" s="8">
        <f t="shared" si="1"/>
        <v>0.875</v>
      </c>
      <c r="P15" s="8" t="str">
        <f t="shared" si="2"/>
        <v>ADEQUADA</v>
      </c>
      <c r="Q15" s="7">
        <v>0</v>
      </c>
      <c r="R15" s="7">
        <v>1</v>
      </c>
      <c r="S15" s="7">
        <v>0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f t="shared" si="3"/>
        <v>6</v>
      </c>
      <c r="Z15" s="8">
        <f t="shared" si="4"/>
        <v>0.75</v>
      </c>
      <c r="AA15" s="14" t="str">
        <f t="shared" si="5"/>
        <v>ADEQUADA</v>
      </c>
      <c r="AB15" s="15">
        <f t="shared" si="6"/>
        <v>13</v>
      </c>
      <c r="AC15" s="8">
        <f t="shared" si="7"/>
        <v>0.8125</v>
      </c>
      <c r="AD15" s="4"/>
      <c r="AE15" s="4"/>
      <c r="AF15" s="4"/>
    </row>
    <row r="16" spans="1:32" ht="15.75" x14ac:dyDescent="0.25">
      <c r="A16" s="5" t="s">
        <v>4</v>
      </c>
      <c r="B16" s="7" t="s">
        <v>24</v>
      </c>
      <c r="C16" s="7" t="s">
        <v>1103</v>
      </c>
      <c r="D16" s="7" t="s">
        <v>1097</v>
      </c>
      <c r="E16" s="5" t="s">
        <v>33</v>
      </c>
      <c r="F16" s="7">
        <v>1</v>
      </c>
      <c r="G16" s="7">
        <v>0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f t="shared" si="0"/>
        <v>7</v>
      </c>
      <c r="O16" s="8">
        <f t="shared" si="1"/>
        <v>0.875</v>
      </c>
      <c r="P16" s="8" t="str">
        <f t="shared" si="2"/>
        <v>ADEQUADA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f t="shared" si="3"/>
        <v>8</v>
      </c>
      <c r="Z16" s="8">
        <f t="shared" si="4"/>
        <v>1</v>
      </c>
      <c r="AA16" s="14" t="str">
        <f t="shared" si="5"/>
        <v>ADEQUADA</v>
      </c>
      <c r="AB16" s="15">
        <f t="shared" si="6"/>
        <v>15</v>
      </c>
      <c r="AC16" s="8">
        <f t="shared" si="7"/>
        <v>0.9375</v>
      </c>
      <c r="AD16" s="4"/>
      <c r="AE16" s="4"/>
      <c r="AF16" s="4"/>
    </row>
    <row r="17" spans="1:32" ht="15.75" x14ac:dyDescent="0.25">
      <c r="A17" s="5" t="s">
        <v>4</v>
      </c>
      <c r="B17" s="7" t="s">
        <v>24</v>
      </c>
      <c r="C17" s="7" t="s">
        <v>1103</v>
      </c>
      <c r="D17" s="7" t="s">
        <v>1097</v>
      </c>
      <c r="E17" s="5" t="s">
        <v>34</v>
      </c>
      <c r="F17" s="7">
        <v>1</v>
      </c>
      <c r="G17" s="7">
        <v>0</v>
      </c>
      <c r="H17" s="7">
        <v>1</v>
      </c>
      <c r="I17" s="7">
        <v>0</v>
      </c>
      <c r="J17" s="7">
        <v>0</v>
      </c>
      <c r="K17" s="7">
        <v>1</v>
      </c>
      <c r="L17" s="7">
        <v>1</v>
      </c>
      <c r="M17" s="7">
        <v>1</v>
      </c>
      <c r="N17" s="7">
        <f t="shared" si="0"/>
        <v>5</v>
      </c>
      <c r="O17" s="8">
        <f t="shared" si="1"/>
        <v>0.625</v>
      </c>
      <c r="P17" s="8" t="str">
        <f t="shared" si="2"/>
        <v>INTERMEDIÁRIO</v>
      </c>
      <c r="Q17" s="7">
        <v>0</v>
      </c>
      <c r="R17" s="7">
        <v>0</v>
      </c>
      <c r="S17" s="7">
        <v>0</v>
      </c>
      <c r="T17" s="7">
        <v>1</v>
      </c>
      <c r="U17" s="7">
        <v>0</v>
      </c>
      <c r="V17" s="7">
        <v>1</v>
      </c>
      <c r="W17" s="7">
        <v>0</v>
      </c>
      <c r="X17" s="7">
        <v>0</v>
      </c>
      <c r="Y17" s="7">
        <f t="shared" si="3"/>
        <v>2</v>
      </c>
      <c r="Z17" s="8">
        <f t="shared" si="4"/>
        <v>0.25</v>
      </c>
      <c r="AA17" s="14" t="str">
        <f t="shared" si="5"/>
        <v>DEFASAGEM</v>
      </c>
      <c r="AB17" s="15">
        <f t="shared" si="6"/>
        <v>7</v>
      </c>
      <c r="AC17" s="8">
        <f t="shared" si="7"/>
        <v>0.4375</v>
      </c>
      <c r="AD17" s="4"/>
      <c r="AE17" s="4"/>
      <c r="AF17" s="4"/>
    </row>
    <row r="18" spans="1:32" ht="15.75" x14ac:dyDescent="0.25">
      <c r="A18" s="5" t="s">
        <v>4</v>
      </c>
      <c r="B18" s="7" t="s">
        <v>24</v>
      </c>
      <c r="C18" s="7" t="s">
        <v>1105</v>
      </c>
      <c r="D18" s="7" t="s">
        <v>1097</v>
      </c>
      <c r="E18" s="5" t="s">
        <v>35</v>
      </c>
      <c r="F18" s="7">
        <v>1</v>
      </c>
      <c r="G18" s="7">
        <v>0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f t="shared" si="0"/>
        <v>7</v>
      </c>
      <c r="O18" s="8">
        <f t="shared" si="1"/>
        <v>0.875</v>
      </c>
      <c r="P18" s="8" t="str">
        <f t="shared" si="2"/>
        <v>ADEQUADA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f t="shared" si="3"/>
        <v>8</v>
      </c>
      <c r="Z18" s="8">
        <f t="shared" si="4"/>
        <v>1</v>
      </c>
      <c r="AA18" s="14" t="str">
        <f t="shared" si="5"/>
        <v>ADEQUADA</v>
      </c>
      <c r="AB18" s="15">
        <f t="shared" si="6"/>
        <v>15</v>
      </c>
      <c r="AC18" s="8">
        <f t="shared" si="7"/>
        <v>0.9375</v>
      </c>
      <c r="AD18" s="4"/>
      <c r="AE18" s="4"/>
      <c r="AF18" s="4"/>
    </row>
    <row r="19" spans="1:32" ht="15.75" x14ac:dyDescent="0.25">
      <c r="A19" s="5" t="s">
        <v>4</v>
      </c>
      <c r="B19" s="7" t="s">
        <v>24</v>
      </c>
      <c r="C19" s="7" t="s">
        <v>1104</v>
      </c>
      <c r="D19" s="7" t="s">
        <v>1097</v>
      </c>
      <c r="E19" s="5" t="s">
        <v>36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f t="shared" si="0"/>
        <v>8</v>
      </c>
      <c r="O19" s="8">
        <f t="shared" si="1"/>
        <v>1</v>
      </c>
      <c r="P19" s="8" t="str">
        <f t="shared" si="2"/>
        <v>ADEQUADA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0</v>
      </c>
      <c r="X19" s="7">
        <v>1</v>
      </c>
      <c r="Y19" s="7">
        <f t="shared" si="3"/>
        <v>7</v>
      </c>
      <c r="Z19" s="8">
        <f t="shared" si="4"/>
        <v>0.875</v>
      </c>
      <c r="AA19" s="14" t="str">
        <f t="shared" si="5"/>
        <v>ADEQUADA</v>
      </c>
      <c r="AB19" s="15">
        <f t="shared" si="6"/>
        <v>15</v>
      </c>
      <c r="AC19" s="8">
        <v>0.94</v>
      </c>
      <c r="AD19" s="4"/>
      <c r="AE19" s="4"/>
      <c r="AF19" s="4"/>
    </row>
    <row r="20" spans="1:32" ht="15.75" x14ac:dyDescent="0.25">
      <c r="A20" s="5" t="s">
        <v>4</v>
      </c>
      <c r="B20" s="7" t="s">
        <v>24</v>
      </c>
      <c r="C20" s="7" t="s">
        <v>1105</v>
      </c>
      <c r="D20" s="7" t="s">
        <v>1097</v>
      </c>
      <c r="E20" s="5" t="s">
        <v>37</v>
      </c>
      <c r="F20" s="7">
        <v>1</v>
      </c>
      <c r="G20" s="7">
        <v>0</v>
      </c>
      <c r="H20" s="7">
        <v>1</v>
      </c>
      <c r="I20" s="7">
        <v>0</v>
      </c>
      <c r="J20" s="7">
        <v>1</v>
      </c>
      <c r="K20" s="7">
        <v>1</v>
      </c>
      <c r="L20" s="7">
        <v>1</v>
      </c>
      <c r="M20" s="7">
        <v>1</v>
      </c>
      <c r="N20" s="7">
        <f t="shared" si="0"/>
        <v>6</v>
      </c>
      <c r="O20" s="8">
        <f t="shared" si="1"/>
        <v>0.75</v>
      </c>
      <c r="P20" s="8" t="str">
        <f t="shared" si="2"/>
        <v>ADEQUADA</v>
      </c>
      <c r="Q20" s="7">
        <v>1</v>
      </c>
      <c r="R20" s="7">
        <v>1</v>
      </c>
      <c r="S20" s="7">
        <v>1</v>
      </c>
      <c r="T20" s="7">
        <v>1</v>
      </c>
      <c r="U20" s="7">
        <v>0</v>
      </c>
      <c r="V20" s="7">
        <v>1</v>
      </c>
      <c r="W20" s="7">
        <v>1</v>
      </c>
      <c r="X20" s="7">
        <v>1</v>
      </c>
      <c r="Y20" s="7">
        <f t="shared" si="3"/>
        <v>7</v>
      </c>
      <c r="Z20" s="8">
        <f t="shared" si="4"/>
        <v>0.875</v>
      </c>
      <c r="AA20" s="14" t="str">
        <f t="shared" si="5"/>
        <v>ADEQUADA</v>
      </c>
      <c r="AB20" s="15">
        <f t="shared" si="6"/>
        <v>13</v>
      </c>
      <c r="AC20" s="8">
        <f t="shared" ref="AC20:AC83" si="8">((AB20*100)/16)/100</f>
        <v>0.8125</v>
      </c>
      <c r="AD20" s="4"/>
      <c r="AE20" s="4"/>
      <c r="AF20" s="4"/>
    </row>
    <row r="21" spans="1:32" ht="15.75" customHeight="1" x14ac:dyDescent="0.25">
      <c r="A21" s="5" t="s">
        <v>4</v>
      </c>
      <c r="B21" s="7" t="s">
        <v>24</v>
      </c>
      <c r="C21" s="7" t="s">
        <v>1105</v>
      </c>
      <c r="D21" s="7" t="s">
        <v>1097</v>
      </c>
      <c r="E21" s="5" t="s">
        <v>38</v>
      </c>
      <c r="F21" s="7">
        <v>1</v>
      </c>
      <c r="G21" s="7">
        <v>0</v>
      </c>
      <c r="H21" s="7">
        <v>1</v>
      </c>
      <c r="I21" s="7">
        <v>0</v>
      </c>
      <c r="J21" s="7">
        <v>1</v>
      </c>
      <c r="K21" s="7">
        <v>1</v>
      </c>
      <c r="L21" s="7">
        <v>1</v>
      </c>
      <c r="M21" s="7">
        <v>1</v>
      </c>
      <c r="N21" s="7">
        <f t="shared" si="0"/>
        <v>6</v>
      </c>
      <c r="O21" s="8">
        <f t="shared" si="1"/>
        <v>0.75</v>
      </c>
      <c r="P21" s="8" t="str">
        <f t="shared" si="2"/>
        <v>ADEQUADA</v>
      </c>
      <c r="Q21" s="7">
        <v>0</v>
      </c>
      <c r="R21" s="7">
        <v>1</v>
      </c>
      <c r="S21" s="7">
        <v>1</v>
      </c>
      <c r="T21" s="7">
        <v>1</v>
      </c>
      <c r="U21" s="7">
        <v>0</v>
      </c>
      <c r="V21" s="7">
        <v>1</v>
      </c>
      <c r="W21" s="7">
        <v>0</v>
      </c>
      <c r="X21" s="7">
        <v>1</v>
      </c>
      <c r="Y21" s="7">
        <f t="shared" si="3"/>
        <v>5</v>
      </c>
      <c r="Z21" s="8">
        <f t="shared" si="4"/>
        <v>0.625</v>
      </c>
      <c r="AA21" s="14" t="str">
        <f t="shared" si="5"/>
        <v>INTERMEDIÁRIO</v>
      </c>
      <c r="AB21" s="15">
        <f t="shared" si="6"/>
        <v>11</v>
      </c>
      <c r="AC21" s="8">
        <f t="shared" si="8"/>
        <v>0.6875</v>
      </c>
      <c r="AD21" s="4"/>
      <c r="AE21" s="4"/>
      <c r="AF21" s="4"/>
    </row>
    <row r="22" spans="1:32" ht="15.75" customHeight="1" x14ac:dyDescent="0.25">
      <c r="A22" s="5" t="s">
        <v>4</v>
      </c>
      <c r="B22" s="7" t="s">
        <v>24</v>
      </c>
      <c r="C22" s="7" t="s">
        <v>1096</v>
      </c>
      <c r="D22" s="7" t="s">
        <v>1097</v>
      </c>
      <c r="E22" s="5" t="s">
        <v>39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8</v>
      </c>
      <c r="O22" s="8">
        <f t="shared" si="1"/>
        <v>1</v>
      </c>
      <c r="P22" s="8" t="str">
        <f t="shared" si="2"/>
        <v>ADEQUADA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f t="shared" si="3"/>
        <v>8</v>
      </c>
      <c r="Z22" s="8">
        <f t="shared" si="4"/>
        <v>1</v>
      </c>
      <c r="AA22" s="14" t="str">
        <f t="shared" si="5"/>
        <v>ADEQUADA</v>
      </c>
      <c r="AB22" s="15">
        <f t="shared" si="6"/>
        <v>16</v>
      </c>
      <c r="AC22" s="8">
        <f t="shared" si="8"/>
        <v>1</v>
      </c>
      <c r="AD22" s="4"/>
      <c r="AE22" s="4"/>
      <c r="AF22" s="4"/>
    </row>
    <row r="23" spans="1:32" ht="15.75" customHeight="1" x14ac:dyDescent="0.25">
      <c r="A23" s="5" t="s">
        <v>5</v>
      </c>
      <c r="B23" s="7" t="s">
        <v>24</v>
      </c>
      <c r="C23" s="7" t="s">
        <v>1104</v>
      </c>
      <c r="D23" s="7" t="s">
        <v>1097</v>
      </c>
      <c r="E23" s="5" t="s">
        <v>40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f t="shared" ref="N23:N53" si="9">SUM(F23:M23)</f>
        <v>8</v>
      </c>
      <c r="O23" s="8">
        <f t="shared" si="1"/>
        <v>1</v>
      </c>
      <c r="P23" s="8" t="str">
        <f t="shared" si="2"/>
        <v>ADEQUADA</v>
      </c>
      <c r="Q23" s="7">
        <v>0</v>
      </c>
      <c r="R23" s="7">
        <v>1</v>
      </c>
      <c r="S23" s="7">
        <v>1</v>
      </c>
      <c r="T23" s="7">
        <v>1</v>
      </c>
      <c r="U23" s="7">
        <v>0</v>
      </c>
      <c r="V23" s="7">
        <v>1</v>
      </c>
      <c r="W23" s="7">
        <v>1</v>
      </c>
      <c r="X23" s="7">
        <v>1</v>
      </c>
      <c r="Y23" s="7">
        <f t="shared" si="3"/>
        <v>6</v>
      </c>
      <c r="Z23" s="8">
        <f t="shared" si="4"/>
        <v>0.75</v>
      </c>
      <c r="AA23" s="14" t="str">
        <f t="shared" si="5"/>
        <v>ADEQUADA</v>
      </c>
      <c r="AB23" s="15">
        <f t="shared" si="6"/>
        <v>14</v>
      </c>
      <c r="AC23" s="8">
        <f t="shared" si="8"/>
        <v>0.875</v>
      </c>
      <c r="AD23" s="4"/>
      <c r="AE23" s="4"/>
      <c r="AF23" s="4"/>
    </row>
    <row r="24" spans="1:32" ht="15.75" customHeight="1" x14ac:dyDescent="0.25">
      <c r="A24" s="5" t="s">
        <v>5</v>
      </c>
      <c r="B24" s="7" t="s">
        <v>24</v>
      </c>
      <c r="C24" s="7" t="s">
        <v>1103</v>
      </c>
      <c r="D24" s="7" t="s">
        <v>1097</v>
      </c>
      <c r="E24" s="5" t="s">
        <v>41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f t="shared" si="9"/>
        <v>8</v>
      </c>
      <c r="O24" s="8">
        <f t="shared" si="1"/>
        <v>1</v>
      </c>
      <c r="P24" s="8" t="str">
        <f t="shared" si="2"/>
        <v>ADEQUADA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f t="shared" si="3"/>
        <v>8</v>
      </c>
      <c r="Z24" s="8">
        <f t="shared" si="4"/>
        <v>1</v>
      </c>
      <c r="AA24" s="14" t="str">
        <f t="shared" si="5"/>
        <v>ADEQUADA</v>
      </c>
      <c r="AB24" s="15">
        <f t="shared" si="6"/>
        <v>16</v>
      </c>
      <c r="AC24" s="8">
        <f t="shared" si="8"/>
        <v>1</v>
      </c>
      <c r="AD24" s="4"/>
      <c r="AE24" s="4"/>
      <c r="AF24" s="4"/>
    </row>
    <row r="25" spans="1:32" ht="15.75" customHeight="1" x14ac:dyDescent="0.25">
      <c r="A25" s="5" t="s">
        <v>5</v>
      </c>
      <c r="B25" s="7" t="s">
        <v>24</v>
      </c>
      <c r="C25" s="7" t="s">
        <v>1103</v>
      </c>
      <c r="D25" s="7" t="s">
        <v>1097</v>
      </c>
      <c r="E25" s="5" t="s">
        <v>42</v>
      </c>
      <c r="F25" s="7">
        <v>1</v>
      </c>
      <c r="G25" s="7">
        <v>0</v>
      </c>
      <c r="H25" s="7">
        <v>1</v>
      </c>
      <c r="I25" s="7">
        <v>0</v>
      </c>
      <c r="J25" s="7">
        <v>1</v>
      </c>
      <c r="K25" s="7">
        <v>0</v>
      </c>
      <c r="L25" s="7">
        <v>1</v>
      </c>
      <c r="M25" s="7">
        <v>1</v>
      </c>
      <c r="N25" s="7">
        <f t="shared" si="9"/>
        <v>5</v>
      </c>
      <c r="O25" s="8">
        <f t="shared" si="1"/>
        <v>0.625</v>
      </c>
      <c r="P25" s="8" t="str">
        <f t="shared" si="2"/>
        <v>INTERMEDIÁRIO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</v>
      </c>
      <c r="W25" s="7">
        <v>0</v>
      </c>
      <c r="X25" s="7">
        <v>1</v>
      </c>
      <c r="Y25" s="7">
        <f t="shared" si="3"/>
        <v>2</v>
      </c>
      <c r="Z25" s="8">
        <f t="shared" si="4"/>
        <v>0.25</v>
      </c>
      <c r="AA25" s="14" t="str">
        <f t="shared" si="5"/>
        <v>DEFASAGEM</v>
      </c>
      <c r="AB25" s="15">
        <f t="shared" si="6"/>
        <v>7</v>
      </c>
      <c r="AC25" s="8">
        <f t="shared" si="8"/>
        <v>0.4375</v>
      </c>
      <c r="AD25" s="4"/>
      <c r="AE25" s="4"/>
      <c r="AF25" s="4"/>
    </row>
    <row r="26" spans="1:32" ht="15.75" customHeight="1" x14ac:dyDescent="0.25">
      <c r="A26" s="5" t="s">
        <v>5</v>
      </c>
      <c r="B26" s="7" t="s">
        <v>24</v>
      </c>
      <c r="C26" s="7" t="s">
        <v>1103</v>
      </c>
      <c r="D26" s="7" t="s">
        <v>1097</v>
      </c>
      <c r="E26" s="5" t="s">
        <v>43</v>
      </c>
      <c r="F26" s="7">
        <v>1</v>
      </c>
      <c r="G26" s="7">
        <v>0</v>
      </c>
      <c r="H26" s="7">
        <v>1</v>
      </c>
      <c r="I26" s="7">
        <v>0</v>
      </c>
      <c r="J26" s="7">
        <v>1</v>
      </c>
      <c r="K26" s="7">
        <v>1</v>
      </c>
      <c r="L26" s="7">
        <v>1</v>
      </c>
      <c r="M26" s="7">
        <v>1</v>
      </c>
      <c r="N26" s="7">
        <f t="shared" si="9"/>
        <v>6</v>
      </c>
      <c r="O26" s="8">
        <f t="shared" si="1"/>
        <v>0.75</v>
      </c>
      <c r="P26" s="8" t="str">
        <f t="shared" si="2"/>
        <v>ADEQUADA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0</v>
      </c>
      <c r="X26" s="7">
        <v>1</v>
      </c>
      <c r="Y26" s="7">
        <f t="shared" si="3"/>
        <v>7</v>
      </c>
      <c r="Z26" s="8">
        <f t="shared" si="4"/>
        <v>0.875</v>
      </c>
      <c r="AA26" s="14" t="str">
        <f t="shared" si="5"/>
        <v>ADEQUADA</v>
      </c>
      <c r="AB26" s="15">
        <f t="shared" si="6"/>
        <v>13</v>
      </c>
      <c r="AC26" s="8">
        <f t="shared" si="8"/>
        <v>0.8125</v>
      </c>
      <c r="AD26" s="4"/>
      <c r="AE26" s="4"/>
      <c r="AF26" s="4"/>
    </row>
    <row r="27" spans="1:32" ht="15.75" customHeight="1" x14ac:dyDescent="0.25">
      <c r="A27" s="5" t="s">
        <v>5</v>
      </c>
      <c r="B27" s="7" t="s">
        <v>24</v>
      </c>
      <c r="C27" s="7" t="s">
        <v>1103</v>
      </c>
      <c r="D27" s="7" t="s">
        <v>1097</v>
      </c>
      <c r="E27" s="5" t="s">
        <v>44</v>
      </c>
      <c r="F27" s="7">
        <v>1</v>
      </c>
      <c r="G27" s="7">
        <v>0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f t="shared" si="9"/>
        <v>7</v>
      </c>
      <c r="O27" s="8">
        <f t="shared" si="1"/>
        <v>0.875</v>
      </c>
      <c r="P27" s="8" t="str">
        <f t="shared" si="2"/>
        <v>ADEQUADA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f t="shared" si="3"/>
        <v>8</v>
      </c>
      <c r="Z27" s="8">
        <f t="shared" si="4"/>
        <v>1</v>
      </c>
      <c r="AA27" s="14" t="str">
        <f t="shared" si="5"/>
        <v>ADEQUADA</v>
      </c>
      <c r="AB27" s="15">
        <f t="shared" si="6"/>
        <v>15</v>
      </c>
      <c r="AC27" s="8">
        <f t="shared" si="8"/>
        <v>0.9375</v>
      </c>
      <c r="AD27" s="4"/>
      <c r="AE27" s="4"/>
      <c r="AF27" s="4"/>
    </row>
    <row r="28" spans="1:32" ht="15.75" customHeight="1" x14ac:dyDescent="0.25">
      <c r="A28" s="5" t="s">
        <v>5</v>
      </c>
      <c r="B28" s="7" t="s">
        <v>24</v>
      </c>
      <c r="C28" s="7" t="s">
        <v>1103</v>
      </c>
      <c r="D28" s="7" t="s">
        <v>1097</v>
      </c>
      <c r="E28" s="5" t="s">
        <v>45</v>
      </c>
      <c r="F28" s="7">
        <v>1</v>
      </c>
      <c r="G28" s="7">
        <v>0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f t="shared" si="9"/>
        <v>7</v>
      </c>
      <c r="O28" s="8">
        <f t="shared" si="1"/>
        <v>0.875</v>
      </c>
      <c r="P28" s="8" t="str">
        <f t="shared" si="2"/>
        <v>ADEQUADA</v>
      </c>
      <c r="Q28" s="7">
        <v>1</v>
      </c>
      <c r="R28" s="7">
        <v>1</v>
      </c>
      <c r="S28" s="7">
        <v>0</v>
      </c>
      <c r="T28" s="7">
        <v>1</v>
      </c>
      <c r="U28" s="7">
        <v>0</v>
      </c>
      <c r="V28" s="7">
        <v>0</v>
      </c>
      <c r="W28" s="7">
        <v>1</v>
      </c>
      <c r="X28" s="7">
        <v>0</v>
      </c>
      <c r="Y28" s="7">
        <f t="shared" si="3"/>
        <v>4</v>
      </c>
      <c r="Z28" s="8">
        <f t="shared" si="4"/>
        <v>0.5</v>
      </c>
      <c r="AA28" s="14" t="str">
        <f t="shared" si="5"/>
        <v>INTERMEDIÁRIO</v>
      </c>
      <c r="AB28" s="15">
        <f t="shared" si="6"/>
        <v>11</v>
      </c>
      <c r="AC28" s="8">
        <f t="shared" si="8"/>
        <v>0.6875</v>
      </c>
      <c r="AD28" s="4"/>
      <c r="AE28" s="4"/>
      <c r="AF28" s="4"/>
    </row>
    <row r="29" spans="1:32" ht="15.75" customHeight="1" x14ac:dyDescent="0.25">
      <c r="A29" s="5" t="s">
        <v>5</v>
      </c>
      <c r="B29" s="7" t="s">
        <v>24</v>
      </c>
      <c r="C29" s="7" t="s">
        <v>1104</v>
      </c>
      <c r="D29" s="7" t="s">
        <v>1097</v>
      </c>
      <c r="E29" s="5" t="s">
        <v>46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0</v>
      </c>
      <c r="L29" s="7">
        <v>0</v>
      </c>
      <c r="M29" s="7">
        <v>1</v>
      </c>
      <c r="N29" s="7">
        <f t="shared" si="9"/>
        <v>6</v>
      </c>
      <c r="O29" s="8">
        <f t="shared" si="1"/>
        <v>0.75</v>
      </c>
      <c r="P29" s="8" t="str">
        <f t="shared" si="2"/>
        <v>ADEQUADA</v>
      </c>
      <c r="Q29" s="7">
        <v>1</v>
      </c>
      <c r="R29" s="7">
        <v>1</v>
      </c>
      <c r="S29" s="7">
        <v>0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f t="shared" si="3"/>
        <v>7</v>
      </c>
      <c r="Z29" s="8">
        <f t="shared" si="4"/>
        <v>0.875</v>
      </c>
      <c r="AA29" s="14" t="str">
        <f t="shared" si="5"/>
        <v>ADEQUADA</v>
      </c>
      <c r="AB29" s="15">
        <f t="shared" si="6"/>
        <v>13</v>
      </c>
      <c r="AC29" s="8">
        <f t="shared" si="8"/>
        <v>0.8125</v>
      </c>
      <c r="AD29" s="4"/>
      <c r="AE29" s="4"/>
      <c r="AF29" s="4"/>
    </row>
    <row r="30" spans="1:32" ht="15.75" customHeight="1" x14ac:dyDescent="0.25">
      <c r="A30" s="5" t="s">
        <v>5</v>
      </c>
      <c r="B30" s="7" t="s">
        <v>24</v>
      </c>
      <c r="C30" s="7" t="s">
        <v>1103</v>
      </c>
      <c r="D30" s="7" t="s">
        <v>1097</v>
      </c>
      <c r="E30" s="5" t="s">
        <v>47</v>
      </c>
      <c r="F30" s="7">
        <v>1</v>
      </c>
      <c r="G30" s="7">
        <v>1</v>
      </c>
      <c r="H30" s="7">
        <v>1</v>
      </c>
      <c r="I30" s="7">
        <v>1</v>
      </c>
      <c r="J30" s="7">
        <v>0</v>
      </c>
      <c r="K30" s="7">
        <v>0</v>
      </c>
      <c r="L30" s="7">
        <v>1</v>
      </c>
      <c r="M30" s="7">
        <v>1</v>
      </c>
      <c r="N30" s="7">
        <f t="shared" si="9"/>
        <v>6</v>
      </c>
      <c r="O30" s="8">
        <f t="shared" si="1"/>
        <v>0.75</v>
      </c>
      <c r="P30" s="8" t="str">
        <f t="shared" si="2"/>
        <v>ADEQUADA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0</v>
      </c>
      <c r="X30" s="7">
        <v>1</v>
      </c>
      <c r="Y30" s="7">
        <f t="shared" si="3"/>
        <v>7</v>
      </c>
      <c r="Z30" s="8">
        <f t="shared" si="4"/>
        <v>0.875</v>
      </c>
      <c r="AA30" s="14" t="str">
        <f t="shared" si="5"/>
        <v>ADEQUADA</v>
      </c>
      <c r="AB30" s="15">
        <f t="shared" si="6"/>
        <v>13</v>
      </c>
      <c r="AC30" s="8">
        <f t="shared" si="8"/>
        <v>0.8125</v>
      </c>
      <c r="AD30" s="4"/>
      <c r="AE30" s="4"/>
      <c r="AF30" s="4"/>
    </row>
    <row r="31" spans="1:32" ht="15.75" customHeight="1" x14ac:dyDescent="0.25">
      <c r="A31" s="5" t="s">
        <v>5</v>
      </c>
      <c r="B31" s="7" t="s">
        <v>24</v>
      </c>
      <c r="C31" s="7" t="s">
        <v>1096</v>
      </c>
      <c r="D31" s="7" t="s">
        <v>1097</v>
      </c>
      <c r="E31" s="5" t="s">
        <v>48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f t="shared" si="9"/>
        <v>8</v>
      </c>
      <c r="O31" s="8">
        <f t="shared" si="1"/>
        <v>1</v>
      </c>
      <c r="P31" s="8" t="str">
        <f t="shared" si="2"/>
        <v>ADEQUADA</v>
      </c>
      <c r="Q31" s="7">
        <v>1</v>
      </c>
      <c r="R31" s="7">
        <v>1</v>
      </c>
      <c r="S31" s="7">
        <v>0</v>
      </c>
      <c r="T31" s="7">
        <v>1</v>
      </c>
      <c r="U31" s="7">
        <v>0</v>
      </c>
      <c r="V31" s="7">
        <v>1</v>
      </c>
      <c r="W31" s="7">
        <v>0</v>
      </c>
      <c r="X31" s="7">
        <v>1</v>
      </c>
      <c r="Y31" s="7">
        <f t="shared" si="3"/>
        <v>5</v>
      </c>
      <c r="Z31" s="8">
        <f t="shared" si="4"/>
        <v>0.625</v>
      </c>
      <c r="AA31" s="14" t="str">
        <f t="shared" si="5"/>
        <v>INTERMEDIÁRIO</v>
      </c>
      <c r="AB31" s="15">
        <f t="shared" si="6"/>
        <v>13</v>
      </c>
      <c r="AC31" s="8">
        <f t="shared" si="8"/>
        <v>0.8125</v>
      </c>
      <c r="AD31" s="4"/>
      <c r="AE31" s="4"/>
      <c r="AF31" s="4"/>
    </row>
    <row r="32" spans="1:32" ht="15.75" customHeight="1" x14ac:dyDescent="0.25">
      <c r="A32" s="5" t="s">
        <v>6</v>
      </c>
      <c r="B32" s="7" t="s">
        <v>24</v>
      </c>
      <c r="C32" s="7" t="s">
        <v>1096</v>
      </c>
      <c r="D32" s="7" t="s">
        <v>1097</v>
      </c>
      <c r="E32" s="5" t="s">
        <v>49</v>
      </c>
      <c r="F32" s="7">
        <v>1</v>
      </c>
      <c r="G32" s="7">
        <v>0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f t="shared" si="9"/>
        <v>7</v>
      </c>
      <c r="O32" s="8">
        <f t="shared" si="1"/>
        <v>0.875</v>
      </c>
      <c r="P32" s="8" t="str">
        <f t="shared" si="2"/>
        <v>ADEQUADA</v>
      </c>
      <c r="Q32" s="7">
        <v>1</v>
      </c>
      <c r="R32" s="7">
        <v>1</v>
      </c>
      <c r="S32" s="7">
        <v>1</v>
      </c>
      <c r="T32" s="7">
        <v>1</v>
      </c>
      <c r="U32" s="7">
        <v>0</v>
      </c>
      <c r="V32" s="7">
        <v>1</v>
      </c>
      <c r="W32" s="7">
        <v>0</v>
      </c>
      <c r="X32" s="7">
        <v>1</v>
      </c>
      <c r="Y32" s="7">
        <f t="shared" si="3"/>
        <v>6</v>
      </c>
      <c r="Z32" s="8">
        <f t="shared" si="4"/>
        <v>0.75</v>
      </c>
      <c r="AA32" s="14" t="str">
        <f t="shared" si="5"/>
        <v>ADEQUADA</v>
      </c>
      <c r="AB32" s="15">
        <f t="shared" si="6"/>
        <v>13</v>
      </c>
      <c r="AC32" s="8">
        <f t="shared" si="8"/>
        <v>0.8125</v>
      </c>
      <c r="AD32" s="4"/>
      <c r="AE32" s="4"/>
      <c r="AF32" s="4"/>
    </row>
    <row r="33" spans="1:32" ht="15.75" customHeight="1" x14ac:dyDescent="0.25">
      <c r="A33" s="5" t="s">
        <v>6</v>
      </c>
      <c r="B33" s="7" t="s">
        <v>24</v>
      </c>
      <c r="C33" s="7" t="s">
        <v>1103</v>
      </c>
      <c r="D33" s="7" t="s">
        <v>1097</v>
      </c>
      <c r="E33" s="5" t="s">
        <v>50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f t="shared" si="9"/>
        <v>8</v>
      </c>
      <c r="O33" s="8">
        <f t="shared" si="1"/>
        <v>1</v>
      </c>
      <c r="P33" s="8" t="str">
        <f t="shared" si="2"/>
        <v>ADEQUADA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f t="shared" si="3"/>
        <v>8</v>
      </c>
      <c r="Z33" s="8">
        <f t="shared" si="4"/>
        <v>1</v>
      </c>
      <c r="AA33" s="14" t="str">
        <f t="shared" si="5"/>
        <v>ADEQUADA</v>
      </c>
      <c r="AB33" s="15">
        <f t="shared" si="6"/>
        <v>16</v>
      </c>
      <c r="AC33" s="8">
        <f t="shared" si="8"/>
        <v>1</v>
      </c>
      <c r="AD33" s="4"/>
      <c r="AE33" s="4"/>
      <c r="AF33" s="4"/>
    </row>
    <row r="34" spans="1:32" ht="15.75" customHeight="1" x14ac:dyDescent="0.25">
      <c r="A34" s="5" t="s">
        <v>6</v>
      </c>
      <c r="B34" s="7" t="s">
        <v>24</v>
      </c>
      <c r="C34" s="7" t="s">
        <v>1103</v>
      </c>
      <c r="D34" s="7" t="s">
        <v>1097</v>
      </c>
      <c r="E34" s="5" t="s">
        <v>51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f t="shared" si="9"/>
        <v>8</v>
      </c>
      <c r="O34" s="8">
        <f t="shared" si="1"/>
        <v>1</v>
      </c>
      <c r="P34" s="8" t="str">
        <f t="shared" si="2"/>
        <v>ADEQUADA</v>
      </c>
      <c r="Q34" s="7">
        <v>0</v>
      </c>
      <c r="R34" s="7">
        <v>1</v>
      </c>
      <c r="S34" s="7">
        <v>0</v>
      </c>
      <c r="T34" s="7">
        <v>1</v>
      </c>
      <c r="U34" s="7">
        <v>0</v>
      </c>
      <c r="V34" s="7">
        <v>1</v>
      </c>
      <c r="W34" s="7">
        <v>0</v>
      </c>
      <c r="X34" s="7">
        <v>0</v>
      </c>
      <c r="Y34" s="7">
        <f t="shared" si="3"/>
        <v>3</v>
      </c>
      <c r="Z34" s="8">
        <f t="shared" si="4"/>
        <v>0.375</v>
      </c>
      <c r="AA34" s="14" t="str">
        <f t="shared" si="5"/>
        <v>DEFASAGEM</v>
      </c>
      <c r="AB34" s="15">
        <f t="shared" si="6"/>
        <v>11</v>
      </c>
      <c r="AC34" s="8">
        <f t="shared" si="8"/>
        <v>0.6875</v>
      </c>
      <c r="AD34" s="4"/>
      <c r="AE34" s="4"/>
      <c r="AF34" s="4"/>
    </row>
    <row r="35" spans="1:32" ht="15.75" customHeight="1" x14ac:dyDescent="0.25">
      <c r="A35" s="5" t="s">
        <v>6</v>
      </c>
      <c r="B35" s="7" t="s">
        <v>24</v>
      </c>
      <c r="C35" s="7" t="s">
        <v>1096</v>
      </c>
      <c r="D35" s="7" t="s">
        <v>1097</v>
      </c>
      <c r="E35" s="5" t="s">
        <v>52</v>
      </c>
      <c r="F35" s="7">
        <v>1</v>
      </c>
      <c r="G35" s="7">
        <v>0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f t="shared" si="9"/>
        <v>7</v>
      </c>
      <c r="O35" s="8">
        <f t="shared" si="1"/>
        <v>0.875</v>
      </c>
      <c r="P35" s="8" t="str">
        <f t="shared" si="2"/>
        <v>ADEQUADA</v>
      </c>
      <c r="Q35" s="7">
        <v>1</v>
      </c>
      <c r="R35" s="7">
        <v>1</v>
      </c>
      <c r="S35" s="7">
        <v>0</v>
      </c>
      <c r="T35" s="7">
        <v>1</v>
      </c>
      <c r="U35" s="7">
        <v>1</v>
      </c>
      <c r="V35" s="7">
        <v>1</v>
      </c>
      <c r="W35" s="7">
        <v>0</v>
      </c>
      <c r="X35" s="7">
        <v>1</v>
      </c>
      <c r="Y35" s="7">
        <f t="shared" si="3"/>
        <v>6</v>
      </c>
      <c r="Z35" s="8">
        <f t="shared" si="4"/>
        <v>0.75</v>
      </c>
      <c r="AA35" s="14" t="str">
        <f t="shared" si="5"/>
        <v>ADEQUADA</v>
      </c>
      <c r="AB35" s="15">
        <f t="shared" si="6"/>
        <v>13</v>
      </c>
      <c r="AC35" s="8">
        <f t="shared" si="8"/>
        <v>0.8125</v>
      </c>
      <c r="AD35" s="4"/>
      <c r="AE35" s="4"/>
      <c r="AF35" s="4"/>
    </row>
    <row r="36" spans="1:32" ht="15.75" customHeight="1" x14ac:dyDescent="0.25">
      <c r="A36" s="5" t="s">
        <v>6</v>
      </c>
      <c r="B36" s="7" t="s">
        <v>24</v>
      </c>
      <c r="C36" s="7" t="s">
        <v>1104</v>
      </c>
      <c r="D36" s="7" t="s">
        <v>1097</v>
      </c>
      <c r="E36" s="5" t="s">
        <v>53</v>
      </c>
      <c r="F36" s="7">
        <v>0</v>
      </c>
      <c r="G36" s="7">
        <v>1</v>
      </c>
      <c r="H36" s="7">
        <v>1</v>
      </c>
      <c r="I36" s="7">
        <v>0</v>
      </c>
      <c r="J36" s="7">
        <v>1</v>
      </c>
      <c r="K36" s="7">
        <v>0</v>
      </c>
      <c r="L36" s="7">
        <v>1</v>
      </c>
      <c r="M36" s="7">
        <v>0</v>
      </c>
      <c r="N36" s="7">
        <f t="shared" si="9"/>
        <v>4</v>
      </c>
      <c r="O36" s="8">
        <f t="shared" si="1"/>
        <v>0.5</v>
      </c>
      <c r="P36" s="8" t="str">
        <f t="shared" si="2"/>
        <v>INTERMEDIÁRIO</v>
      </c>
      <c r="Q36" s="7">
        <v>0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f t="shared" si="3"/>
        <v>7</v>
      </c>
      <c r="Z36" s="8">
        <f t="shared" si="4"/>
        <v>0.875</v>
      </c>
      <c r="AA36" s="14" t="str">
        <f t="shared" si="5"/>
        <v>ADEQUADA</v>
      </c>
      <c r="AB36" s="15">
        <f t="shared" si="6"/>
        <v>11</v>
      </c>
      <c r="AC36" s="8">
        <f t="shared" si="8"/>
        <v>0.6875</v>
      </c>
      <c r="AD36" s="4"/>
      <c r="AE36" s="4"/>
      <c r="AF36" s="4"/>
    </row>
    <row r="37" spans="1:32" ht="15.75" customHeight="1" x14ac:dyDescent="0.25">
      <c r="A37" s="5" t="s">
        <v>6</v>
      </c>
      <c r="B37" s="7" t="s">
        <v>24</v>
      </c>
      <c r="C37" s="7" t="s">
        <v>1104</v>
      </c>
      <c r="D37" s="7" t="s">
        <v>1097</v>
      </c>
      <c r="E37" s="5" t="s">
        <v>1106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0</v>
      </c>
      <c r="L37" s="7">
        <v>1</v>
      </c>
      <c r="M37" s="7">
        <v>1</v>
      </c>
      <c r="N37" s="7">
        <f t="shared" si="9"/>
        <v>7</v>
      </c>
      <c r="O37" s="8">
        <f t="shared" si="1"/>
        <v>0.875</v>
      </c>
      <c r="P37" s="8" t="str">
        <f t="shared" si="2"/>
        <v>ADEQUADA</v>
      </c>
      <c r="Q37" s="7">
        <v>1</v>
      </c>
      <c r="R37" s="7">
        <v>1</v>
      </c>
      <c r="S37" s="7">
        <v>0</v>
      </c>
      <c r="T37" s="7">
        <v>1</v>
      </c>
      <c r="U37" s="7">
        <v>1</v>
      </c>
      <c r="V37" s="7">
        <v>1</v>
      </c>
      <c r="W37" s="7">
        <v>0</v>
      </c>
      <c r="X37" s="7">
        <v>1</v>
      </c>
      <c r="Y37" s="7">
        <f t="shared" si="3"/>
        <v>6</v>
      </c>
      <c r="Z37" s="8">
        <v>0.75</v>
      </c>
      <c r="AA37" s="14" t="str">
        <f t="shared" si="5"/>
        <v>ADEQUADA</v>
      </c>
      <c r="AB37" s="15">
        <f t="shared" si="6"/>
        <v>13</v>
      </c>
      <c r="AC37" s="8">
        <f t="shared" si="8"/>
        <v>0.8125</v>
      </c>
      <c r="AD37" s="4"/>
      <c r="AE37" s="4"/>
      <c r="AF37" s="4"/>
    </row>
    <row r="38" spans="1:32" ht="15.75" customHeight="1" x14ac:dyDescent="0.25">
      <c r="A38" s="5" t="s">
        <v>7</v>
      </c>
      <c r="B38" s="7" t="s">
        <v>24</v>
      </c>
      <c r="C38" s="7" t="s">
        <v>1103</v>
      </c>
      <c r="D38" s="7" t="s">
        <v>1097</v>
      </c>
      <c r="E38" s="5" t="s">
        <v>54</v>
      </c>
      <c r="F38" s="7">
        <v>1</v>
      </c>
      <c r="G38" s="7">
        <v>0</v>
      </c>
      <c r="H38" s="7">
        <v>1</v>
      </c>
      <c r="I38" s="7">
        <v>1</v>
      </c>
      <c r="J38" s="7">
        <v>1</v>
      </c>
      <c r="K38" s="7">
        <v>0</v>
      </c>
      <c r="L38" s="7">
        <v>1</v>
      </c>
      <c r="M38" s="7">
        <v>1</v>
      </c>
      <c r="N38" s="7">
        <f t="shared" si="9"/>
        <v>6</v>
      </c>
      <c r="O38" s="8">
        <f t="shared" si="1"/>
        <v>0.75</v>
      </c>
      <c r="P38" s="8" t="str">
        <f t="shared" si="2"/>
        <v>ADEQUADA</v>
      </c>
      <c r="Q38" s="7">
        <v>1</v>
      </c>
      <c r="R38" s="7">
        <v>0</v>
      </c>
      <c r="S38" s="7">
        <v>0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f t="shared" si="3"/>
        <v>6</v>
      </c>
      <c r="Z38" s="8">
        <f t="shared" ref="Z38:Z101" si="10">((Y38*100)/8)/100</f>
        <v>0.75</v>
      </c>
      <c r="AA38" s="14" t="str">
        <f t="shared" si="5"/>
        <v>ADEQUADA</v>
      </c>
      <c r="AB38" s="15">
        <f t="shared" si="6"/>
        <v>12</v>
      </c>
      <c r="AC38" s="8">
        <f t="shared" si="8"/>
        <v>0.75</v>
      </c>
      <c r="AD38" s="4"/>
      <c r="AE38" s="4"/>
      <c r="AF38" s="4"/>
    </row>
    <row r="39" spans="1:32" ht="15.75" customHeight="1" x14ac:dyDescent="0.25">
      <c r="A39" s="5" t="s">
        <v>7</v>
      </c>
      <c r="B39" s="7" t="s">
        <v>24</v>
      </c>
      <c r="C39" s="7" t="s">
        <v>1103</v>
      </c>
      <c r="D39" s="7" t="s">
        <v>1097</v>
      </c>
      <c r="E39" s="5" t="s">
        <v>55</v>
      </c>
      <c r="F39" s="7">
        <v>1</v>
      </c>
      <c r="G39" s="7">
        <v>0</v>
      </c>
      <c r="H39" s="7">
        <v>1</v>
      </c>
      <c r="I39" s="7">
        <v>0</v>
      </c>
      <c r="J39" s="7">
        <v>1</v>
      </c>
      <c r="K39" s="7">
        <v>1</v>
      </c>
      <c r="L39" s="7">
        <v>0</v>
      </c>
      <c r="M39" s="7">
        <v>0</v>
      </c>
      <c r="N39" s="7">
        <f t="shared" si="9"/>
        <v>4</v>
      </c>
      <c r="O39" s="8">
        <f t="shared" si="1"/>
        <v>0.5</v>
      </c>
      <c r="P39" s="8" t="str">
        <f t="shared" si="2"/>
        <v>INTERMEDIÁRIO</v>
      </c>
      <c r="Q39" s="7">
        <v>0</v>
      </c>
      <c r="R39" s="7">
        <v>1</v>
      </c>
      <c r="S39" s="7">
        <v>0</v>
      </c>
      <c r="T39" s="7">
        <v>1</v>
      </c>
      <c r="U39" s="7">
        <v>1</v>
      </c>
      <c r="V39" s="7">
        <v>1</v>
      </c>
      <c r="W39" s="7">
        <v>0</v>
      </c>
      <c r="X39" s="7">
        <v>0</v>
      </c>
      <c r="Y39" s="7">
        <f t="shared" si="3"/>
        <v>4</v>
      </c>
      <c r="Z39" s="8">
        <f t="shared" si="10"/>
        <v>0.5</v>
      </c>
      <c r="AA39" s="14" t="str">
        <f t="shared" si="5"/>
        <v>INTERMEDIÁRIO</v>
      </c>
      <c r="AB39" s="15">
        <f t="shared" si="6"/>
        <v>8</v>
      </c>
      <c r="AC39" s="8">
        <f t="shared" si="8"/>
        <v>0.5</v>
      </c>
      <c r="AD39" s="4"/>
      <c r="AE39" s="4"/>
      <c r="AF39" s="4"/>
    </row>
    <row r="40" spans="1:32" ht="15.75" customHeight="1" x14ac:dyDescent="0.25">
      <c r="A40" s="5" t="s">
        <v>7</v>
      </c>
      <c r="B40" s="7" t="s">
        <v>24</v>
      </c>
      <c r="C40" s="7" t="s">
        <v>1103</v>
      </c>
      <c r="D40" s="7" t="s">
        <v>1097</v>
      </c>
      <c r="E40" s="5" t="s">
        <v>56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f t="shared" si="9"/>
        <v>8</v>
      </c>
      <c r="O40" s="8">
        <f t="shared" si="1"/>
        <v>1</v>
      </c>
      <c r="P40" s="8" t="str">
        <f t="shared" si="2"/>
        <v>ADEQUADA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f t="shared" si="3"/>
        <v>8</v>
      </c>
      <c r="Z40" s="8">
        <f t="shared" si="10"/>
        <v>1</v>
      </c>
      <c r="AA40" s="14" t="str">
        <f t="shared" si="5"/>
        <v>ADEQUADA</v>
      </c>
      <c r="AB40" s="15">
        <f t="shared" si="6"/>
        <v>16</v>
      </c>
      <c r="AC40" s="8">
        <f t="shared" si="8"/>
        <v>1</v>
      </c>
      <c r="AD40" s="4"/>
      <c r="AE40" s="4"/>
      <c r="AF40" s="4"/>
    </row>
    <row r="41" spans="1:32" ht="15.75" customHeight="1" x14ac:dyDescent="0.25">
      <c r="A41" s="5" t="s">
        <v>7</v>
      </c>
      <c r="B41" s="7" t="s">
        <v>24</v>
      </c>
      <c r="C41" s="7" t="s">
        <v>1103</v>
      </c>
      <c r="D41" s="7" t="s">
        <v>1097</v>
      </c>
      <c r="E41" s="5" t="s">
        <v>57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f t="shared" si="9"/>
        <v>8</v>
      </c>
      <c r="O41" s="8">
        <f t="shared" si="1"/>
        <v>1</v>
      </c>
      <c r="P41" s="8" t="str">
        <f t="shared" si="2"/>
        <v>ADEQUADA</v>
      </c>
      <c r="Q41" s="7">
        <v>1</v>
      </c>
      <c r="R41" s="7">
        <v>1</v>
      </c>
      <c r="S41" s="7">
        <v>0</v>
      </c>
      <c r="T41" s="7">
        <v>1</v>
      </c>
      <c r="U41" s="7">
        <v>1</v>
      </c>
      <c r="V41" s="7">
        <v>0</v>
      </c>
      <c r="W41" s="7">
        <v>0</v>
      </c>
      <c r="X41" s="7">
        <v>0</v>
      </c>
      <c r="Y41" s="7">
        <f t="shared" si="3"/>
        <v>4</v>
      </c>
      <c r="Z41" s="8">
        <f t="shared" si="10"/>
        <v>0.5</v>
      </c>
      <c r="AA41" s="14" t="str">
        <f t="shared" si="5"/>
        <v>INTERMEDIÁRIO</v>
      </c>
      <c r="AB41" s="15">
        <f t="shared" si="6"/>
        <v>12</v>
      </c>
      <c r="AC41" s="8">
        <f t="shared" si="8"/>
        <v>0.75</v>
      </c>
      <c r="AD41" s="4"/>
      <c r="AE41" s="4"/>
      <c r="AF41" s="4"/>
    </row>
    <row r="42" spans="1:32" ht="15.75" customHeight="1" x14ac:dyDescent="0.25">
      <c r="A42" s="5" t="s">
        <v>7</v>
      </c>
      <c r="B42" s="7" t="s">
        <v>24</v>
      </c>
      <c r="C42" s="7" t="s">
        <v>1103</v>
      </c>
      <c r="D42" s="7" t="s">
        <v>1097</v>
      </c>
      <c r="E42" s="5" t="s">
        <v>1107</v>
      </c>
      <c r="F42" s="7">
        <v>1</v>
      </c>
      <c r="G42" s="7">
        <v>0</v>
      </c>
      <c r="H42" s="7">
        <v>1</v>
      </c>
      <c r="I42" s="7">
        <v>1</v>
      </c>
      <c r="J42" s="7">
        <v>1</v>
      </c>
      <c r="K42" s="7">
        <v>1</v>
      </c>
      <c r="L42" s="7">
        <v>0</v>
      </c>
      <c r="M42" s="7">
        <v>1</v>
      </c>
      <c r="N42" s="7">
        <f t="shared" si="9"/>
        <v>6</v>
      </c>
      <c r="O42" s="8">
        <f t="shared" si="1"/>
        <v>0.75</v>
      </c>
      <c r="P42" s="8" t="str">
        <f t="shared" si="2"/>
        <v>ADEQUADA</v>
      </c>
      <c r="Q42" s="7">
        <v>1</v>
      </c>
      <c r="R42" s="7">
        <v>0</v>
      </c>
      <c r="S42" s="7">
        <v>0</v>
      </c>
      <c r="T42" s="7">
        <v>1</v>
      </c>
      <c r="U42" s="7">
        <v>1</v>
      </c>
      <c r="V42" s="7">
        <v>1</v>
      </c>
      <c r="W42" s="7">
        <v>0</v>
      </c>
      <c r="X42" s="7">
        <v>1</v>
      </c>
      <c r="Y42" s="7">
        <f t="shared" si="3"/>
        <v>5</v>
      </c>
      <c r="Z42" s="8">
        <f t="shared" si="10"/>
        <v>0.625</v>
      </c>
      <c r="AA42" s="14" t="str">
        <f t="shared" si="5"/>
        <v>INTERMEDIÁRIO</v>
      </c>
      <c r="AB42" s="15">
        <f t="shared" si="6"/>
        <v>11</v>
      </c>
      <c r="AC42" s="8">
        <f t="shared" si="8"/>
        <v>0.6875</v>
      </c>
      <c r="AD42" s="4"/>
      <c r="AE42" s="4"/>
      <c r="AF42" s="4"/>
    </row>
    <row r="43" spans="1:32" ht="15.75" customHeight="1" x14ac:dyDescent="0.25">
      <c r="A43" s="5" t="s">
        <v>7</v>
      </c>
      <c r="B43" s="7" t="s">
        <v>24</v>
      </c>
      <c r="C43" s="7" t="s">
        <v>1103</v>
      </c>
      <c r="D43" s="7" t="s">
        <v>1097</v>
      </c>
      <c r="E43" s="5" t="s">
        <v>58</v>
      </c>
      <c r="F43" s="7">
        <v>1</v>
      </c>
      <c r="G43" s="7">
        <v>0</v>
      </c>
      <c r="H43" s="7">
        <v>1</v>
      </c>
      <c r="I43" s="7">
        <v>1</v>
      </c>
      <c r="J43" s="7">
        <v>1</v>
      </c>
      <c r="K43" s="7">
        <v>0</v>
      </c>
      <c r="L43" s="7">
        <v>1</v>
      </c>
      <c r="M43" s="7">
        <v>1</v>
      </c>
      <c r="N43" s="7">
        <f t="shared" si="9"/>
        <v>6</v>
      </c>
      <c r="O43" s="8">
        <f t="shared" si="1"/>
        <v>0.75</v>
      </c>
      <c r="P43" s="8" t="str">
        <f t="shared" si="2"/>
        <v>ADEQUADA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0</v>
      </c>
      <c r="X43" s="7">
        <v>0</v>
      </c>
      <c r="Y43" s="7">
        <f t="shared" si="3"/>
        <v>6</v>
      </c>
      <c r="Z43" s="8">
        <f t="shared" si="10"/>
        <v>0.75</v>
      </c>
      <c r="AA43" s="14" t="str">
        <f t="shared" si="5"/>
        <v>ADEQUADA</v>
      </c>
      <c r="AB43" s="15">
        <f t="shared" si="6"/>
        <v>12</v>
      </c>
      <c r="AC43" s="8">
        <f t="shared" si="8"/>
        <v>0.75</v>
      </c>
      <c r="AD43" s="4"/>
      <c r="AE43" s="4"/>
      <c r="AF43" s="4"/>
    </row>
    <row r="44" spans="1:32" ht="15.75" customHeight="1" x14ac:dyDescent="0.25">
      <c r="A44" s="5" t="s">
        <v>7</v>
      </c>
      <c r="B44" s="7" t="s">
        <v>24</v>
      </c>
      <c r="C44" s="7" t="s">
        <v>1105</v>
      </c>
      <c r="D44" s="7" t="s">
        <v>1097</v>
      </c>
      <c r="E44" s="5" t="s">
        <v>59</v>
      </c>
      <c r="F44" s="7">
        <v>1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1</v>
      </c>
      <c r="N44" s="7">
        <f t="shared" si="9"/>
        <v>3</v>
      </c>
      <c r="O44" s="8">
        <f t="shared" si="1"/>
        <v>0.375</v>
      </c>
      <c r="P44" s="8" t="str">
        <f t="shared" si="2"/>
        <v>DEFASAGEM</v>
      </c>
      <c r="Q44" s="7">
        <v>1</v>
      </c>
      <c r="R44" s="7">
        <v>0</v>
      </c>
      <c r="S44" s="7">
        <v>0</v>
      </c>
      <c r="T44" s="7">
        <v>1</v>
      </c>
      <c r="U44" s="7">
        <v>1</v>
      </c>
      <c r="V44" s="7">
        <v>0</v>
      </c>
      <c r="W44" s="7">
        <v>1</v>
      </c>
      <c r="X44" s="7">
        <v>1</v>
      </c>
      <c r="Y44" s="7">
        <f t="shared" si="3"/>
        <v>5</v>
      </c>
      <c r="Z44" s="8">
        <f t="shared" si="10"/>
        <v>0.625</v>
      </c>
      <c r="AA44" s="14" t="str">
        <f t="shared" si="5"/>
        <v>INTERMEDIÁRIO</v>
      </c>
      <c r="AB44" s="15">
        <f t="shared" si="6"/>
        <v>8</v>
      </c>
      <c r="AC44" s="8">
        <f t="shared" si="8"/>
        <v>0.5</v>
      </c>
      <c r="AD44" s="4"/>
      <c r="AE44" s="4"/>
      <c r="AF44" s="4"/>
    </row>
    <row r="45" spans="1:32" ht="15.75" customHeight="1" x14ac:dyDescent="0.25">
      <c r="A45" s="5" t="s">
        <v>7</v>
      </c>
      <c r="B45" s="7" t="s">
        <v>24</v>
      </c>
      <c r="C45" s="7" t="s">
        <v>1103</v>
      </c>
      <c r="D45" s="7" t="s">
        <v>1097</v>
      </c>
      <c r="E45" s="5" t="s">
        <v>60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0</v>
      </c>
      <c r="L45" s="7">
        <v>0</v>
      </c>
      <c r="M45" s="7">
        <v>1</v>
      </c>
      <c r="N45" s="7">
        <f t="shared" si="9"/>
        <v>6</v>
      </c>
      <c r="O45" s="8">
        <f t="shared" si="1"/>
        <v>0.75</v>
      </c>
      <c r="P45" s="8" t="str">
        <f t="shared" si="2"/>
        <v>ADEQUADA</v>
      </c>
      <c r="Q45" s="7">
        <v>1</v>
      </c>
      <c r="R45" s="7">
        <v>1</v>
      </c>
      <c r="S45" s="7">
        <v>1</v>
      </c>
      <c r="T45" s="7">
        <v>1</v>
      </c>
      <c r="U45" s="7">
        <v>0</v>
      </c>
      <c r="V45" s="7">
        <v>1</v>
      </c>
      <c r="W45" s="7">
        <v>0</v>
      </c>
      <c r="X45" s="7">
        <v>1</v>
      </c>
      <c r="Y45" s="7">
        <f t="shared" si="3"/>
        <v>6</v>
      </c>
      <c r="Z45" s="8">
        <f t="shared" si="10"/>
        <v>0.75</v>
      </c>
      <c r="AA45" s="14" t="str">
        <f t="shared" si="5"/>
        <v>ADEQUADA</v>
      </c>
      <c r="AB45" s="15">
        <f t="shared" si="6"/>
        <v>12</v>
      </c>
      <c r="AC45" s="8">
        <f t="shared" si="8"/>
        <v>0.75</v>
      </c>
      <c r="AD45" s="4"/>
      <c r="AE45" s="4"/>
      <c r="AF45" s="4"/>
    </row>
    <row r="46" spans="1:32" ht="15.75" customHeight="1" x14ac:dyDescent="0.25">
      <c r="A46" s="5" t="s">
        <v>7</v>
      </c>
      <c r="B46" s="7" t="s">
        <v>24</v>
      </c>
      <c r="C46" s="7" t="s">
        <v>1103</v>
      </c>
      <c r="D46" s="7" t="s">
        <v>1097</v>
      </c>
      <c r="E46" s="5" t="s">
        <v>61</v>
      </c>
      <c r="F46" s="7">
        <v>1</v>
      </c>
      <c r="G46" s="7">
        <v>0</v>
      </c>
      <c r="H46" s="7">
        <v>1</v>
      </c>
      <c r="I46" s="7">
        <v>1</v>
      </c>
      <c r="J46" s="7">
        <v>1</v>
      </c>
      <c r="K46" s="7">
        <v>0</v>
      </c>
      <c r="L46" s="7">
        <v>0</v>
      </c>
      <c r="M46" s="7">
        <v>1</v>
      </c>
      <c r="N46" s="7">
        <f t="shared" si="9"/>
        <v>5</v>
      </c>
      <c r="O46" s="8">
        <f t="shared" si="1"/>
        <v>0.625</v>
      </c>
      <c r="P46" s="8" t="str">
        <f t="shared" si="2"/>
        <v>INTERMEDIÁRIO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0</v>
      </c>
      <c r="X46" s="7">
        <v>1</v>
      </c>
      <c r="Y46" s="7">
        <f t="shared" si="3"/>
        <v>7</v>
      </c>
      <c r="Z46" s="8">
        <f t="shared" si="10"/>
        <v>0.875</v>
      </c>
      <c r="AA46" s="14" t="str">
        <f t="shared" si="5"/>
        <v>ADEQUADA</v>
      </c>
      <c r="AB46" s="15">
        <f t="shared" si="6"/>
        <v>12</v>
      </c>
      <c r="AC46" s="8">
        <f t="shared" si="8"/>
        <v>0.75</v>
      </c>
      <c r="AD46" s="4"/>
      <c r="AE46" s="4"/>
      <c r="AF46" s="4"/>
    </row>
    <row r="47" spans="1:32" ht="15.75" customHeight="1" x14ac:dyDescent="0.25">
      <c r="A47" s="5" t="s">
        <v>7</v>
      </c>
      <c r="B47" s="7" t="s">
        <v>24</v>
      </c>
      <c r="C47" s="7" t="s">
        <v>1096</v>
      </c>
      <c r="D47" s="7" t="s">
        <v>1097</v>
      </c>
      <c r="E47" s="5" t="s">
        <v>62</v>
      </c>
      <c r="F47" s="7">
        <v>1</v>
      </c>
      <c r="G47" s="7">
        <v>0</v>
      </c>
      <c r="H47" s="7">
        <v>1</v>
      </c>
      <c r="I47" s="7">
        <v>1</v>
      </c>
      <c r="J47" s="7">
        <v>1</v>
      </c>
      <c r="K47" s="7">
        <v>0</v>
      </c>
      <c r="L47" s="7">
        <v>1</v>
      </c>
      <c r="M47" s="7">
        <v>1</v>
      </c>
      <c r="N47" s="7">
        <f t="shared" si="9"/>
        <v>6</v>
      </c>
      <c r="O47" s="8">
        <f t="shared" si="1"/>
        <v>0.75</v>
      </c>
      <c r="P47" s="8" t="str">
        <f t="shared" si="2"/>
        <v>ADEQUADA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0</v>
      </c>
      <c r="X47" s="7">
        <v>1</v>
      </c>
      <c r="Y47" s="7">
        <f t="shared" si="3"/>
        <v>7</v>
      </c>
      <c r="Z47" s="8">
        <f t="shared" si="10"/>
        <v>0.875</v>
      </c>
      <c r="AA47" s="14" t="str">
        <f t="shared" si="5"/>
        <v>ADEQUADA</v>
      </c>
      <c r="AB47" s="15">
        <f t="shared" si="6"/>
        <v>13</v>
      </c>
      <c r="AC47" s="8">
        <f t="shared" si="8"/>
        <v>0.8125</v>
      </c>
      <c r="AD47" s="4"/>
      <c r="AE47" s="4"/>
      <c r="AF47" s="4"/>
    </row>
    <row r="48" spans="1:32" ht="15.75" customHeight="1" x14ac:dyDescent="0.25">
      <c r="A48" s="5" t="s">
        <v>7</v>
      </c>
      <c r="B48" s="7" t="s">
        <v>24</v>
      </c>
      <c r="C48" s="7" t="s">
        <v>1104</v>
      </c>
      <c r="D48" s="7" t="s">
        <v>1097</v>
      </c>
      <c r="E48" s="5" t="s">
        <v>63</v>
      </c>
      <c r="F48" s="7">
        <v>1</v>
      </c>
      <c r="G48" s="7">
        <v>0</v>
      </c>
      <c r="H48" s="7">
        <v>1</v>
      </c>
      <c r="I48" s="7">
        <v>1</v>
      </c>
      <c r="J48" s="7">
        <v>1</v>
      </c>
      <c r="K48" s="7">
        <v>0</v>
      </c>
      <c r="L48" s="7">
        <v>0</v>
      </c>
      <c r="M48" s="7">
        <v>1</v>
      </c>
      <c r="N48" s="7">
        <f t="shared" si="9"/>
        <v>5</v>
      </c>
      <c r="O48" s="8">
        <f t="shared" si="1"/>
        <v>0.625</v>
      </c>
      <c r="P48" s="8" t="str">
        <f t="shared" si="2"/>
        <v>INTERMEDIÁRIO</v>
      </c>
      <c r="Q48" s="7">
        <v>0</v>
      </c>
      <c r="R48" s="7">
        <v>1</v>
      </c>
      <c r="S48" s="7">
        <v>1</v>
      </c>
      <c r="T48" s="7">
        <v>1</v>
      </c>
      <c r="U48" s="7">
        <v>0</v>
      </c>
      <c r="V48" s="7">
        <v>1</v>
      </c>
      <c r="W48" s="7">
        <v>0</v>
      </c>
      <c r="X48" s="7">
        <v>1</v>
      </c>
      <c r="Y48" s="7">
        <f t="shared" si="3"/>
        <v>5</v>
      </c>
      <c r="Z48" s="8">
        <f t="shared" si="10"/>
        <v>0.625</v>
      </c>
      <c r="AA48" s="14" t="str">
        <f t="shared" si="5"/>
        <v>INTERMEDIÁRIO</v>
      </c>
      <c r="AB48" s="15">
        <f t="shared" si="6"/>
        <v>10</v>
      </c>
      <c r="AC48" s="8">
        <f t="shared" si="8"/>
        <v>0.625</v>
      </c>
      <c r="AD48" s="4"/>
      <c r="AE48" s="4"/>
      <c r="AF48" s="4"/>
    </row>
    <row r="49" spans="1:32" ht="15.75" customHeight="1" x14ac:dyDescent="0.25">
      <c r="A49" s="5" t="s">
        <v>8</v>
      </c>
      <c r="B49" s="7" t="s">
        <v>24</v>
      </c>
      <c r="C49" s="7" t="s">
        <v>1103</v>
      </c>
      <c r="D49" s="7" t="s">
        <v>1097</v>
      </c>
      <c r="E49" s="5" t="s">
        <v>64</v>
      </c>
      <c r="F49" s="7">
        <v>1</v>
      </c>
      <c r="G49" s="7">
        <v>0</v>
      </c>
      <c r="H49" s="7">
        <v>1</v>
      </c>
      <c r="I49" s="7">
        <v>1</v>
      </c>
      <c r="J49" s="7">
        <v>1</v>
      </c>
      <c r="K49" s="7">
        <v>1</v>
      </c>
      <c r="L49" s="7">
        <v>0</v>
      </c>
      <c r="M49" s="7">
        <v>1</v>
      </c>
      <c r="N49" s="7">
        <f t="shared" si="9"/>
        <v>6</v>
      </c>
      <c r="O49" s="8">
        <f t="shared" si="1"/>
        <v>0.75</v>
      </c>
      <c r="P49" s="8" t="str">
        <f t="shared" si="2"/>
        <v>ADEQUADA</v>
      </c>
      <c r="Q49" s="7">
        <v>0</v>
      </c>
      <c r="R49" s="7">
        <v>1</v>
      </c>
      <c r="S49" s="7">
        <v>0</v>
      </c>
      <c r="T49" s="7">
        <v>1</v>
      </c>
      <c r="U49" s="7">
        <v>0</v>
      </c>
      <c r="V49" s="7">
        <v>1</v>
      </c>
      <c r="W49" s="7">
        <v>0</v>
      </c>
      <c r="X49" s="7">
        <v>1</v>
      </c>
      <c r="Y49" s="7">
        <f t="shared" si="3"/>
        <v>4</v>
      </c>
      <c r="Z49" s="8">
        <f t="shared" si="10"/>
        <v>0.5</v>
      </c>
      <c r="AA49" s="14" t="str">
        <f t="shared" si="5"/>
        <v>INTERMEDIÁRIO</v>
      </c>
      <c r="AB49" s="15">
        <f t="shared" si="6"/>
        <v>10</v>
      </c>
      <c r="AC49" s="8">
        <f t="shared" si="8"/>
        <v>0.625</v>
      </c>
      <c r="AD49" s="4"/>
      <c r="AE49" s="4"/>
      <c r="AF49" s="4"/>
    </row>
    <row r="50" spans="1:32" ht="15.75" customHeight="1" x14ac:dyDescent="0.25">
      <c r="A50" s="5" t="s">
        <v>8</v>
      </c>
      <c r="B50" s="7" t="s">
        <v>24</v>
      </c>
      <c r="C50" s="7" t="s">
        <v>1103</v>
      </c>
      <c r="D50" s="7" t="s">
        <v>1097</v>
      </c>
      <c r="E50" s="5" t="s">
        <v>65</v>
      </c>
      <c r="F50" s="7">
        <v>1</v>
      </c>
      <c r="G50" s="7">
        <v>0</v>
      </c>
      <c r="H50" s="7">
        <v>0</v>
      </c>
      <c r="I50" s="7">
        <v>0</v>
      </c>
      <c r="J50" s="7">
        <v>1</v>
      </c>
      <c r="K50" s="7">
        <v>1</v>
      </c>
      <c r="L50" s="7">
        <v>1</v>
      </c>
      <c r="M50" s="7">
        <v>1</v>
      </c>
      <c r="N50" s="7">
        <f t="shared" si="9"/>
        <v>5</v>
      </c>
      <c r="O50" s="8">
        <f t="shared" si="1"/>
        <v>0.625</v>
      </c>
      <c r="P50" s="8" t="str">
        <f t="shared" si="2"/>
        <v>INTERMEDIÁRIO</v>
      </c>
      <c r="Q50" s="7">
        <v>0</v>
      </c>
      <c r="R50" s="7">
        <v>1</v>
      </c>
      <c r="S50" s="7">
        <v>1</v>
      </c>
      <c r="T50" s="7">
        <v>1</v>
      </c>
      <c r="U50" s="7">
        <v>0</v>
      </c>
      <c r="V50" s="7">
        <v>0</v>
      </c>
      <c r="W50" s="7">
        <v>0</v>
      </c>
      <c r="X50" s="7">
        <v>1</v>
      </c>
      <c r="Y50" s="7">
        <f t="shared" si="3"/>
        <v>4</v>
      </c>
      <c r="Z50" s="8">
        <f t="shared" si="10"/>
        <v>0.5</v>
      </c>
      <c r="AA50" s="14" t="str">
        <f t="shared" si="5"/>
        <v>INTERMEDIÁRIO</v>
      </c>
      <c r="AB50" s="15">
        <f t="shared" si="6"/>
        <v>9</v>
      </c>
      <c r="AC50" s="8">
        <f t="shared" si="8"/>
        <v>0.5625</v>
      </c>
      <c r="AD50" s="4"/>
      <c r="AE50" s="4"/>
      <c r="AF50" s="4"/>
    </row>
    <row r="51" spans="1:32" ht="15.75" customHeight="1" x14ac:dyDescent="0.25">
      <c r="A51" s="5" t="s">
        <v>8</v>
      </c>
      <c r="B51" s="7" t="s">
        <v>24</v>
      </c>
      <c r="C51" s="7" t="s">
        <v>1103</v>
      </c>
      <c r="D51" s="7" t="s">
        <v>1097</v>
      </c>
      <c r="E51" s="5" t="s">
        <v>66</v>
      </c>
      <c r="F51" s="7">
        <v>1</v>
      </c>
      <c r="G51" s="7">
        <v>0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f t="shared" si="9"/>
        <v>7</v>
      </c>
      <c r="O51" s="8">
        <f t="shared" si="1"/>
        <v>0.875</v>
      </c>
      <c r="P51" s="8" t="str">
        <f t="shared" si="2"/>
        <v>ADEQUADA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f t="shared" si="3"/>
        <v>8</v>
      </c>
      <c r="Z51" s="8">
        <f t="shared" si="10"/>
        <v>1</v>
      </c>
      <c r="AA51" s="14" t="str">
        <f t="shared" si="5"/>
        <v>ADEQUADA</v>
      </c>
      <c r="AB51" s="15">
        <f t="shared" si="6"/>
        <v>15</v>
      </c>
      <c r="AC51" s="8">
        <f t="shared" si="8"/>
        <v>0.9375</v>
      </c>
      <c r="AD51" s="4"/>
      <c r="AE51" s="4"/>
      <c r="AF51" s="4"/>
    </row>
    <row r="52" spans="1:32" ht="15.75" customHeight="1" x14ac:dyDescent="0.25">
      <c r="A52" s="5" t="s">
        <v>8</v>
      </c>
      <c r="B52" s="7" t="s">
        <v>24</v>
      </c>
      <c r="C52" s="7" t="s">
        <v>1104</v>
      </c>
      <c r="D52" s="7" t="s">
        <v>1097</v>
      </c>
      <c r="E52" s="5" t="s">
        <v>67</v>
      </c>
      <c r="F52" s="7">
        <v>1</v>
      </c>
      <c r="G52" s="7">
        <v>0</v>
      </c>
      <c r="H52" s="7">
        <v>0</v>
      </c>
      <c r="I52" s="7">
        <v>1</v>
      </c>
      <c r="J52" s="7">
        <v>1</v>
      </c>
      <c r="K52" s="7">
        <v>1</v>
      </c>
      <c r="L52" s="7">
        <v>1</v>
      </c>
      <c r="M52" s="7">
        <v>0</v>
      </c>
      <c r="N52" s="7">
        <f t="shared" si="9"/>
        <v>5</v>
      </c>
      <c r="O52" s="8">
        <f t="shared" si="1"/>
        <v>0.625</v>
      </c>
      <c r="P52" s="8" t="str">
        <f t="shared" si="2"/>
        <v>INTERMEDIÁRIO</v>
      </c>
      <c r="Q52" s="7">
        <v>1</v>
      </c>
      <c r="R52" s="7">
        <v>1</v>
      </c>
      <c r="S52" s="7">
        <v>1</v>
      </c>
      <c r="T52" s="7">
        <v>1</v>
      </c>
      <c r="U52" s="7">
        <v>0</v>
      </c>
      <c r="V52" s="7">
        <v>1</v>
      </c>
      <c r="W52" s="7">
        <v>0</v>
      </c>
      <c r="X52" s="7">
        <v>0</v>
      </c>
      <c r="Y52" s="7">
        <f t="shared" si="3"/>
        <v>5</v>
      </c>
      <c r="Z52" s="8">
        <f t="shared" si="10"/>
        <v>0.625</v>
      </c>
      <c r="AA52" s="14" t="str">
        <f t="shared" si="5"/>
        <v>INTERMEDIÁRIO</v>
      </c>
      <c r="AB52" s="15">
        <f t="shared" si="6"/>
        <v>10</v>
      </c>
      <c r="AC52" s="8">
        <f t="shared" si="8"/>
        <v>0.625</v>
      </c>
      <c r="AD52" s="4"/>
      <c r="AE52" s="4"/>
      <c r="AF52" s="4"/>
    </row>
    <row r="53" spans="1:32" ht="15.75" customHeight="1" x14ac:dyDescent="0.25">
      <c r="A53" s="5" t="s">
        <v>8</v>
      </c>
      <c r="B53" s="7" t="s">
        <v>24</v>
      </c>
      <c r="C53" s="7" t="s">
        <v>1096</v>
      </c>
      <c r="D53" s="7" t="s">
        <v>1097</v>
      </c>
      <c r="E53" s="5" t="s">
        <v>68</v>
      </c>
      <c r="F53" s="7">
        <v>1</v>
      </c>
      <c r="G53" s="7">
        <v>1</v>
      </c>
      <c r="H53" s="7">
        <v>1</v>
      </c>
      <c r="I53" s="7">
        <v>0</v>
      </c>
      <c r="J53" s="7">
        <v>1</v>
      </c>
      <c r="K53" s="7">
        <v>0</v>
      </c>
      <c r="L53" s="7">
        <v>1</v>
      </c>
      <c r="M53" s="7">
        <v>1</v>
      </c>
      <c r="N53" s="7">
        <f t="shared" si="9"/>
        <v>6</v>
      </c>
      <c r="O53" s="8">
        <f t="shared" si="1"/>
        <v>0.75</v>
      </c>
      <c r="P53" s="8" t="str">
        <f t="shared" si="2"/>
        <v>ADEQUADA</v>
      </c>
      <c r="Q53" s="7">
        <v>1</v>
      </c>
      <c r="R53" s="7">
        <v>1</v>
      </c>
      <c r="S53" s="7">
        <v>0</v>
      </c>
      <c r="T53" s="7">
        <v>1</v>
      </c>
      <c r="U53" s="7">
        <v>1</v>
      </c>
      <c r="V53" s="7">
        <v>1</v>
      </c>
      <c r="W53" s="7">
        <v>0</v>
      </c>
      <c r="X53" s="7">
        <v>1</v>
      </c>
      <c r="Y53" s="7">
        <f t="shared" si="3"/>
        <v>6</v>
      </c>
      <c r="Z53" s="8">
        <f t="shared" si="10"/>
        <v>0.75</v>
      </c>
      <c r="AA53" s="14" t="str">
        <f t="shared" si="5"/>
        <v>ADEQUADA</v>
      </c>
      <c r="AB53" s="15">
        <f t="shared" si="6"/>
        <v>12</v>
      </c>
      <c r="AC53" s="8">
        <f t="shared" si="8"/>
        <v>0.75</v>
      </c>
      <c r="AD53" s="4"/>
      <c r="AE53" s="4"/>
      <c r="AF53" s="4"/>
    </row>
    <row r="54" spans="1:32" ht="15.75" customHeight="1" x14ac:dyDescent="0.25">
      <c r="A54" s="5" t="s">
        <v>8</v>
      </c>
      <c r="B54" s="7" t="s">
        <v>24</v>
      </c>
      <c r="C54" s="7" t="s">
        <v>1099</v>
      </c>
      <c r="D54" s="7" t="s">
        <v>1100</v>
      </c>
      <c r="E54" s="5" t="s">
        <v>1108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8">
        <v>0</v>
      </c>
      <c r="P54" s="8" t="str">
        <f t="shared" si="2"/>
        <v>DEFASAGEM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f t="shared" si="3"/>
        <v>0</v>
      </c>
      <c r="Z54" s="8">
        <f t="shared" si="10"/>
        <v>0</v>
      </c>
      <c r="AA54" s="14" t="str">
        <f t="shared" si="5"/>
        <v>DEFASAGEM</v>
      </c>
      <c r="AB54" s="15">
        <f t="shared" si="6"/>
        <v>0</v>
      </c>
      <c r="AC54" s="8">
        <f t="shared" si="8"/>
        <v>0</v>
      </c>
      <c r="AD54" s="4"/>
      <c r="AE54" s="4"/>
      <c r="AF54" s="4"/>
    </row>
    <row r="55" spans="1:32" ht="15.75" customHeight="1" x14ac:dyDescent="0.25">
      <c r="A55" s="5" t="s">
        <v>8</v>
      </c>
      <c r="B55" s="7" t="s">
        <v>24</v>
      </c>
      <c r="C55" s="7" t="s">
        <v>1103</v>
      </c>
      <c r="D55" s="7" t="s">
        <v>1097</v>
      </c>
      <c r="E55" s="5" t="s">
        <v>69</v>
      </c>
      <c r="F55" s="7">
        <v>1</v>
      </c>
      <c r="G55" s="7">
        <v>0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f t="shared" ref="N55:N89" si="11">SUM(F55:M55)</f>
        <v>7</v>
      </c>
      <c r="O55" s="8">
        <f t="shared" ref="O55:O118" si="12">((N55*100)/8)/100</f>
        <v>0.875</v>
      </c>
      <c r="P55" s="8" t="str">
        <f t="shared" si="2"/>
        <v>ADEQUADA</v>
      </c>
      <c r="Q55" s="7">
        <v>1</v>
      </c>
      <c r="R55" s="7">
        <v>1</v>
      </c>
      <c r="S55" s="7">
        <v>1</v>
      </c>
      <c r="T55" s="7">
        <v>0</v>
      </c>
      <c r="U55" s="7">
        <v>1</v>
      </c>
      <c r="V55" s="7">
        <v>1</v>
      </c>
      <c r="W55" s="7">
        <v>1</v>
      </c>
      <c r="X55" s="7">
        <v>0</v>
      </c>
      <c r="Y55" s="7">
        <f t="shared" si="3"/>
        <v>6</v>
      </c>
      <c r="Z55" s="8">
        <f t="shared" si="10"/>
        <v>0.75</v>
      </c>
      <c r="AA55" s="14" t="str">
        <f t="shared" si="5"/>
        <v>ADEQUADA</v>
      </c>
      <c r="AB55" s="15">
        <f t="shared" si="6"/>
        <v>13</v>
      </c>
      <c r="AC55" s="8">
        <f t="shared" si="8"/>
        <v>0.8125</v>
      </c>
      <c r="AD55" s="4"/>
      <c r="AE55" s="4"/>
      <c r="AF55" s="4"/>
    </row>
    <row r="56" spans="1:32" ht="15.75" customHeight="1" x14ac:dyDescent="0.25">
      <c r="A56" s="5" t="s">
        <v>8</v>
      </c>
      <c r="B56" s="7" t="s">
        <v>24</v>
      </c>
      <c r="C56" s="7" t="s">
        <v>1105</v>
      </c>
      <c r="D56" s="7" t="s">
        <v>1097</v>
      </c>
      <c r="E56" s="5" t="s">
        <v>70</v>
      </c>
      <c r="F56" s="7">
        <v>1</v>
      </c>
      <c r="G56" s="7">
        <v>0</v>
      </c>
      <c r="H56" s="7">
        <v>1</v>
      </c>
      <c r="I56" s="7">
        <v>0</v>
      </c>
      <c r="J56" s="7">
        <v>1</v>
      </c>
      <c r="K56" s="7">
        <v>0</v>
      </c>
      <c r="L56" s="7">
        <v>1</v>
      </c>
      <c r="M56" s="7">
        <v>0</v>
      </c>
      <c r="N56" s="7">
        <f t="shared" si="11"/>
        <v>4</v>
      </c>
      <c r="O56" s="8">
        <f t="shared" si="12"/>
        <v>0.5</v>
      </c>
      <c r="P56" s="8" t="str">
        <f t="shared" si="2"/>
        <v>INTERMEDIÁRIO</v>
      </c>
      <c r="Q56" s="7">
        <v>1</v>
      </c>
      <c r="R56" s="7">
        <v>1</v>
      </c>
      <c r="S56" s="7">
        <v>0</v>
      </c>
      <c r="T56" s="7">
        <v>1</v>
      </c>
      <c r="U56" s="7">
        <v>0</v>
      </c>
      <c r="V56" s="7">
        <v>1</v>
      </c>
      <c r="W56" s="7">
        <v>0</v>
      </c>
      <c r="X56" s="7">
        <v>1</v>
      </c>
      <c r="Y56" s="7">
        <f t="shared" si="3"/>
        <v>5</v>
      </c>
      <c r="Z56" s="8">
        <f t="shared" si="10"/>
        <v>0.625</v>
      </c>
      <c r="AA56" s="14" t="str">
        <f t="shared" si="5"/>
        <v>INTERMEDIÁRIO</v>
      </c>
      <c r="AB56" s="15">
        <f t="shared" si="6"/>
        <v>9</v>
      </c>
      <c r="AC56" s="8">
        <f t="shared" si="8"/>
        <v>0.5625</v>
      </c>
      <c r="AD56" s="4"/>
      <c r="AE56" s="4"/>
      <c r="AF56" s="4"/>
    </row>
    <row r="57" spans="1:32" ht="15.75" customHeight="1" x14ac:dyDescent="0.25">
      <c r="A57" s="5" t="s">
        <v>8</v>
      </c>
      <c r="B57" s="7" t="s">
        <v>24</v>
      </c>
      <c r="C57" s="7" t="s">
        <v>1104</v>
      </c>
      <c r="D57" s="7" t="s">
        <v>1097</v>
      </c>
      <c r="E57" s="5" t="s">
        <v>71</v>
      </c>
      <c r="F57" s="7">
        <v>1</v>
      </c>
      <c r="G57" s="7">
        <v>0</v>
      </c>
      <c r="H57" s="7">
        <v>1</v>
      </c>
      <c r="I57" s="7">
        <v>0</v>
      </c>
      <c r="J57" s="7">
        <v>1</v>
      </c>
      <c r="K57" s="7">
        <v>1</v>
      </c>
      <c r="L57" s="7">
        <v>1</v>
      </c>
      <c r="M57" s="7">
        <v>1</v>
      </c>
      <c r="N57" s="7">
        <f t="shared" si="11"/>
        <v>6</v>
      </c>
      <c r="O57" s="8">
        <f t="shared" si="12"/>
        <v>0.75</v>
      </c>
      <c r="P57" s="8" t="str">
        <f t="shared" si="2"/>
        <v>ADEQUADA</v>
      </c>
      <c r="Q57" s="7">
        <v>0</v>
      </c>
      <c r="R57" s="7">
        <v>1</v>
      </c>
      <c r="S57" s="7">
        <v>0</v>
      </c>
      <c r="T57" s="7">
        <v>1</v>
      </c>
      <c r="U57" s="7">
        <v>0</v>
      </c>
      <c r="V57" s="7">
        <v>1</v>
      </c>
      <c r="W57" s="7">
        <v>0</v>
      </c>
      <c r="X57" s="7">
        <v>0</v>
      </c>
      <c r="Y57" s="7">
        <f t="shared" si="3"/>
        <v>3</v>
      </c>
      <c r="Z57" s="8">
        <f t="shared" si="10"/>
        <v>0.375</v>
      </c>
      <c r="AA57" s="14" t="str">
        <f t="shared" si="5"/>
        <v>DEFASAGEM</v>
      </c>
      <c r="AB57" s="15">
        <f t="shared" si="6"/>
        <v>9</v>
      </c>
      <c r="AC57" s="8">
        <f t="shared" si="8"/>
        <v>0.5625</v>
      </c>
      <c r="AD57" s="4"/>
      <c r="AE57" s="4"/>
      <c r="AF57" s="4"/>
    </row>
    <row r="58" spans="1:32" ht="15.75" customHeight="1" x14ac:dyDescent="0.25">
      <c r="A58" s="5" t="s">
        <v>8</v>
      </c>
      <c r="B58" s="7" t="s">
        <v>24</v>
      </c>
      <c r="C58" s="7" t="s">
        <v>1103</v>
      </c>
      <c r="D58" s="7" t="s">
        <v>1097</v>
      </c>
      <c r="E58" s="5" t="s">
        <v>72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f t="shared" si="11"/>
        <v>8</v>
      </c>
      <c r="O58" s="8">
        <f t="shared" si="12"/>
        <v>1</v>
      </c>
      <c r="P58" s="8" t="str">
        <f t="shared" si="2"/>
        <v>ADEQUADA</v>
      </c>
      <c r="Q58" s="7">
        <v>1</v>
      </c>
      <c r="R58" s="7">
        <v>1</v>
      </c>
      <c r="S58" s="7">
        <v>0</v>
      </c>
      <c r="T58" s="7">
        <v>1</v>
      </c>
      <c r="U58" s="7">
        <v>1</v>
      </c>
      <c r="V58" s="7">
        <v>1</v>
      </c>
      <c r="W58" s="7">
        <v>0</v>
      </c>
      <c r="X58" s="7">
        <v>0</v>
      </c>
      <c r="Y58" s="7">
        <f t="shared" si="3"/>
        <v>5</v>
      </c>
      <c r="Z58" s="8">
        <f t="shared" si="10"/>
        <v>0.625</v>
      </c>
      <c r="AA58" s="14" t="str">
        <f t="shared" si="5"/>
        <v>INTERMEDIÁRIO</v>
      </c>
      <c r="AB58" s="15">
        <f t="shared" si="6"/>
        <v>13</v>
      </c>
      <c r="AC58" s="8">
        <f t="shared" si="8"/>
        <v>0.8125</v>
      </c>
      <c r="AD58" s="4"/>
      <c r="AE58" s="4"/>
      <c r="AF58" s="4"/>
    </row>
    <row r="59" spans="1:32" ht="15.75" customHeight="1" x14ac:dyDescent="0.25">
      <c r="A59" s="5" t="s">
        <v>8</v>
      </c>
      <c r="B59" s="7" t="s">
        <v>24</v>
      </c>
      <c r="C59" s="7" t="s">
        <v>1096</v>
      </c>
      <c r="D59" s="7" t="s">
        <v>1097</v>
      </c>
      <c r="E59" s="5" t="s">
        <v>73</v>
      </c>
      <c r="F59" s="7">
        <v>1</v>
      </c>
      <c r="G59" s="7">
        <v>0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f t="shared" si="11"/>
        <v>7</v>
      </c>
      <c r="O59" s="8">
        <f t="shared" si="12"/>
        <v>0.875</v>
      </c>
      <c r="P59" s="8" t="str">
        <f t="shared" si="2"/>
        <v>ADEQUADA</v>
      </c>
      <c r="Q59" s="7">
        <v>1</v>
      </c>
      <c r="R59" s="7">
        <v>0</v>
      </c>
      <c r="S59" s="7">
        <v>0</v>
      </c>
      <c r="T59" s="7">
        <v>1</v>
      </c>
      <c r="U59" s="7">
        <v>0</v>
      </c>
      <c r="V59" s="7">
        <v>1</v>
      </c>
      <c r="W59" s="7">
        <v>0</v>
      </c>
      <c r="X59" s="7">
        <v>1</v>
      </c>
      <c r="Y59" s="7">
        <f t="shared" si="3"/>
        <v>4</v>
      </c>
      <c r="Z59" s="8">
        <f t="shared" si="10"/>
        <v>0.5</v>
      </c>
      <c r="AA59" s="14" t="str">
        <f t="shared" si="5"/>
        <v>INTERMEDIÁRIO</v>
      </c>
      <c r="AB59" s="15">
        <f t="shared" si="6"/>
        <v>11</v>
      </c>
      <c r="AC59" s="8">
        <f t="shared" si="8"/>
        <v>0.6875</v>
      </c>
      <c r="AD59" s="4"/>
      <c r="AE59" s="4"/>
      <c r="AF59" s="4"/>
    </row>
    <row r="60" spans="1:32" ht="15.75" customHeight="1" x14ac:dyDescent="0.25">
      <c r="A60" s="5" t="s">
        <v>8</v>
      </c>
      <c r="B60" s="7" t="s">
        <v>24</v>
      </c>
      <c r="C60" s="7" t="s">
        <v>1103</v>
      </c>
      <c r="D60" s="7" t="s">
        <v>1097</v>
      </c>
      <c r="E60" s="5" t="s">
        <v>74</v>
      </c>
      <c r="F60" s="7">
        <v>1</v>
      </c>
      <c r="G60" s="7">
        <v>1</v>
      </c>
      <c r="H60" s="7">
        <v>0</v>
      </c>
      <c r="I60" s="7">
        <v>0</v>
      </c>
      <c r="J60" s="7">
        <v>1</v>
      </c>
      <c r="K60" s="7">
        <v>0</v>
      </c>
      <c r="L60" s="7">
        <v>0</v>
      </c>
      <c r="M60" s="7">
        <v>1</v>
      </c>
      <c r="N60" s="7">
        <f t="shared" si="11"/>
        <v>4</v>
      </c>
      <c r="O60" s="8">
        <f t="shared" si="12"/>
        <v>0.5</v>
      </c>
      <c r="P60" s="8" t="str">
        <f t="shared" si="2"/>
        <v>INTERMEDIÁRIO</v>
      </c>
      <c r="Q60" s="7">
        <v>1</v>
      </c>
      <c r="R60" s="7">
        <v>1</v>
      </c>
      <c r="S60" s="7">
        <v>0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f t="shared" si="3"/>
        <v>7</v>
      </c>
      <c r="Z60" s="8">
        <f t="shared" si="10"/>
        <v>0.875</v>
      </c>
      <c r="AA60" s="14" t="str">
        <f t="shared" si="5"/>
        <v>ADEQUADA</v>
      </c>
      <c r="AB60" s="15">
        <f t="shared" si="6"/>
        <v>11</v>
      </c>
      <c r="AC60" s="8">
        <f t="shared" si="8"/>
        <v>0.6875</v>
      </c>
      <c r="AD60" s="4"/>
      <c r="AE60" s="4"/>
      <c r="AF60" s="4"/>
    </row>
    <row r="61" spans="1:32" ht="15.75" customHeight="1" x14ac:dyDescent="0.25">
      <c r="A61" s="5" t="s">
        <v>8</v>
      </c>
      <c r="B61" s="7" t="s">
        <v>24</v>
      </c>
      <c r="C61" s="7" t="s">
        <v>1104</v>
      </c>
      <c r="D61" s="7" t="s">
        <v>1097</v>
      </c>
      <c r="E61" s="5" t="s">
        <v>75</v>
      </c>
      <c r="F61" s="7">
        <v>0</v>
      </c>
      <c r="G61" s="7">
        <v>0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0</v>
      </c>
      <c r="N61" s="7">
        <f t="shared" si="11"/>
        <v>5</v>
      </c>
      <c r="O61" s="8">
        <f t="shared" si="12"/>
        <v>0.625</v>
      </c>
      <c r="P61" s="8" t="str">
        <f t="shared" si="2"/>
        <v>INTERMEDIÁRIO</v>
      </c>
      <c r="Q61" s="7">
        <v>1</v>
      </c>
      <c r="R61" s="7">
        <v>1</v>
      </c>
      <c r="S61" s="7">
        <v>0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f t="shared" si="3"/>
        <v>7</v>
      </c>
      <c r="Z61" s="8">
        <f t="shared" si="10"/>
        <v>0.875</v>
      </c>
      <c r="AA61" s="14" t="str">
        <f t="shared" si="5"/>
        <v>ADEQUADA</v>
      </c>
      <c r="AB61" s="15">
        <f t="shared" si="6"/>
        <v>12</v>
      </c>
      <c r="AC61" s="8">
        <f t="shared" si="8"/>
        <v>0.75</v>
      </c>
      <c r="AD61" s="4"/>
      <c r="AE61" s="4"/>
      <c r="AF61" s="4"/>
    </row>
    <row r="62" spans="1:32" ht="15.75" customHeight="1" x14ac:dyDescent="0.25">
      <c r="A62" s="5" t="s">
        <v>8</v>
      </c>
      <c r="B62" s="7" t="s">
        <v>24</v>
      </c>
      <c r="C62" s="7" t="s">
        <v>1096</v>
      </c>
      <c r="D62" s="7" t="s">
        <v>1097</v>
      </c>
      <c r="E62" s="5" t="s">
        <v>76</v>
      </c>
      <c r="F62" s="7">
        <v>1</v>
      </c>
      <c r="G62" s="7">
        <v>1</v>
      </c>
      <c r="H62" s="7">
        <v>1</v>
      </c>
      <c r="I62" s="7">
        <v>0</v>
      </c>
      <c r="J62" s="7">
        <v>1</v>
      </c>
      <c r="K62" s="7">
        <v>1</v>
      </c>
      <c r="L62" s="7">
        <v>1</v>
      </c>
      <c r="M62" s="7">
        <v>1</v>
      </c>
      <c r="N62" s="7">
        <f t="shared" si="11"/>
        <v>7</v>
      </c>
      <c r="O62" s="8">
        <f t="shared" si="12"/>
        <v>0.875</v>
      </c>
      <c r="P62" s="8" t="str">
        <f t="shared" si="2"/>
        <v>ADEQUADA</v>
      </c>
      <c r="Q62" s="7">
        <v>0</v>
      </c>
      <c r="R62" s="7">
        <v>1</v>
      </c>
      <c r="S62" s="7">
        <v>0</v>
      </c>
      <c r="T62" s="7">
        <v>1</v>
      </c>
      <c r="U62" s="7">
        <v>1</v>
      </c>
      <c r="V62" s="7">
        <v>1</v>
      </c>
      <c r="W62" s="7">
        <v>0</v>
      </c>
      <c r="X62" s="7">
        <v>1</v>
      </c>
      <c r="Y62" s="7">
        <f t="shared" si="3"/>
        <v>5</v>
      </c>
      <c r="Z62" s="8">
        <f t="shared" si="10"/>
        <v>0.625</v>
      </c>
      <c r="AA62" s="14" t="str">
        <f t="shared" si="5"/>
        <v>INTERMEDIÁRIO</v>
      </c>
      <c r="AB62" s="15">
        <f t="shared" si="6"/>
        <v>12</v>
      </c>
      <c r="AC62" s="8">
        <f t="shared" si="8"/>
        <v>0.75</v>
      </c>
      <c r="AD62" s="4"/>
      <c r="AE62" s="4"/>
      <c r="AF62" s="4"/>
    </row>
    <row r="63" spans="1:32" ht="15.75" customHeight="1" x14ac:dyDescent="0.25">
      <c r="A63" s="5" t="s">
        <v>9</v>
      </c>
      <c r="B63" s="7" t="s">
        <v>24</v>
      </c>
      <c r="C63" s="7" t="s">
        <v>1104</v>
      </c>
      <c r="D63" s="7" t="s">
        <v>1097</v>
      </c>
      <c r="E63" s="5" t="s">
        <v>77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0</v>
      </c>
      <c r="L63" s="7">
        <v>1</v>
      </c>
      <c r="M63" s="7">
        <v>1</v>
      </c>
      <c r="N63" s="7">
        <f t="shared" si="11"/>
        <v>7</v>
      </c>
      <c r="O63" s="8">
        <f t="shared" si="12"/>
        <v>0.875</v>
      </c>
      <c r="P63" s="8" t="str">
        <f t="shared" si="2"/>
        <v>ADEQUADA</v>
      </c>
      <c r="Q63" s="7">
        <v>1</v>
      </c>
      <c r="R63" s="7">
        <v>1</v>
      </c>
      <c r="S63" s="7">
        <v>1</v>
      </c>
      <c r="T63" s="7">
        <v>1</v>
      </c>
      <c r="U63" s="7">
        <v>0</v>
      </c>
      <c r="V63" s="7">
        <v>1</v>
      </c>
      <c r="W63" s="7">
        <v>0</v>
      </c>
      <c r="X63" s="7">
        <v>1</v>
      </c>
      <c r="Y63" s="7">
        <f t="shared" si="3"/>
        <v>6</v>
      </c>
      <c r="Z63" s="8">
        <f t="shared" si="10"/>
        <v>0.75</v>
      </c>
      <c r="AA63" s="14" t="str">
        <f t="shared" si="5"/>
        <v>ADEQUADA</v>
      </c>
      <c r="AB63" s="15">
        <f t="shared" si="6"/>
        <v>13</v>
      </c>
      <c r="AC63" s="8">
        <f t="shared" si="8"/>
        <v>0.8125</v>
      </c>
      <c r="AD63" s="4"/>
      <c r="AE63" s="4"/>
      <c r="AF63" s="4"/>
    </row>
    <row r="64" spans="1:32" ht="15.75" customHeight="1" x14ac:dyDescent="0.25">
      <c r="A64" s="5" t="s">
        <v>9</v>
      </c>
      <c r="B64" s="7" t="s">
        <v>24</v>
      </c>
      <c r="C64" s="7" t="s">
        <v>1104</v>
      </c>
      <c r="D64" s="7" t="s">
        <v>1097</v>
      </c>
      <c r="E64" s="5" t="s">
        <v>78</v>
      </c>
      <c r="F64" s="7">
        <v>1</v>
      </c>
      <c r="G64" s="7">
        <v>1</v>
      </c>
      <c r="H64" s="7">
        <v>1</v>
      </c>
      <c r="I64" s="7">
        <v>1</v>
      </c>
      <c r="J64" s="7">
        <v>0</v>
      </c>
      <c r="K64" s="7">
        <v>1</v>
      </c>
      <c r="L64" s="7">
        <v>1</v>
      </c>
      <c r="M64" s="7">
        <v>0</v>
      </c>
      <c r="N64" s="7">
        <f t="shared" si="11"/>
        <v>6</v>
      </c>
      <c r="O64" s="8">
        <f t="shared" si="12"/>
        <v>0.75</v>
      </c>
      <c r="P64" s="8" t="str">
        <f t="shared" si="2"/>
        <v>ADEQUADA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0</v>
      </c>
      <c r="X64" s="7">
        <v>1</v>
      </c>
      <c r="Y64" s="7">
        <f t="shared" si="3"/>
        <v>7</v>
      </c>
      <c r="Z64" s="8">
        <f t="shared" si="10"/>
        <v>0.875</v>
      </c>
      <c r="AA64" s="14" t="str">
        <f t="shared" si="5"/>
        <v>ADEQUADA</v>
      </c>
      <c r="AB64" s="15">
        <f t="shared" si="6"/>
        <v>13</v>
      </c>
      <c r="AC64" s="8">
        <f t="shared" si="8"/>
        <v>0.8125</v>
      </c>
      <c r="AD64" s="4"/>
      <c r="AE64" s="4"/>
      <c r="AF64" s="4"/>
    </row>
    <row r="65" spans="1:32" ht="15.75" customHeight="1" x14ac:dyDescent="0.25">
      <c r="A65" s="5" t="s">
        <v>9</v>
      </c>
      <c r="B65" s="7" t="s">
        <v>24</v>
      </c>
      <c r="C65" s="7" t="s">
        <v>1104</v>
      </c>
      <c r="D65" s="7" t="s">
        <v>1097</v>
      </c>
      <c r="E65" s="5" t="s">
        <v>79</v>
      </c>
      <c r="F65" s="7">
        <v>0</v>
      </c>
      <c r="G65" s="7">
        <v>1</v>
      </c>
      <c r="H65" s="7">
        <v>1</v>
      </c>
      <c r="I65" s="7">
        <v>0</v>
      </c>
      <c r="J65" s="7">
        <v>0</v>
      </c>
      <c r="K65" s="7">
        <v>1</v>
      </c>
      <c r="L65" s="7">
        <v>0</v>
      </c>
      <c r="M65" s="7">
        <v>1</v>
      </c>
      <c r="N65" s="7">
        <f t="shared" si="11"/>
        <v>4</v>
      </c>
      <c r="O65" s="8">
        <f t="shared" si="12"/>
        <v>0.5</v>
      </c>
      <c r="P65" s="8" t="str">
        <f t="shared" si="2"/>
        <v>INTERMEDIÁRIO</v>
      </c>
      <c r="Q65" s="7">
        <v>1</v>
      </c>
      <c r="R65" s="7">
        <v>1</v>
      </c>
      <c r="S65" s="7">
        <v>0</v>
      </c>
      <c r="T65" s="7">
        <v>1</v>
      </c>
      <c r="U65" s="7">
        <v>0</v>
      </c>
      <c r="V65" s="7">
        <v>1</v>
      </c>
      <c r="W65" s="7">
        <v>0</v>
      </c>
      <c r="X65" s="7">
        <v>1</v>
      </c>
      <c r="Y65" s="7">
        <f t="shared" si="3"/>
        <v>5</v>
      </c>
      <c r="Z65" s="8">
        <f t="shared" si="10"/>
        <v>0.625</v>
      </c>
      <c r="AA65" s="14" t="str">
        <f t="shared" si="5"/>
        <v>INTERMEDIÁRIO</v>
      </c>
      <c r="AB65" s="15">
        <f t="shared" si="6"/>
        <v>9</v>
      </c>
      <c r="AC65" s="8">
        <f t="shared" si="8"/>
        <v>0.5625</v>
      </c>
      <c r="AD65" s="4"/>
      <c r="AE65" s="4"/>
      <c r="AF65" s="4"/>
    </row>
    <row r="66" spans="1:32" ht="15.75" customHeight="1" x14ac:dyDescent="0.25">
      <c r="A66" s="5" t="s">
        <v>9</v>
      </c>
      <c r="B66" s="7" t="s">
        <v>24</v>
      </c>
      <c r="C66" s="7" t="s">
        <v>1103</v>
      </c>
      <c r="D66" s="7" t="s">
        <v>1097</v>
      </c>
      <c r="E66" s="5" t="s">
        <v>80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f t="shared" si="11"/>
        <v>8</v>
      </c>
      <c r="O66" s="8">
        <f t="shared" si="12"/>
        <v>1</v>
      </c>
      <c r="P66" s="8" t="str">
        <f t="shared" si="2"/>
        <v>ADEQUADA</v>
      </c>
      <c r="Q66" s="7">
        <v>1</v>
      </c>
      <c r="R66" s="7">
        <v>1</v>
      </c>
      <c r="S66" s="7">
        <v>0</v>
      </c>
      <c r="T66" s="7">
        <v>1</v>
      </c>
      <c r="U66" s="7">
        <v>0</v>
      </c>
      <c r="V66" s="7">
        <v>1</v>
      </c>
      <c r="W66" s="7">
        <v>0</v>
      </c>
      <c r="X66" s="7">
        <v>1</v>
      </c>
      <c r="Y66" s="7">
        <f t="shared" si="3"/>
        <v>5</v>
      </c>
      <c r="Z66" s="8">
        <f t="shared" si="10"/>
        <v>0.625</v>
      </c>
      <c r="AA66" s="14" t="str">
        <f t="shared" si="5"/>
        <v>INTERMEDIÁRIO</v>
      </c>
      <c r="AB66" s="15">
        <f t="shared" si="6"/>
        <v>13</v>
      </c>
      <c r="AC66" s="8">
        <f t="shared" si="8"/>
        <v>0.8125</v>
      </c>
      <c r="AD66" s="4"/>
      <c r="AE66" s="4"/>
      <c r="AF66" s="4"/>
    </row>
    <row r="67" spans="1:32" ht="15.75" customHeight="1" x14ac:dyDescent="0.25">
      <c r="A67" s="5" t="s">
        <v>9</v>
      </c>
      <c r="B67" s="7" t="s">
        <v>24</v>
      </c>
      <c r="C67" s="7" t="s">
        <v>1096</v>
      </c>
      <c r="D67" s="7" t="s">
        <v>1097</v>
      </c>
      <c r="E67" s="5" t="s">
        <v>81</v>
      </c>
      <c r="F67" s="7">
        <v>1</v>
      </c>
      <c r="G67" s="7">
        <v>1</v>
      </c>
      <c r="H67" s="7">
        <v>1</v>
      </c>
      <c r="I67" s="7">
        <v>0</v>
      </c>
      <c r="J67" s="7">
        <v>1</v>
      </c>
      <c r="K67" s="7">
        <v>0</v>
      </c>
      <c r="L67" s="7">
        <v>1</v>
      </c>
      <c r="M67" s="7">
        <v>1</v>
      </c>
      <c r="N67" s="7">
        <f t="shared" si="11"/>
        <v>6</v>
      </c>
      <c r="O67" s="8">
        <f t="shared" si="12"/>
        <v>0.75</v>
      </c>
      <c r="P67" s="8" t="str">
        <f t="shared" si="2"/>
        <v>ADEQUADA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f t="shared" si="3"/>
        <v>8</v>
      </c>
      <c r="Z67" s="8">
        <f t="shared" si="10"/>
        <v>1</v>
      </c>
      <c r="AA67" s="14" t="str">
        <f t="shared" si="5"/>
        <v>ADEQUADA</v>
      </c>
      <c r="AB67" s="15">
        <f t="shared" si="6"/>
        <v>14</v>
      </c>
      <c r="AC67" s="8">
        <f t="shared" si="8"/>
        <v>0.875</v>
      </c>
      <c r="AD67" s="4"/>
      <c r="AE67" s="4"/>
      <c r="AF67" s="4"/>
    </row>
    <row r="68" spans="1:32" ht="15.75" customHeight="1" x14ac:dyDescent="0.25">
      <c r="A68" s="5" t="s">
        <v>9</v>
      </c>
      <c r="B68" s="7" t="s">
        <v>24</v>
      </c>
      <c r="C68" s="7" t="s">
        <v>1104</v>
      </c>
      <c r="D68" s="7" t="s">
        <v>1097</v>
      </c>
      <c r="E68" s="5" t="s">
        <v>82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f t="shared" si="11"/>
        <v>8</v>
      </c>
      <c r="O68" s="8">
        <f t="shared" si="12"/>
        <v>1</v>
      </c>
      <c r="P68" s="8" t="str">
        <f t="shared" ref="P68:P131" si="13">IF(O68&lt;0.4,"DEFASAGEM",IF(O68&lt;0.7,"INTERMEDIÁRIO","ADEQUADA"))</f>
        <v>ADEQUADA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0</v>
      </c>
      <c r="X68" s="7">
        <v>1</v>
      </c>
      <c r="Y68" s="7">
        <f t="shared" ref="Y68:Y131" si="14">SUM(Q68:X68)</f>
        <v>7</v>
      </c>
      <c r="Z68" s="8">
        <f t="shared" si="10"/>
        <v>0.875</v>
      </c>
      <c r="AA68" s="14" t="str">
        <f t="shared" ref="AA68:AA131" si="15">IF(Z68&lt;0.4,"DEFASAGEM",IF(Z68&lt;0.7,"INTERMEDIÁRIO","ADEQUADA"))</f>
        <v>ADEQUADA</v>
      </c>
      <c r="AB68" s="15">
        <f t="shared" ref="AB68:AB131" si="16">SUM(F68:M68)+SUM(Q68:X68)</f>
        <v>15</v>
      </c>
      <c r="AC68" s="8">
        <f t="shared" si="8"/>
        <v>0.9375</v>
      </c>
      <c r="AD68" s="4"/>
      <c r="AE68" s="4"/>
      <c r="AF68" s="4"/>
    </row>
    <row r="69" spans="1:32" ht="15.75" customHeight="1" x14ac:dyDescent="0.25">
      <c r="A69" s="5" t="s">
        <v>9</v>
      </c>
      <c r="B69" s="7" t="s">
        <v>24</v>
      </c>
      <c r="C69" s="7" t="s">
        <v>1105</v>
      </c>
      <c r="D69" s="7" t="s">
        <v>1097</v>
      </c>
      <c r="E69" s="5" t="s">
        <v>83</v>
      </c>
      <c r="F69" s="7">
        <v>1</v>
      </c>
      <c r="G69" s="7">
        <v>0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f t="shared" si="11"/>
        <v>7</v>
      </c>
      <c r="O69" s="8">
        <f t="shared" si="12"/>
        <v>0.875</v>
      </c>
      <c r="P69" s="8" t="str">
        <f t="shared" si="13"/>
        <v>ADEQUADA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0</v>
      </c>
      <c r="X69" s="7">
        <v>1</v>
      </c>
      <c r="Y69" s="7">
        <f t="shared" si="14"/>
        <v>7</v>
      </c>
      <c r="Z69" s="8">
        <f t="shared" si="10"/>
        <v>0.875</v>
      </c>
      <c r="AA69" s="14" t="str">
        <f t="shared" si="15"/>
        <v>ADEQUADA</v>
      </c>
      <c r="AB69" s="15">
        <f t="shared" si="16"/>
        <v>14</v>
      </c>
      <c r="AC69" s="8">
        <f t="shared" si="8"/>
        <v>0.875</v>
      </c>
      <c r="AD69" s="4"/>
      <c r="AE69" s="4"/>
      <c r="AF69" s="4"/>
    </row>
    <row r="70" spans="1:32" ht="15.75" customHeight="1" x14ac:dyDescent="0.25">
      <c r="A70" s="5" t="s">
        <v>10</v>
      </c>
      <c r="B70" s="7" t="s">
        <v>84</v>
      </c>
      <c r="C70" s="7" t="s">
        <v>1104</v>
      </c>
      <c r="D70" s="7" t="s">
        <v>1097</v>
      </c>
      <c r="E70" s="5" t="s">
        <v>85</v>
      </c>
      <c r="F70" s="7">
        <v>1</v>
      </c>
      <c r="G70" s="7">
        <v>0</v>
      </c>
      <c r="H70" s="7">
        <v>0</v>
      </c>
      <c r="I70" s="7">
        <v>0</v>
      </c>
      <c r="J70" s="7">
        <v>0</v>
      </c>
      <c r="K70" s="7">
        <v>1</v>
      </c>
      <c r="L70" s="7">
        <v>1</v>
      </c>
      <c r="M70" s="7">
        <v>1</v>
      </c>
      <c r="N70" s="7">
        <f t="shared" si="11"/>
        <v>4</v>
      </c>
      <c r="O70" s="8">
        <f t="shared" si="12"/>
        <v>0.5</v>
      </c>
      <c r="P70" s="8" t="str">
        <f t="shared" si="13"/>
        <v>INTERMEDIÁRIO</v>
      </c>
      <c r="Q70" s="7">
        <v>0</v>
      </c>
      <c r="R70" s="7">
        <v>1</v>
      </c>
      <c r="S70" s="7">
        <v>1</v>
      </c>
      <c r="T70" s="7">
        <v>1</v>
      </c>
      <c r="U70" s="7">
        <v>0</v>
      </c>
      <c r="V70" s="7">
        <v>1</v>
      </c>
      <c r="W70" s="7">
        <v>0</v>
      </c>
      <c r="X70" s="7">
        <v>0</v>
      </c>
      <c r="Y70" s="7">
        <f t="shared" si="14"/>
        <v>4</v>
      </c>
      <c r="Z70" s="8">
        <f t="shared" si="10"/>
        <v>0.5</v>
      </c>
      <c r="AA70" s="14" t="str">
        <f t="shared" si="15"/>
        <v>INTERMEDIÁRIO</v>
      </c>
      <c r="AB70" s="15">
        <f t="shared" si="16"/>
        <v>8</v>
      </c>
      <c r="AC70" s="8">
        <f t="shared" si="8"/>
        <v>0.5</v>
      </c>
      <c r="AD70" s="4"/>
      <c r="AE70" s="4"/>
      <c r="AF70" s="4"/>
    </row>
    <row r="71" spans="1:32" ht="15.75" customHeight="1" x14ac:dyDescent="0.25">
      <c r="A71" s="5" t="s">
        <v>10</v>
      </c>
      <c r="B71" s="7" t="s">
        <v>84</v>
      </c>
      <c r="C71" s="7" t="s">
        <v>1104</v>
      </c>
      <c r="D71" s="7" t="s">
        <v>1097</v>
      </c>
      <c r="E71" s="5" t="s">
        <v>86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f t="shared" si="11"/>
        <v>0</v>
      </c>
      <c r="O71" s="8">
        <f t="shared" si="12"/>
        <v>0</v>
      </c>
      <c r="P71" s="8" t="str">
        <f t="shared" si="13"/>
        <v>DEFASAGEM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1</v>
      </c>
      <c r="W71" s="7">
        <v>0</v>
      </c>
      <c r="X71" s="7">
        <v>1</v>
      </c>
      <c r="Y71" s="7">
        <f t="shared" si="14"/>
        <v>4</v>
      </c>
      <c r="Z71" s="8">
        <f t="shared" si="10"/>
        <v>0.5</v>
      </c>
      <c r="AA71" s="14" t="str">
        <f t="shared" si="15"/>
        <v>INTERMEDIÁRIO</v>
      </c>
      <c r="AB71" s="15">
        <f t="shared" si="16"/>
        <v>4</v>
      </c>
      <c r="AC71" s="8">
        <f t="shared" si="8"/>
        <v>0.25</v>
      </c>
      <c r="AD71" s="4"/>
      <c r="AE71" s="4"/>
      <c r="AF71" s="4"/>
    </row>
    <row r="72" spans="1:32" ht="15.75" customHeight="1" x14ac:dyDescent="0.25">
      <c r="A72" s="5" t="s">
        <v>10</v>
      </c>
      <c r="B72" s="7" t="s">
        <v>84</v>
      </c>
      <c r="C72" s="7" t="s">
        <v>1104</v>
      </c>
      <c r="D72" s="7" t="s">
        <v>1097</v>
      </c>
      <c r="E72" s="5" t="s">
        <v>87</v>
      </c>
      <c r="F72" s="7">
        <v>1</v>
      </c>
      <c r="G72" s="7">
        <v>0</v>
      </c>
      <c r="H72" s="7">
        <v>1</v>
      </c>
      <c r="I72" s="7">
        <v>0</v>
      </c>
      <c r="J72" s="7">
        <v>1</v>
      </c>
      <c r="K72" s="7">
        <v>1</v>
      </c>
      <c r="L72" s="7">
        <v>1</v>
      </c>
      <c r="M72" s="7">
        <v>1</v>
      </c>
      <c r="N72" s="7">
        <f t="shared" si="11"/>
        <v>6</v>
      </c>
      <c r="O72" s="8">
        <f t="shared" si="12"/>
        <v>0.75</v>
      </c>
      <c r="P72" s="8" t="str">
        <f t="shared" si="13"/>
        <v>ADEQUADA</v>
      </c>
      <c r="Q72" s="7">
        <v>0</v>
      </c>
      <c r="R72" s="7">
        <v>1</v>
      </c>
      <c r="S72" s="7">
        <v>0</v>
      </c>
      <c r="T72" s="7">
        <v>1</v>
      </c>
      <c r="U72" s="7">
        <v>1</v>
      </c>
      <c r="V72" s="7">
        <v>1</v>
      </c>
      <c r="W72" s="7">
        <v>0</v>
      </c>
      <c r="X72" s="7">
        <v>1</v>
      </c>
      <c r="Y72" s="7">
        <f t="shared" si="14"/>
        <v>5</v>
      </c>
      <c r="Z72" s="8">
        <f t="shared" si="10"/>
        <v>0.625</v>
      </c>
      <c r="AA72" s="14" t="str">
        <f t="shared" si="15"/>
        <v>INTERMEDIÁRIO</v>
      </c>
      <c r="AB72" s="15">
        <f t="shared" si="16"/>
        <v>11</v>
      </c>
      <c r="AC72" s="8">
        <f t="shared" si="8"/>
        <v>0.6875</v>
      </c>
      <c r="AD72" s="4"/>
      <c r="AE72" s="4"/>
      <c r="AF72" s="4"/>
    </row>
    <row r="73" spans="1:32" ht="15.75" customHeight="1" x14ac:dyDescent="0.25">
      <c r="A73" s="5" t="s">
        <v>10</v>
      </c>
      <c r="B73" s="7" t="s">
        <v>84</v>
      </c>
      <c r="C73" s="7" t="s">
        <v>1096</v>
      </c>
      <c r="D73" s="7" t="s">
        <v>1097</v>
      </c>
      <c r="E73" s="5" t="s">
        <v>88</v>
      </c>
      <c r="F73" s="7">
        <v>1</v>
      </c>
      <c r="G73" s="7">
        <v>0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  <c r="N73" s="7">
        <f t="shared" si="11"/>
        <v>6</v>
      </c>
      <c r="O73" s="8">
        <f t="shared" si="12"/>
        <v>0.75</v>
      </c>
      <c r="P73" s="8" t="str">
        <f t="shared" si="13"/>
        <v>ADEQUADA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f t="shared" si="14"/>
        <v>8</v>
      </c>
      <c r="Z73" s="8">
        <f t="shared" si="10"/>
        <v>1</v>
      </c>
      <c r="AA73" s="14" t="str">
        <f t="shared" si="15"/>
        <v>ADEQUADA</v>
      </c>
      <c r="AB73" s="15">
        <f t="shared" si="16"/>
        <v>14</v>
      </c>
      <c r="AC73" s="8">
        <f t="shared" si="8"/>
        <v>0.875</v>
      </c>
      <c r="AD73" s="4"/>
      <c r="AE73" s="4"/>
      <c r="AF73" s="4"/>
    </row>
    <row r="74" spans="1:32" ht="15.75" customHeight="1" x14ac:dyDescent="0.25">
      <c r="A74" s="5" t="s">
        <v>10</v>
      </c>
      <c r="B74" s="7" t="s">
        <v>84</v>
      </c>
      <c r="C74" s="7" t="s">
        <v>1104</v>
      </c>
      <c r="D74" s="7" t="s">
        <v>1097</v>
      </c>
      <c r="E74" s="5" t="s">
        <v>89</v>
      </c>
      <c r="F74" s="7">
        <v>1</v>
      </c>
      <c r="G74" s="7">
        <v>0</v>
      </c>
      <c r="H74" s="7">
        <v>1</v>
      </c>
      <c r="I74" s="7">
        <v>0</v>
      </c>
      <c r="J74" s="7">
        <v>1</v>
      </c>
      <c r="K74" s="7">
        <v>1</v>
      </c>
      <c r="L74" s="7">
        <v>1</v>
      </c>
      <c r="M74" s="7">
        <v>1</v>
      </c>
      <c r="N74" s="7">
        <f t="shared" si="11"/>
        <v>6</v>
      </c>
      <c r="O74" s="8">
        <f t="shared" si="12"/>
        <v>0.75</v>
      </c>
      <c r="P74" s="8" t="str">
        <f t="shared" si="13"/>
        <v>ADEQUADA</v>
      </c>
      <c r="Q74" s="7">
        <v>0</v>
      </c>
      <c r="R74" s="7">
        <v>1</v>
      </c>
      <c r="S74" s="7">
        <v>0</v>
      </c>
      <c r="T74" s="7">
        <v>1</v>
      </c>
      <c r="U74" s="7">
        <v>1</v>
      </c>
      <c r="V74" s="7">
        <v>1</v>
      </c>
      <c r="W74" s="7">
        <v>0</v>
      </c>
      <c r="X74" s="7">
        <v>1</v>
      </c>
      <c r="Y74" s="7">
        <f t="shared" si="14"/>
        <v>5</v>
      </c>
      <c r="Z74" s="8">
        <f t="shared" si="10"/>
        <v>0.625</v>
      </c>
      <c r="AA74" s="14" t="str">
        <f t="shared" si="15"/>
        <v>INTERMEDIÁRIO</v>
      </c>
      <c r="AB74" s="15">
        <f t="shared" si="16"/>
        <v>11</v>
      </c>
      <c r="AC74" s="8">
        <f t="shared" si="8"/>
        <v>0.6875</v>
      </c>
      <c r="AD74" s="4"/>
      <c r="AE74" s="4"/>
      <c r="AF74" s="4"/>
    </row>
    <row r="75" spans="1:32" ht="15.75" customHeight="1" x14ac:dyDescent="0.25">
      <c r="A75" s="5" t="s">
        <v>10</v>
      </c>
      <c r="B75" s="7" t="s">
        <v>84</v>
      </c>
      <c r="C75" s="7" t="s">
        <v>1103</v>
      </c>
      <c r="D75" s="7" t="s">
        <v>1097</v>
      </c>
      <c r="E75" s="5" t="s">
        <v>90</v>
      </c>
      <c r="F75" s="7">
        <v>1</v>
      </c>
      <c r="G75" s="7">
        <v>0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f t="shared" si="11"/>
        <v>7</v>
      </c>
      <c r="O75" s="8">
        <f t="shared" si="12"/>
        <v>0.875</v>
      </c>
      <c r="P75" s="8" t="str">
        <f t="shared" si="13"/>
        <v>ADEQUADA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f t="shared" si="14"/>
        <v>8</v>
      </c>
      <c r="Z75" s="8">
        <f t="shared" si="10"/>
        <v>1</v>
      </c>
      <c r="AA75" s="14" t="str">
        <f t="shared" si="15"/>
        <v>ADEQUADA</v>
      </c>
      <c r="AB75" s="15">
        <f t="shared" si="16"/>
        <v>15</v>
      </c>
      <c r="AC75" s="8">
        <f t="shared" si="8"/>
        <v>0.9375</v>
      </c>
      <c r="AD75" s="4"/>
      <c r="AE75" s="4"/>
      <c r="AF75" s="4"/>
    </row>
    <row r="76" spans="1:32" ht="15.75" customHeight="1" x14ac:dyDescent="0.25">
      <c r="A76" s="5" t="s">
        <v>10</v>
      </c>
      <c r="B76" s="7" t="s">
        <v>84</v>
      </c>
      <c r="C76" s="7" t="s">
        <v>1104</v>
      </c>
      <c r="D76" s="7" t="s">
        <v>1097</v>
      </c>
      <c r="E76" s="5" t="s">
        <v>91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f t="shared" si="11"/>
        <v>8</v>
      </c>
      <c r="O76" s="8">
        <f t="shared" si="12"/>
        <v>1</v>
      </c>
      <c r="P76" s="8" t="str">
        <f t="shared" si="13"/>
        <v>ADEQUADA</v>
      </c>
      <c r="Q76" s="7">
        <v>0</v>
      </c>
      <c r="R76" s="7">
        <v>1</v>
      </c>
      <c r="S76" s="7">
        <v>0</v>
      </c>
      <c r="T76" s="7">
        <v>0</v>
      </c>
      <c r="U76" s="7">
        <v>1</v>
      </c>
      <c r="V76" s="7">
        <v>1</v>
      </c>
      <c r="W76" s="7">
        <v>0</v>
      </c>
      <c r="X76" s="7">
        <v>0</v>
      </c>
      <c r="Y76" s="7">
        <f t="shared" si="14"/>
        <v>3</v>
      </c>
      <c r="Z76" s="8">
        <f t="shared" si="10"/>
        <v>0.375</v>
      </c>
      <c r="AA76" s="14" t="str">
        <f t="shared" si="15"/>
        <v>DEFASAGEM</v>
      </c>
      <c r="AB76" s="15">
        <f t="shared" si="16"/>
        <v>11</v>
      </c>
      <c r="AC76" s="8">
        <f t="shared" si="8"/>
        <v>0.6875</v>
      </c>
      <c r="AD76" s="4"/>
      <c r="AE76" s="4"/>
      <c r="AF76" s="4"/>
    </row>
    <row r="77" spans="1:32" ht="15.75" customHeight="1" x14ac:dyDescent="0.25">
      <c r="A77" s="5" t="s">
        <v>10</v>
      </c>
      <c r="B77" s="7" t="s">
        <v>84</v>
      </c>
      <c r="C77" s="7" t="s">
        <v>1103</v>
      </c>
      <c r="D77" s="7" t="s">
        <v>1097</v>
      </c>
      <c r="E77" s="5" t="s">
        <v>92</v>
      </c>
      <c r="F77" s="7">
        <v>1</v>
      </c>
      <c r="G77" s="7">
        <v>0</v>
      </c>
      <c r="H77" s="7">
        <v>0</v>
      </c>
      <c r="I77" s="7">
        <v>0</v>
      </c>
      <c r="J77" s="7">
        <v>1</v>
      </c>
      <c r="K77" s="7">
        <v>0</v>
      </c>
      <c r="L77" s="7">
        <v>0</v>
      </c>
      <c r="M77" s="7">
        <v>1</v>
      </c>
      <c r="N77" s="7">
        <f t="shared" si="11"/>
        <v>3</v>
      </c>
      <c r="O77" s="8">
        <f t="shared" si="12"/>
        <v>0.375</v>
      </c>
      <c r="P77" s="8" t="str">
        <f t="shared" si="13"/>
        <v>DEFASAGEM</v>
      </c>
      <c r="Q77" s="7">
        <v>0</v>
      </c>
      <c r="R77" s="7">
        <v>1</v>
      </c>
      <c r="S77" s="7">
        <v>0</v>
      </c>
      <c r="T77" s="7">
        <v>1</v>
      </c>
      <c r="U77" s="7">
        <v>1</v>
      </c>
      <c r="V77" s="7">
        <v>1</v>
      </c>
      <c r="W77" s="7">
        <v>0</v>
      </c>
      <c r="X77" s="7">
        <v>0</v>
      </c>
      <c r="Y77" s="7">
        <f t="shared" si="14"/>
        <v>4</v>
      </c>
      <c r="Z77" s="8">
        <f t="shared" si="10"/>
        <v>0.5</v>
      </c>
      <c r="AA77" s="14" t="str">
        <f t="shared" si="15"/>
        <v>INTERMEDIÁRIO</v>
      </c>
      <c r="AB77" s="15">
        <f t="shared" si="16"/>
        <v>7</v>
      </c>
      <c r="AC77" s="8">
        <f t="shared" si="8"/>
        <v>0.4375</v>
      </c>
      <c r="AD77" s="4"/>
      <c r="AE77" s="4"/>
      <c r="AF77" s="4"/>
    </row>
    <row r="78" spans="1:32" ht="15.75" customHeight="1" x14ac:dyDescent="0.25">
      <c r="A78" s="5" t="s">
        <v>10</v>
      </c>
      <c r="B78" s="7" t="s">
        <v>84</v>
      </c>
      <c r="C78" s="7" t="s">
        <v>1103</v>
      </c>
      <c r="D78" s="7" t="s">
        <v>1097</v>
      </c>
      <c r="E78" s="5" t="s">
        <v>93</v>
      </c>
      <c r="F78" s="7">
        <v>1</v>
      </c>
      <c r="G78" s="7">
        <v>0</v>
      </c>
      <c r="H78" s="7">
        <v>1</v>
      </c>
      <c r="I78" s="7">
        <v>0</v>
      </c>
      <c r="J78" s="7">
        <v>0</v>
      </c>
      <c r="K78" s="7">
        <v>1</v>
      </c>
      <c r="L78" s="7">
        <v>1</v>
      </c>
      <c r="M78" s="7">
        <v>0</v>
      </c>
      <c r="N78" s="7">
        <f t="shared" si="11"/>
        <v>4</v>
      </c>
      <c r="O78" s="8">
        <f t="shared" si="12"/>
        <v>0.5</v>
      </c>
      <c r="P78" s="8" t="str">
        <f t="shared" si="13"/>
        <v>INTERMEDIÁRIO</v>
      </c>
      <c r="Q78" s="7">
        <v>0</v>
      </c>
      <c r="R78" s="7">
        <v>1</v>
      </c>
      <c r="S78" s="7">
        <v>0</v>
      </c>
      <c r="T78" s="7">
        <v>1</v>
      </c>
      <c r="U78" s="7">
        <v>0</v>
      </c>
      <c r="V78" s="7">
        <v>0</v>
      </c>
      <c r="W78" s="7">
        <v>0</v>
      </c>
      <c r="X78" s="7">
        <v>1</v>
      </c>
      <c r="Y78" s="7">
        <f t="shared" si="14"/>
        <v>3</v>
      </c>
      <c r="Z78" s="8">
        <f t="shared" si="10"/>
        <v>0.375</v>
      </c>
      <c r="AA78" s="14" t="str">
        <f t="shared" si="15"/>
        <v>DEFASAGEM</v>
      </c>
      <c r="AB78" s="15">
        <f t="shared" si="16"/>
        <v>7</v>
      </c>
      <c r="AC78" s="8">
        <f t="shared" si="8"/>
        <v>0.4375</v>
      </c>
      <c r="AD78" s="4"/>
      <c r="AE78" s="4"/>
      <c r="AF78" s="4"/>
    </row>
    <row r="79" spans="1:32" ht="15.75" customHeight="1" x14ac:dyDescent="0.25">
      <c r="A79" s="5" t="s">
        <v>10</v>
      </c>
      <c r="B79" s="7" t="s">
        <v>84</v>
      </c>
      <c r="C79" s="7" t="s">
        <v>1099</v>
      </c>
      <c r="D79" s="7" t="s">
        <v>1100</v>
      </c>
      <c r="E79" s="5" t="s">
        <v>1109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f t="shared" si="11"/>
        <v>0</v>
      </c>
      <c r="O79" s="8">
        <f t="shared" si="12"/>
        <v>0</v>
      </c>
      <c r="P79" s="8" t="str">
        <f t="shared" si="13"/>
        <v>DEFASAGEM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f t="shared" si="14"/>
        <v>0</v>
      </c>
      <c r="Z79" s="8">
        <f t="shared" si="10"/>
        <v>0</v>
      </c>
      <c r="AA79" s="14" t="str">
        <f t="shared" si="15"/>
        <v>DEFASAGEM</v>
      </c>
      <c r="AB79" s="15">
        <f t="shared" si="16"/>
        <v>0</v>
      </c>
      <c r="AC79" s="8">
        <f t="shared" si="8"/>
        <v>0</v>
      </c>
      <c r="AD79" s="4"/>
      <c r="AE79" s="4"/>
      <c r="AF79" s="4"/>
    </row>
    <row r="80" spans="1:32" ht="15.75" customHeight="1" x14ac:dyDescent="0.25">
      <c r="A80" s="5" t="s">
        <v>10</v>
      </c>
      <c r="B80" s="7" t="s">
        <v>84</v>
      </c>
      <c r="C80" s="7" t="s">
        <v>1103</v>
      </c>
      <c r="D80" s="7" t="s">
        <v>1097</v>
      </c>
      <c r="E80" s="5" t="s">
        <v>94</v>
      </c>
      <c r="F80" s="7">
        <v>1</v>
      </c>
      <c r="G80" s="7">
        <v>0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f t="shared" si="11"/>
        <v>7</v>
      </c>
      <c r="O80" s="8">
        <f t="shared" si="12"/>
        <v>0.875</v>
      </c>
      <c r="P80" s="8" t="str">
        <f t="shared" si="13"/>
        <v>ADEQUADA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0</v>
      </c>
      <c r="Y80" s="7">
        <f t="shared" si="14"/>
        <v>7</v>
      </c>
      <c r="Z80" s="8">
        <f t="shared" si="10"/>
        <v>0.875</v>
      </c>
      <c r="AA80" s="14" t="str">
        <f t="shared" si="15"/>
        <v>ADEQUADA</v>
      </c>
      <c r="AB80" s="15">
        <f t="shared" si="16"/>
        <v>14</v>
      </c>
      <c r="AC80" s="8">
        <f t="shared" si="8"/>
        <v>0.875</v>
      </c>
      <c r="AD80" s="4"/>
      <c r="AE80" s="4"/>
      <c r="AF80" s="4"/>
    </row>
    <row r="81" spans="1:32" ht="15.75" customHeight="1" x14ac:dyDescent="0.25">
      <c r="A81" s="5" t="s">
        <v>10</v>
      </c>
      <c r="B81" s="7" t="s">
        <v>84</v>
      </c>
      <c r="C81" s="7" t="s">
        <v>1103</v>
      </c>
      <c r="D81" s="7" t="s">
        <v>1097</v>
      </c>
      <c r="E81" s="5" t="s">
        <v>95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f t="shared" si="11"/>
        <v>8</v>
      </c>
      <c r="O81" s="8">
        <f t="shared" si="12"/>
        <v>1</v>
      </c>
      <c r="P81" s="8" t="str">
        <f t="shared" si="13"/>
        <v>ADEQUADA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f t="shared" si="14"/>
        <v>8</v>
      </c>
      <c r="Z81" s="8">
        <f t="shared" si="10"/>
        <v>1</v>
      </c>
      <c r="AA81" s="14" t="str">
        <f t="shared" si="15"/>
        <v>ADEQUADA</v>
      </c>
      <c r="AB81" s="15">
        <f t="shared" si="16"/>
        <v>16</v>
      </c>
      <c r="AC81" s="8">
        <f t="shared" si="8"/>
        <v>1</v>
      </c>
      <c r="AD81" s="4"/>
      <c r="AE81" s="4"/>
      <c r="AF81" s="4"/>
    </row>
    <row r="82" spans="1:32" ht="15.75" customHeight="1" x14ac:dyDescent="0.25">
      <c r="A82" s="5" t="s">
        <v>10</v>
      </c>
      <c r="B82" s="7" t="s">
        <v>84</v>
      </c>
      <c r="C82" s="7" t="s">
        <v>1104</v>
      </c>
      <c r="D82" s="7" t="s">
        <v>1097</v>
      </c>
      <c r="E82" s="5" t="s">
        <v>96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1</v>
      </c>
      <c r="L82" s="7">
        <v>0</v>
      </c>
      <c r="M82" s="7">
        <v>1</v>
      </c>
      <c r="N82" s="7">
        <f t="shared" si="11"/>
        <v>2</v>
      </c>
      <c r="O82" s="8">
        <f t="shared" si="12"/>
        <v>0.25</v>
      </c>
      <c r="P82" s="8" t="str">
        <f t="shared" si="13"/>
        <v>DEFASAGEM</v>
      </c>
      <c r="Q82" s="7">
        <v>1</v>
      </c>
      <c r="R82" s="7">
        <v>0</v>
      </c>
      <c r="S82" s="7">
        <v>0</v>
      </c>
      <c r="T82" s="7">
        <v>1</v>
      </c>
      <c r="U82" s="7">
        <v>0</v>
      </c>
      <c r="V82" s="7">
        <v>1</v>
      </c>
      <c r="W82" s="7">
        <v>0</v>
      </c>
      <c r="X82" s="7">
        <v>1</v>
      </c>
      <c r="Y82" s="7">
        <f t="shared" si="14"/>
        <v>4</v>
      </c>
      <c r="Z82" s="8">
        <f t="shared" si="10"/>
        <v>0.5</v>
      </c>
      <c r="AA82" s="14" t="str">
        <f t="shared" si="15"/>
        <v>INTERMEDIÁRIO</v>
      </c>
      <c r="AB82" s="15">
        <f t="shared" si="16"/>
        <v>6</v>
      </c>
      <c r="AC82" s="8">
        <f t="shared" si="8"/>
        <v>0.375</v>
      </c>
      <c r="AD82" s="4"/>
      <c r="AE82" s="4"/>
      <c r="AF82" s="4"/>
    </row>
    <row r="83" spans="1:32" ht="15.75" customHeight="1" x14ac:dyDescent="0.25">
      <c r="A83" s="5" t="s">
        <v>10</v>
      </c>
      <c r="B83" s="7" t="s">
        <v>84</v>
      </c>
      <c r="C83" s="7" t="s">
        <v>1103</v>
      </c>
      <c r="D83" s="7" t="s">
        <v>1097</v>
      </c>
      <c r="E83" s="5" t="s">
        <v>97</v>
      </c>
      <c r="F83" s="7">
        <v>1</v>
      </c>
      <c r="G83" s="7">
        <v>0</v>
      </c>
      <c r="H83" s="7">
        <v>1</v>
      </c>
      <c r="I83" s="7">
        <v>1</v>
      </c>
      <c r="J83" s="7">
        <v>0</v>
      </c>
      <c r="K83" s="7">
        <v>1</v>
      </c>
      <c r="L83" s="7">
        <v>0</v>
      </c>
      <c r="M83" s="7">
        <v>1</v>
      </c>
      <c r="N83" s="7">
        <f t="shared" si="11"/>
        <v>5</v>
      </c>
      <c r="O83" s="8">
        <f t="shared" si="12"/>
        <v>0.625</v>
      </c>
      <c r="P83" s="8" t="str">
        <f t="shared" si="13"/>
        <v>INTERMEDIÁRIO</v>
      </c>
      <c r="Q83" s="7">
        <v>1</v>
      </c>
      <c r="R83" s="7">
        <v>0</v>
      </c>
      <c r="S83" s="7">
        <v>1</v>
      </c>
      <c r="T83" s="7">
        <v>1</v>
      </c>
      <c r="U83" s="7">
        <v>0</v>
      </c>
      <c r="V83" s="7">
        <v>1</v>
      </c>
      <c r="W83" s="7">
        <v>0</v>
      </c>
      <c r="X83" s="7">
        <v>0</v>
      </c>
      <c r="Y83" s="7">
        <f t="shared" si="14"/>
        <v>4</v>
      </c>
      <c r="Z83" s="8">
        <f t="shared" si="10"/>
        <v>0.5</v>
      </c>
      <c r="AA83" s="14" t="str">
        <f t="shared" si="15"/>
        <v>INTERMEDIÁRIO</v>
      </c>
      <c r="AB83" s="15">
        <f t="shared" si="16"/>
        <v>9</v>
      </c>
      <c r="AC83" s="8">
        <f t="shared" si="8"/>
        <v>0.5625</v>
      </c>
      <c r="AD83" s="4"/>
      <c r="AE83" s="4"/>
      <c r="AF83" s="4"/>
    </row>
    <row r="84" spans="1:32" ht="15.75" customHeight="1" x14ac:dyDescent="0.25">
      <c r="A84" s="5" t="s">
        <v>10</v>
      </c>
      <c r="B84" s="7" t="s">
        <v>84</v>
      </c>
      <c r="C84" s="7" t="s">
        <v>1096</v>
      </c>
      <c r="D84" s="7" t="s">
        <v>1097</v>
      </c>
      <c r="E84" s="5" t="s">
        <v>98</v>
      </c>
      <c r="F84" s="7">
        <v>1</v>
      </c>
      <c r="G84" s="7">
        <v>0</v>
      </c>
      <c r="H84" s="7">
        <v>0</v>
      </c>
      <c r="I84" s="7">
        <v>1</v>
      </c>
      <c r="J84" s="7">
        <v>1</v>
      </c>
      <c r="K84" s="7">
        <v>1</v>
      </c>
      <c r="L84" s="7">
        <v>0</v>
      </c>
      <c r="M84" s="7">
        <v>1</v>
      </c>
      <c r="N84" s="7">
        <f t="shared" si="11"/>
        <v>5</v>
      </c>
      <c r="O84" s="8">
        <f t="shared" si="12"/>
        <v>0.625</v>
      </c>
      <c r="P84" s="8" t="str">
        <f t="shared" si="13"/>
        <v>INTERMEDIÁRIO</v>
      </c>
      <c r="Q84" s="7">
        <v>0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0</v>
      </c>
      <c r="X84" s="7">
        <v>1</v>
      </c>
      <c r="Y84" s="7">
        <f t="shared" si="14"/>
        <v>6</v>
      </c>
      <c r="Z84" s="8">
        <f t="shared" si="10"/>
        <v>0.75</v>
      </c>
      <c r="AA84" s="14" t="str">
        <f t="shared" si="15"/>
        <v>ADEQUADA</v>
      </c>
      <c r="AB84" s="15">
        <f t="shared" si="16"/>
        <v>11</v>
      </c>
      <c r="AC84" s="8">
        <f t="shared" ref="AC84:AC143" si="17">((AB84*100)/16)/100</f>
        <v>0.6875</v>
      </c>
      <c r="AD84" s="4"/>
      <c r="AE84" s="4"/>
      <c r="AF84" s="4"/>
    </row>
    <row r="85" spans="1:32" ht="15.75" customHeight="1" x14ac:dyDescent="0.25">
      <c r="A85" s="5" t="s">
        <v>10</v>
      </c>
      <c r="B85" s="7" t="s">
        <v>84</v>
      </c>
      <c r="C85" s="7" t="s">
        <v>1103</v>
      </c>
      <c r="D85" s="7" t="s">
        <v>1097</v>
      </c>
      <c r="E85" s="5" t="s">
        <v>99</v>
      </c>
      <c r="F85" s="7">
        <v>1</v>
      </c>
      <c r="G85" s="7">
        <v>0</v>
      </c>
      <c r="H85" s="7">
        <v>0</v>
      </c>
      <c r="I85" s="7">
        <v>1</v>
      </c>
      <c r="J85" s="7">
        <v>0</v>
      </c>
      <c r="K85" s="7">
        <v>0</v>
      </c>
      <c r="L85" s="7">
        <v>1</v>
      </c>
      <c r="M85" s="7">
        <v>0</v>
      </c>
      <c r="N85" s="7">
        <f t="shared" si="11"/>
        <v>3</v>
      </c>
      <c r="O85" s="8">
        <f t="shared" si="12"/>
        <v>0.375</v>
      </c>
      <c r="P85" s="8" t="str">
        <f t="shared" si="13"/>
        <v>DEFASAGEM</v>
      </c>
      <c r="Q85" s="7">
        <v>0</v>
      </c>
      <c r="R85" s="7">
        <v>0</v>
      </c>
      <c r="S85" s="7">
        <v>0</v>
      </c>
      <c r="T85" s="7">
        <v>1</v>
      </c>
      <c r="U85" s="7">
        <v>0</v>
      </c>
      <c r="V85" s="7">
        <v>0</v>
      </c>
      <c r="W85" s="7">
        <v>0</v>
      </c>
      <c r="X85" s="7">
        <v>0</v>
      </c>
      <c r="Y85" s="7">
        <f t="shared" si="14"/>
        <v>1</v>
      </c>
      <c r="Z85" s="8">
        <f t="shared" si="10"/>
        <v>0.125</v>
      </c>
      <c r="AA85" s="14" t="str">
        <f t="shared" si="15"/>
        <v>DEFASAGEM</v>
      </c>
      <c r="AB85" s="15">
        <f t="shared" si="16"/>
        <v>4</v>
      </c>
      <c r="AC85" s="8">
        <f t="shared" si="17"/>
        <v>0.25</v>
      </c>
      <c r="AD85" s="4"/>
      <c r="AE85" s="4"/>
      <c r="AF85" s="4"/>
    </row>
    <row r="86" spans="1:32" ht="15.75" customHeight="1" x14ac:dyDescent="0.25">
      <c r="A86" s="5" t="s">
        <v>11</v>
      </c>
      <c r="B86" s="7" t="s">
        <v>84</v>
      </c>
      <c r="C86" s="7" t="s">
        <v>1103</v>
      </c>
      <c r="D86" s="7" t="s">
        <v>1097</v>
      </c>
      <c r="E86" s="5" t="s">
        <v>100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f t="shared" si="11"/>
        <v>8</v>
      </c>
      <c r="O86" s="8">
        <f t="shared" si="12"/>
        <v>1</v>
      </c>
      <c r="P86" s="8" t="str">
        <f t="shared" si="13"/>
        <v>ADEQUADA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f t="shared" si="14"/>
        <v>8</v>
      </c>
      <c r="Z86" s="8">
        <f t="shared" si="10"/>
        <v>1</v>
      </c>
      <c r="AA86" s="14" t="str">
        <f t="shared" si="15"/>
        <v>ADEQUADA</v>
      </c>
      <c r="AB86" s="15">
        <f t="shared" si="16"/>
        <v>16</v>
      </c>
      <c r="AC86" s="8">
        <f t="shared" si="17"/>
        <v>1</v>
      </c>
      <c r="AD86" s="4"/>
      <c r="AE86" s="4"/>
      <c r="AF86" s="4"/>
    </row>
    <row r="87" spans="1:32" ht="15.75" customHeight="1" x14ac:dyDescent="0.25">
      <c r="A87" s="5" t="s">
        <v>11</v>
      </c>
      <c r="B87" s="7" t="s">
        <v>84</v>
      </c>
      <c r="C87" s="7" t="s">
        <v>1103</v>
      </c>
      <c r="D87" s="7" t="s">
        <v>1097</v>
      </c>
      <c r="E87" s="5" t="s">
        <v>101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0</v>
      </c>
      <c r="L87" s="7">
        <v>1</v>
      </c>
      <c r="M87" s="7">
        <v>1</v>
      </c>
      <c r="N87" s="7">
        <f t="shared" si="11"/>
        <v>7</v>
      </c>
      <c r="O87" s="8">
        <f t="shared" si="12"/>
        <v>0.875</v>
      </c>
      <c r="P87" s="8" t="str">
        <f t="shared" si="13"/>
        <v>ADEQUADA</v>
      </c>
      <c r="Q87" s="7">
        <v>1</v>
      </c>
      <c r="R87" s="7">
        <v>0</v>
      </c>
      <c r="S87" s="7">
        <v>0</v>
      </c>
      <c r="T87" s="7">
        <v>1</v>
      </c>
      <c r="U87" s="7">
        <v>0</v>
      </c>
      <c r="V87" s="7">
        <v>1</v>
      </c>
      <c r="W87" s="7">
        <v>0</v>
      </c>
      <c r="X87" s="7">
        <v>1</v>
      </c>
      <c r="Y87" s="7">
        <f t="shared" si="14"/>
        <v>4</v>
      </c>
      <c r="Z87" s="8">
        <f t="shared" si="10"/>
        <v>0.5</v>
      </c>
      <c r="AA87" s="14" t="str">
        <f t="shared" si="15"/>
        <v>INTERMEDIÁRIO</v>
      </c>
      <c r="AB87" s="15">
        <f t="shared" si="16"/>
        <v>11</v>
      </c>
      <c r="AC87" s="8">
        <f t="shared" si="17"/>
        <v>0.6875</v>
      </c>
      <c r="AD87" s="4"/>
      <c r="AE87" s="4"/>
      <c r="AF87" s="4"/>
    </row>
    <row r="88" spans="1:32" ht="15.75" customHeight="1" x14ac:dyDescent="0.25">
      <c r="A88" s="5" t="s">
        <v>11</v>
      </c>
      <c r="B88" s="7" t="s">
        <v>84</v>
      </c>
      <c r="C88" s="7" t="s">
        <v>1103</v>
      </c>
      <c r="D88" s="7" t="s">
        <v>1097</v>
      </c>
      <c r="E88" s="5" t="s">
        <v>102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f t="shared" si="11"/>
        <v>8</v>
      </c>
      <c r="O88" s="8">
        <f t="shared" si="12"/>
        <v>1</v>
      </c>
      <c r="P88" s="8" t="str">
        <f t="shared" si="13"/>
        <v>ADEQUADA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f t="shared" si="14"/>
        <v>8</v>
      </c>
      <c r="Z88" s="8">
        <f t="shared" si="10"/>
        <v>1</v>
      </c>
      <c r="AA88" s="14" t="str">
        <f t="shared" si="15"/>
        <v>ADEQUADA</v>
      </c>
      <c r="AB88" s="15">
        <f t="shared" si="16"/>
        <v>16</v>
      </c>
      <c r="AC88" s="8">
        <f t="shared" si="17"/>
        <v>1</v>
      </c>
      <c r="AD88" s="4"/>
      <c r="AE88" s="4"/>
      <c r="AF88" s="4"/>
    </row>
    <row r="89" spans="1:32" ht="15.75" customHeight="1" x14ac:dyDescent="0.25">
      <c r="A89" s="5" t="s">
        <v>11</v>
      </c>
      <c r="B89" s="7" t="s">
        <v>84</v>
      </c>
      <c r="C89" s="7" t="s">
        <v>1103</v>
      </c>
      <c r="D89" s="7" t="s">
        <v>1097</v>
      </c>
      <c r="E89" s="5" t="s">
        <v>103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f t="shared" si="11"/>
        <v>8</v>
      </c>
      <c r="O89" s="8">
        <f t="shared" si="12"/>
        <v>1</v>
      </c>
      <c r="P89" s="8" t="str">
        <f t="shared" si="13"/>
        <v>ADEQUADA</v>
      </c>
      <c r="Q89" s="7">
        <v>0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f t="shared" si="14"/>
        <v>7</v>
      </c>
      <c r="Z89" s="8">
        <f t="shared" si="10"/>
        <v>0.875</v>
      </c>
      <c r="AA89" s="14" t="str">
        <f t="shared" si="15"/>
        <v>ADEQUADA</v>
      </c>
      <c r="AB89" s="15">
        <f t="shared" si="16"/>
        <v>15</v>
      </c>
      <c r="AC89" s="8">
        <f t="shared" si="17"/>
        <v>0.9375</v>
      </c>
      <c r="AD89" s="4"/>
      <c r="AE89" s="4"/>
      <c r="AF89" s="4"/>
    </row>
    <row r="90" spans="1:32" ht="15.75" customHeight="1" x14ac:dyDescent="0.25">
      <c r="A90" s="5" t="s">
        <v>11</v>
      </c>
      <c r="B90" s="7" t="s">
        <v>1110</v>
      </c>
      <c r="C90" s="7" t="s">
        <v>1103</v>
      </c>
      <c r="D90" s="7" t="s">
        <v>1097</v>
      </c>
      <c r="E90" s="5" t="s">
        <v>1111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8">
        <f t="shared" si="12"/>
        <v>0.125</v>
      </c>
      <c r="P90" s="8" t="str">
        <f t="shared" si="13"/>
        <v>DEFASAGEM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f t="shared" si="14"/>
        <v>8</v>
      </c>
      <c r="Z90" s="8">
        <f t="shared" si="10"/>
        <v>1</v>
      </c>
      <c r="AA90" s="14" t="str">
        <f t="shared" si="15"/>
        <v>ADEQUADA</v>
      </c>
      <c r="AB90" s="15">
        <f t="shared" si="16"/>
        <v>16</v>
      </c>
      <c r="AC90" s="8">
        <f t="shared" si="17"/>
        <v>1</v>
      </c>
      <c r="AD90" s="4"/>
      <c r="AE90" s="4"/>
      <c r="AF90" s="4"/>
    </row>
    <row r="91" spans="1:32" ht="15.75" customHeight="1" x14ac:dyDescent="0.25">
      <c r="A91" s="5" t="s">
        <v>11</v>
      </c>
      <c r="B91" s="7" t="s">
        <v>84</v>
      </c>
      <c r="C91" s="7" t="s">
        <v>1096</v>
      </c>
      <c r="D91" s="7" t="s">
        <v>1097</v>
      </c>
      <c r="E91" s="5" t="s">
        <v>104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f t="shared" ref="N91:N123" si="18">SUM(F91:M91)</f>
        <v>8</v>
      </c>
      <c r="O91" s="8">
        <f t="shared" si="12"/>
        <v>1</v>
      </c>
      <c r="P91" s="8" t="str">
        <f t="shared" si="13"/>
        <v>ADEQUADA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f t="shared" si="14"/>
        <v>8</v>
      </c>
      <c r="Z91" s="8">
        <f t="shared" si="10"/>
        <v>1</v>
      </c>
      <c r="AA91" s="14" t="str">
        <f t="shared" si="15"/>
        <v>ADEQUADA</v>
      </c>
      <c r="AB91" s="15">
        <f t="shared" si="16"/>
        <v>16</v>
      </c>
      <c r="AC91" s="8">
        <f t="shared" si="17"/>
        <v>1</v>
      </c>
      <c r="AD91" s="4"/>
      <c r="AE91" s="4"/>
      <c r="AF91" s="4"/>
    </row>
    <row r="92" spans="1:32" ht="15.75" customHeight="1" x14ac:dyDescent="0.25">
      <c r="A92" s="5" t="s">
        <v>11</v>
      </c>
      <c r="B92" s="7" t="s">
        <v>84</v>
      </c>
      <c r="C92" s="7" t="s">
        <v>1105</v>
      </c>
      <c r="D92" s="7" t="s">
        <v>1097</v>
      </c>
      <c r="E92" s="5" t="s">
        <v>105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f t="shared" si="18"/>
        <v>8</v>
      </c>
      <c r="O92" s="8">
        <f t="shared" si="12"/>
        <v>1</v>
      </c>
      <c r="P92" s="8" t="str">
        <f t="shared" si="13"/>
        <v>ADEQUADA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f t="shared" si="14"/>
        <v>8</v>
      </c>
      <c r="Z92" s="8">
        <f t="shared" si="10"/>
        <v>1</v>
      </c>
      <c r="AA92" s="14" t="str">
        <f t="shared" si="15"/>
        <v>ADEQUADA</v>
      </c>
      <c r="AB92" s="15">
        <f t="shared" si="16"/>
        <v>16</v>
      </c>
      <c r="AC92" s="8">
        <f t="shared" si="17"/>
        <v>1</v>
      </c>
      <c r="AD92" s="4"/>
      <c r="AE92" s="4"/>
      <c r="AF92" s="4"/>
    </row>
    <row r="93" spans="1:32" ht="15.75" customHeight="1" x14ac:dyDescent="0.25">
      <c r="A93" s="5" t="s">
        <v>11</v>
      </c>
      <c r="B93" s="7" t="s">
        <v>84</v>
      </c>
      <c r="C93" s="7" t="s">
        <v>1103</v>
      </c>
      <c r="D93" s="7" t="s">
        <v>1097</v>
      </c>
      <c r="E93" s="5" t="s">
        <v>106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f t="shared" si="18"/>
        <v>8</v>
      </c>
      <c r="O93" s="8">
        <f t="shared" si="12"/>
        <v>1</v>
      </c>
      <c r="P93" s="8" t="str">
        <f t="shared" si="13"/>
        <v>ADEQUADA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f t="shared" si="14"/>
        <v>8</v>
      </c>
      <c r="Z93" s="8">
        <f t="shared" si="10"/>
        <v>1</v>
      </c>
      <c r="AA93" s="14" t="str">
        <f t="shared" si="15"/>
        <v>ADEQUADA</v>
      </c>
      <c r="AB93" s="15">
        <f t="shared" si="16"/>
        <v>16</v>
      </c>
      <c r="AC93" s="8">
        <f t="shared" si="17"/>
        <v>1</v>
      </c>
      <c r="AD93" s="4"/>
      <c r="AE93" s="4"/>
      <c r="AF93" s="4"/>
    </row>
    <row r="94" spans="1:32" ht="15.75" customHeight="1" x14ac:dyDescent="0.25">
      <c r="A94" s="5" t="s">
        <v>11</v>
      </c>
      <c r="B94" s="7" t="s">
        <v>84</v>
      </c>
      <c r="C94" s="7" t="s">
        <v>1096</v>
      </c>
      <c r="D94" s="7" t="s">
        <v>1097</v>
      </c>
      <c r="E94" s="5" t="s">
        <v>107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f t="shared" si="18"/>
        <v>8</v>
      </c>
      <c r="O94" s="8">
        <f t="shared" si="12"/>
        <v>1</v>
      </c>
      <c r="P94" s="8" t="str">
        <f t="shared" si="13"/>
        <v>ADEQUADA</v>
      </c>
      <c r="Q94" s="7">
        <v>1</v>
      </c>
      <c r="R94" s="7">
        <v>0</v>
      </c>
      <c r="S94" s="7">
        <v>1</v>
      </c>
      <c r="T94" s="7">
        <v>1</v>
      </c>
      <c r="U94" s="7">
        <v>1</v>
      </c>
      <c r="V94" s="7">
        <v>1</v>
      </c>
      <c r="W94" s="7">
        <v>0</v>
      </c>
      <c r="X94" s="7">
        <v>1</v>
      </c>
      <c r="Y94" s="7">
        <f t="shared" si="14"/>
        <v>6</v>
      </c>
      <c r="Z94" s="8">
        <f t="shared" si="10"/>
        <v>0.75</v>
      </c>
      <c r="AA94" s="14" t="str">
        <f t="shared" si="15"/>
        <v>ADEQUADA</v>
      </c>
      <c r="AB94" s="15">
        <f t="shared" si="16"/>
        <v>14</v>
      </c>
      <c r="AC94" s="8">
        <f t="shared" si="17"/>
        <v>0.875</v>
      </c>
      <c r="AD94" s="4"/>
      <c r="AE94" s="4"/>
      <c r="AF94" s="4"/>
    </row>
    <row r="95" spans="1:32" ht="15.75" customHeight="1" x14ac:dyDescent="0.25">
      <c r="A95" s="5" t="s">
        <v>11</v>
      </c>
      <c r="B95" s="7" t="s">
        <v>84</v>
      </c>
      <c r="C95" s="7" t="s">
        <v>1096</v>
      </c>
      <c r="D95" s="7" t="s">
        <v>1097</v>
      </c>
      <c r="E95" s="5" t="s">
        <v>108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f t="shared" si="18"/>
        <v>8</v>
      </c>
      <c r="O95" s="8">
        <f t="shared" si="12"/>
        <v>1</v>
      </c>
      <c r="P95" s="8" t="str">
        <f t="shared" si="13"/>
        <v>ADEQUADA</v>
      </c>
      <c r="Q95" s="7">
        <v>1</v>
      </c>
      <c r="R95" s="7">
        <v>1</v>
      </c>
      <c r="S95" s="7">
        <v>0</v>
      </c>
      <c r="T95" s="7">
        <v>0</v>
      </c>
      <c r="U95" s="7">
        <v>0</v>
      </c>
      <c r="V95" s="7">
        <v>1</v>
      </c>
      <c r="W95" s="7">
        <v>0</v>
      </c>
      <c r="X95" s="7">
        <v>1</v>
      </c>
      <c r="Y95" s="7">
        <f t="shared" si="14"/>
        <v>4</v>
      </c>
      <c r="Z95" s="8">
        <f t="shared" si="10"/>
        <v>0.5</v>
      </c>
      <c r="AA95" s="14" t="str">
        <f t="shared" si="15"/>
        <v>INTERMEDIÁRIO</v>
      </c>
      <c r="AB95" s="15">
        <f t="shared" si="16"/>
        <v>12</v>
      </c>
      <c r="AC95" s="8">
        <f t="shared" si="17"/>
        <v>0.75</v>
      </c>
      <c r="AD95" s="4"/>
      <c r="AE95" s="4"/>
      <c r="AF95" s="4"/>
    </row>
    <row r="96" spans="1:32" ht="15.75" customHeight="1" x14ac:dyDescent="0.25">
      <c r="A96" s="5" t="s">
        <v>11</v>
      </c>
      <c r="B96" s="7" t="s">
        <v>84</v>
      </c>
      <c r="C96" s="7" t="s">
        <v>1103</v>
      </c>
      <c r="D96" s="7" t="s">
        <v>1097</v>
      </c>
      <c r="E96" s="5" t="s">
        <v>109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f t="shared" si="18"/>
        <v>8</v>
      </c>
      <c r="O96" s="8">
        <f t="shared" si="12"/>
        <v>1</v>
      </c>
      <c r="P96" s="8" t="str">
        <f t="shared" si="13"/>
        <v>ADEQUADA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0</v>
      </c>
      <c r="X96" s="7">
        <v>1</v>
      </c>
      <c r="Y96" s="7">
        <f t="shared" si="14"/>
        <v>7</v>
      </c>
      <c r="Z96" s="8">
        <f t="shared" si="10"/>
        <v>0.875</v>
      </c>
      <c r="AA96" s="14" t="str">
        <f t="shared" si="15"/>
        <v>ADEQUADA</v>
      </c>
      <c r="AB96" s="15">
        <f t="shared" si="16"/>
        <v>15</v>
      </c>
      <c r="AC96" s="8">
        <f t="shared" si="17"/>
        <v>0.9375</v>
      </c>
      <c r="AD96" s="4"/>
      <c r="AE96" s="4"/>
      <c r="AF96" s="4"/>
    </row>
    <row r="97" spans="1:32" ht="15.75" customHeight="1" x14ac:dyDescent="0.25">
      <c r="A97" s="5" t="s">
        <v>11</v>
      </c>
      <c r="B97" s="7" t="s">
        <v>84</v>
      </c>
      <c r="C97" s="7" t="s">
        <v>1103</v>
      </c>
      <c r="D97" s="7" t="s">
        <v>1097</v>
      </c>
      <c r="E97" s="5" t="s">
        <v>110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f t="shared" si="18"/>
        <v>8</v>
      </c>
      <c r="O97" s="8">
        <f t="shared" si="12"/>
        <v>1</v>
      </c>
      <c r="P97" s="8" t="str">
        <f t="shared" si="13"/>
        <v>ADEQUADA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0</v>
      </c>
      <c r="X97" s="7">
        <v>1</v>
      </c>
      <c r="Y97" s="7">
        <f t="shared" si="14"/>
        <v>7</v>
      </c>
      <c r="Z97" s="8">
        <f t="shared" si="10"/>
        <v>0.875</v>
      </c>
      <c r="AA97" s="14" t="str">
        <f t="shared" si="15"/>
        <v>ADEQUADA</v>
      </c>
      <c r="AB97" s="15">
        <f t="shared" si="16"/>
        <v>15</v>
      </c>
      <c r="AC97" s="8">
        <f t="shared" si="17"/>
        <v>0.9375</v>
      </c>
      <c r="AD97" s="4"/>
      <c r="AE97" s="4"/>
      <c r="AF97" s="4"/>
    </row>
    <row r="98" spans="1:32" ht="15.75" customHeight="1" x14ac:dyDescent="0.25">
      <c r="A98" s="5" t="s">
        <v>11</v>
      </c>
      <c r="B98" s="7" t="s">
        <v>84</v>
      </c>
      <c r="C98" s="7" t="s">
        <v>1103</v>
      </c>
      <c r="D98" s="7" t="s">
        <v>1097</v>
      </c>
      <c r="E98" s="5" t="s">
        <v>111</v>
      </c>
      <c r="F98" s="7">
        <v>1</v>
      </c>
      <c r="G98" s="7">
        <v>0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f t="shared" si="18"/>
        <v>7</v>
      </c>
      <c r="O98" s="8">
        <f t="shared" si="12"/>
        <v>0.875</v>
      </c>
      <c r="P98" s="8" t="str">
        <f t="shared" si="13"/>
        <v>ADEQUADA</v>
      </c>
      <c r="Q98" s="7">
        <v>0</v>
      </c>
      <c r="R98" s="7">
        <v>1</v>
      </c>
      <c r="S98" s="7">
        <v>1</v>
      </c>
      <c r="T98" s="7">
        <v>1</v>
      </c>
      <c r="U98" s="7">
        <v>1</v>
      </c>
      <c r="V98" s="7">
        <v>0</v>
      </c>
      <c r="W98" s="7">
        <v>0</v>
      </c>
      <c r="X98" s="7">
        <v>1</v>
      </c>
      <c r="Y98" s="7">
        <f t="shared" si="14"/>
        <v>5</v>
      </c>
      <c r="Z98" s="8">
        <f t="shared" si="10"/>
        <v>0.625</v>
      </c>
      <c r="AA98" s="14" t="str">
        <f t="shared" si="15"/>
        <v>INTERMEDIÁRIO</v>
      </c>
      <c r="AB98" s="15">
        <f t="shared" si="16"/>
        <v>12</v>
      </c>
      <c r="AC98" s="8">
        <f t="shared" si="17"/>
        <v>0.75</v>
      </c>
      <c r="AD98" s="4"/>
      <c r="AE98" s="4"/>
      <c r="AF98" s="4"/>
    </row>
    <row r="99" spans="1:32" ht="15.75" customHeight="1" x14ac:dyDescent="0.25">
      <c r="A99" s="5" t="s">
        <v>11</v>
      </c>
      <c r="B99" s="7" t="s">
        <v>84</v>
      </c>
      <c r="C99" s="7" t="s">
        <v>1103</v>
      </c>
      <c r="D99" s="7" t="s">
        <v>1097</v>
      </c>
      <c r="E99" s="5" t="s">
        <v>112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f t="shared" si="18"/>
        <v>8</v>
      </c>
      <c r="O99" s="8">
        <f t="shared" si="12"/>
        <v>1</v>
      </c>
      <c r="P99" s="8" t="str">
        <f t="shared" si="13"/>
        <v>ADEQUADA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0</v>
      </c>
      <c r="W99" s="7">
        <v>1</v>
      </c>
      <c r="X99" s="7">
        <v>1</v>
      </c>
      <c r="Y99" s="7">
        <f t="shared" si="14"/>
        <v>7</v>
      </c>
      <c r="Z99" s="8">
        <f t="shared" si="10"/>
        <v>0.875</v>
      </c>
      <c r="AA99" s="14" t="str">
        <f t="shared" si="15"/>
        <v>ADEQUADA</v>
      </c>
      <c r="AB99" s="15">
        <f t="shared" si="16"/>
        <v>15</v>
      </c>
      <c r="AC99" s="8">
        <f t="shared" si="17"/>
        <v>0.9375</v>
      </c>
      <c r="AD99" s="4"/>
      <c r="AE99" s="4"/>
      <c r="AF99" s="4"/>
    </row>
    <row r="100" spans="1:32" ht="15.75" customHeight="1" x14ac:dyDescent="0.25">
      <c r="A100" s="5" t="s">
        <v>11</v>
      </c>
      <c r="B100" s="7" t="s">
        <v>84</v>
      </c>
      <c r="C100" s="7" t="s">
        <v>1103</v>
      </c>
      <c r="D100" s="7" t="s">
        <v>1097</v>
      </c>
      <c r="E100" s="5" t="s">
        <v>113</v>
      </c>
      <c r="F100" s="7">
        <v>1</v>
      </c>
      <c r="G100" s="7">
        <v>0</v>
      </c>
      <c r="H100" s="7">
        <v>1</v>
      </c>
      <c r="I100" s="7">
        <v>0</v>
      </c>
      <c r="J100" s="7">
        <v>1</v>
      </c>
      <c r="K100" s="7">
        <v>1</v>
      </c>
      <c r="L100" s="7">
        <v>1</v>
      </c>
      <c r="M100" s="7">
        <v>1</v>
      </c>
      <c r="N100" s="7">
        <f t="shared" si="18"/>
        <v>6</v>
      </c>
      <c r="O100" s="8">
        <f t="shared" si="12"/>
        <v>0.75</v>
      </c>
      <c r="P100" s="8" t="str">
        <f t="shared" si="13"/>
        <v>ADEQUADA</v>
      </c>
      <c r="Q100" s="7">
        <v>1</v>
      </c>
      <c r="R100" s="7">
        <v>1</v>
      </c>
      <c r="S100" s="7">
        <v>0</v>
      </c>
      <c r="T100" s="7">
        <v>1</v>
      </c>
      <c r="U100" s="7">
        <v>0</v>
      </c>
      <c r="V100" s="7">
        <v>1</v>
      </c>
      <c r="W100" s="7">
        <v>0</v>
      </c>
      <c r="X100" s="7">
        <v>1</v>
      </c>
      <c r="Y100" s="7">
        <f t="shared" si="14"/>
        <v>5</v>
      </c>
      <c r="Z100" s="8">
        <f t="shared" si="10"/>
        <v>0.625</v>
      </c>
      <c r="AA100" s="14" t="str">
        <f t="shared" si="15"/>
        <v>INTERMEDIÁRIO</v>
      </c>
      <c r="AB100" s="15">
        <f t="shared" si="16"/>
        <v>11</v>
      </c>
      <c r="AC100" s="8">
        <f t="shared" si="17"/>
        <v>0.6875</v>
      </c>
      <c r="AD100" s="4"/>
      <c r="AE100" s="4"/>
      <c r="AF100" s="4"/>
    </row>
    <row r="101" spans="1:32" ht="15.75" customHeight="1" x14ac:dyDescent="0.25">
      <c r="A101" s="5" t="s">
        <v>11</v>
      </c>
      <c r="B101" s="7" t="s">
        <v>84</v>
      </c>
      <c r="C101" s="7" t="s">
        <v>1096</v>
      </c>
      <c r="D101" s="7" t="s">
        <v>1097</v>
      </c>
      <c r="E101" s="5" t="s">
        <v>114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f t="shared" si="18"/>
        <v>8</v>
      </c>
      <c r="O101" s="8">
        <f t="shared" si="12"/>
        <v>1</v>
      </c>
      <c r="P101" s="8" t="str">
        <f t="shared" si="13"/>
        <v>ADEQUADA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f t="shared" si="14"/>
        <v>8</v>
      </c>
      <c r="Z101" s="8">
        <f t="shared" si="10"/>
        <v>1</v>
      </c>
      <c r="AA101" s="14" t="str">
        <f t="shared" si="15"/>
        <v>ADEQUADA</v>
      </c>
      <c r="AB101" s="15">
        <f t="shared" si="16"/>
        <v>16</v>
      </c>
      <c r="AC101" s="8">
        <f t="shared" si="17"/>
        <v>1</v>
      </c>
      <c r="AD101" s="4"/>
      <c r="AE101" s="4"/>
      <c r="AF101" s="4"/>
    </row>
    <row r="102" spans="1:32" ht="15.75" customHeight="1" x14ac:dyDescent="0.25">
      <c r="A102" s="5" t="s">
        <v>11</v>
      </c>
      <c r="B102" s="7" t="s">
        <v>84</v>
      </c>
      <c r="C102" s="7" t="s">
        <v>1103</v>
      </c>
      <c r="D102" s="7" t="s">
        <v>1097</v>
      </c>
      <c r="E102" s="5" t="s">
        <v>115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0</v>
      </c>
      <c r="L102" s="7">
        <v>1</v>
      </c>
      <c r="M102" s="7">
        <v>1</v>
      </c>
      <c r="N102" s="7">
        <f t="shared" si="18"/>
        <v>7</v>
      </c>
      <c r="O102" s="8">
        <f t="shared" si="12"/>
        <v>0.875</v>
      </c>
      <c r="P102" s="8" t="str">
        <f t="shared" si="13"/>
        <v>ADEQUADA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0</v>
      </c>
      <c r="X102" s="7">
        <v>1</v>
      </c>
      <c r="Y102" s="7">
        <f t="shared" si="14"/>
        <v>7</v>
      </c>
      <c r="Z102" s="8">
        <f t="shared" ref="Z102:Z143" si="19">((Y102*100)/8)/100</f>
        <v>0.875</v>
      </c>
      <c r="AA102" s="14" t="str">
        <f t="shared" si="15"/>
        <v>ADEQUADA</v>
      </c>
      <c r="AB102" s="15">
        <f t="shared" si="16"/>
        <v>14</v>
      </c>
      <c r="AC102" s="8">
        <f t="shared" si="17"/>
        <v>0.875</v>
      </c>
      <c r="AD102" s="4"/>
      <c r="AE102" s="4"/>
      <c r="AF102" s="4"/>
    </row>
    <row r="103" spans="1:32" ht="15.75" customHeight="1" x14ac:dyDescent="0.25">
      <c r="A103" s="5" t="s">
        <v>11</v>
      </c>
      <c r="B103" s="7" t="s">
        <v>84</v>
      </c>
      <c r="C103" s="7" t="s">
        <v>1103</v>
      </c>
      <c r="D103" s="7" t="s">
        <v>1097</v>
      </c>
      <c r="E103" s="5" t="s">
        <v>116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f t="shared" si="18"/>
        <v>8</v>
      </c>
      <c r="O103" s="8">
        <f t="shared" si="12"/>
        <v>1</v>
      </c>
      <c r="P103" s="8" t="str">
        <f t="shared" si="13"/>
        <v>ADEQUADA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f t="shared" si="14"/>
        <v>8</v>
      </c>
      <c r="Z103" s="8">
        <f t="shared" si="19"/>
        <v>1</v>
      </c>
      <c r="AA103" s="14" t="str">
        <f t="shared" si="15"/>
        <v>ADEQUADA</v>
      </c>
      <c r="AB103" s="15">
        <f t="shared" si="16"/>
        <v>16</v>
      </c>
      <c r="AC103" s="8">
        <f t="shared" si="17"/>
        <v>1</v>
      </c>
      <c r="AD103" s="4"/>
      <c r="AE103" s="4"/>
      <c r="AF103" s="4"/>
    </row>
    <row r="104" spans="1:32" ht="15.75" customHeight="1" x14ac:dyDescent="0.25">
      <c r="A104" s="5" t="s">
        <v>11</v>
      </c>
      <c r="B104" s="7" t="s">
        <v>84</v>
      </c>
      <c r="C104" s="7" t="s">
        <v>1096</v>
      </c>
      <c r="D104" s="7" t="s">
        <v>1097</v>
      </c>
      <c r="E104" s="5" t="s">
        <v>117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f t="shared" si="18"/>
        <v>8</v>
      </c>
      <c r="O104" s="8">
        <f t="shared" si="12"/>
        <v>1</v>
      </c>
      <c r="P104" s="8" t="str">
        <f t="shared" si="13"/>
        <v>ADEQUADA</v>
      </c>
      <c r="Q104" s="7">
        <v>1</v>
      </c>
      <c r="R104" s="7">
        <v>1</v>
      </c>
      <c r="S104" s="7">
        <v>0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f t="shared" si="14"/>
        <v>7</v>
      </c>
      <c r="Z104" s="8">
        <f t="shared" si="19"/>
        <v>0.875</v>
      </c>
      <c r="AA104" s="14" t="str">
        <f t="shared" si="15"/>
        <v>ADEQUADA</v>
      </c>
      <c r="AB104" s="15">
        <f t="shared" si="16"/>
        <v>15</v>
      </c>
      <c r="AC104" s="8">
        <f t="shared" si="17"/>
        <v>0.9375</v>
      </c>
      <c r="AD104" s="4"/>
      <c r="AE104" s="4"/>
      <c r="AF104" s="4"/>
    </row>
    <row r="105" spans="1:32" ht="15.75" customHeight="1" x14ac:dyDescent="0.25">
      <c r="A105" s="5" t="s">
        <v>11</v>
      </c>
      <c r="B105" s="7" t="s">
        <v>118</v>
      </c>
      <c r="C105" s="7" t="s">
        <v>1103</v>
      </c>
      <c r="D105" s="7" t="s">
        <v>1097</v>
      </c>
      <c r="E105" s="5" t="s">
        <v>119</v>
      </c>
      <c r="F105" s="7">
        <v>1</v>
      </c>
      <c r="G105" s="7">
        <v>0</v>
      </c>
      <c r="H105" s="7">
        <v>1</v>
      </c>
      <c r="I105" s="7">
        <v>0</v>
      </c>
      <c r="J105" s="7">
        <v>1</v>
      </c>
      <c r="K105" s="7">
        <v>1</v>
      </c>
      <c r="L105" s="7">
        <v>0</v>
      </c>
      <c r="M105" s="7">
        <v>1</v>
      </c>
      <c r="N105" s="7">
        <f t="shared" si="18"/>
        <v>5</v>
      </c>
      <c r="O105" s="8">
        <f t="shared" si="12"/>
        <v>0.625</v>
      </c>
      <c r="P105" s="8" t="str">
        <f t="shared" si="13"/>
        <v>INTERMEDIÁRIO</v>
      </c>
      <c r="Q105" s="7">
        <v>1</v>
      </c>
      <c r="R105" s="7">
        <v>1</v>
      </c>
      <c r="S105" s="7">
        <v>1</v>
      </c>
      <c r="T105" s="7">
        <v>1</v>
      </c>
      <c r="U105" s="7">
        <v>0</v>
      </c>
      <c r="V105" s="7">
        <v>1</v>
      </c>
      <c r="W105" s="7">
        <v>1</v>
      </c>
      <c r="X105" s="7">
        <v>1</v>
      </c>
      <c r="Y105" s="7">
        <f t="shared" si="14"/>
        <v>7</v>
      </c>
      <c r="Z105" s="8">
        <f t="shared" si="19"/>
        <v>0.875</v>
      </c>
      <c r="AA105" s="14" t="str">
        <f t="shared" si="15"/>
        <v>ADEQUADA</v>
      </c>
      <c r="AB105" s="15">
        <f t="shared" si="16"/>
        <v>12</v>
      </c>
      <c r="AC105" s="8">
        <f t="shared" si="17"/>
        <v>0.75</v>
      </c>
      <c r="AD105" s="4"/>
      <c r="AE105" s="4"/>
      <c r="AF105" s="4"/>
    </row>
    <row r="106" spans="1:32" ht="15.75" customHeight="1" x14ac:dyDescent="0.25">
      <c r="A106" s="5" t="s">
        <v>11</v>
      </c>
      <c r="B106" s="7" t="s">
        <v>118</v>
      </c>
      <c r="C106" s="7" t="s">
        <v>1103</v>
      </c>
      <c r="D106" s="7" t="s">
        <v>1097</v>
      </c>
      <c r="E106" s="5" t="s">
        <v>120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0</v>
      </c>
      <c r="M106" s="7">
        <v>1</v>
      </c>
      <c r="N106" s="7">
        <f t="shared" si="18"/>
        <v>7</v>
      </c>
      <c r="O106" s="8">
        <f t="shared" si="12"/>
        <v>0.875</v>
      </c>
      <c r="P106" s="8" t="str">
        <f t="shared" si="13"/>
        <v>ADEQUADA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f t="shared" si="14"/>
        <v>8</v>
      </c>
      <c r="Z106" s="8">
        <f t="shared" si="19"/>
        <v>1</v>
      </c>
      <c r="AA106" s="14" t="str">
        <f t="shared" si="15"/>
        <v>ADEQUADA</v>
      </c>
      <c r="AB106" s="15">
        <f t="shared" si="16"/>
        <v>15</v>
      </c>
      <c r="AC106" s="8">
        <f t="shared" si="17"/>
        <v>0.9375</v>
      </c>
      <c r="AD106" s="4"/>
      <c r="AE106" s="4"/>
      <c r="AF106" s="4"/>
    </row>
    <row r="107" spans="1:32" ht="15.75" customHeight="1" x14ac:dyDescent="0.25">
      <c r="A107" s="5" t="s">
        <v>11</v>
      </c>
      <c r="B107" s="7" t="s">
        <v>118</v>
      </c>
      <c r="C107" s="7" t="s">
        <v>1103</v>
      </c>
      <c r="D107" s="7" t="s">
        <v>1097</v>
      </c>
      <c r="E107" s="5" t="s">
        <v>1112</v>
      </c>
      <c r="F107" s="7">
        <v>1</v>
      </c>
      <c r="G107" s="7">
        <v>0</v>
      </c>
      <c r="H107" s="7">
        <v>0</v>
      </c>
      <c r="I107" s="7">
        <v>1</v>
      </c>
      <c r="J107" s="7">
        <v>1</v>
      </c>
      <c r="K107" s="7">
        <v>1</v>
      </c>
      <c r="L107" s="7">
        <v>1</v>
      </c>
      <c r="M107" s="7">
        <v>0</v>
      </c>
      <c r="N107" s="7">
        <f t="shared" si="18"/>
        <v>5</v>
      </c>
      <c r="O107" s="8">
        <f t="shared" si="12"/>
        <v>0.625</v>
      </c>
      <c r="P107" s="8" t="str">
        <f t="shared" si="13"/>
        <v>INTERMEDIÁRIO</v>
      </c>
      <c r="Q107" s="7">
        <v>0</v>
      </c>
      <c r="R107" s="7">
        <v>1</v>
      </c>
      <c r="S107" s="7">
        <v>0</v>
      </c>
      <c r="T107" s="7">
        <v>1</v>
      </c>
      <c r="U107" s="7">
        <v>0</v>
      </c>
      <c r="V107" s="7">
        <v>1</v>
      </c>
      <c r="W107" s="7">
        <v>0</v>
      </c>
      <c r="X107" s="7">
        <v>0</v>
      </c>
      <c r="Y107" s="7">
        <f t="shared" si="14"/>
        <v>3</v>
      </c>
      <c r="Z107" s="8">
        <f t="shared" si="19"/>
        <v>0.375</v>
      </c>
      <c r="AA107" s="14" t="str">
        <f t="shared" si="15"/>
        <v>DEFASAGEM</v>
      </c>
      <c r="AB107" s="15">
        <f t="shared" si="16"/>
        <v>8</v>
      </c>
      <c r="AC107" s="8">
        <f t="shared" si="17"/>
        <v>0.5</v>
      </c>
      <c r="AD107" s="4"/>
      <c r="AE107" s="4"/>
      <c r="AF107" s="4"/>
    </row>
    <row r="108" spans="1:32" ht="15.75" customHeight="1" x14ac:dyDescent="0.25">
      <c r="A108" s="5" t="s">
        <v>11</v>
      </c>
      <c r="B108" s="7" t="s">
        <v>118</v>
      </c>
      <c r="C108" s="7" t="s">
        <v>1096</v>
      </c>
      <c r="D108" s="7" t="s">
        <v>1097</v>
      </c>
      <c r="E108" s="5" t="s">
        <v>1113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f t="shared" si="18"/>
        <v>8</v>
      </c>
      <c r="O108" s="8">
        <f t="shared" si="12"/>
        <v>1</v>
      </c>
      <c r="P108" s="8" t="str">
        <f t="shared" si="13"/>
        <v>ADEQUADA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f t="shared" si="14"/>
        <v>8</v>
      </c>
      <c r="Z108" s="8">
        <f t="shared" si="19"/>
        <v>1</v>
      </c>
      <c r="AA108" s="14" t="str">
        <f t="shared" si="15"/>
        <v>ADEQUADA</v>
      </c>
      <c r="AB108" s="15">
        <f t="shared" si="16"/>
        <v>16</v>
      </c>
      <c r="AC108" s="8">
        <f t="shared" si="17"/>
        <v>1</v>
      </c>
      <c r="AD108" s="4"/>
      <c r="AE108" s="4"/>
      <c r="AF108" s="4"/>
    </row>
    <row r="109" spans="1:32" ht="15.75" customHeight="1" x14ac:dyDescent="0.25">
      <c r="A109" s="5" t="s">
        <v>11</v>
      </c>
      <c r="B109" s="7" t="s">
        <v>118</v>
      </c>
      <c r="C109" s="7" t="s">
        <v>1103</v>
      </c>
      <c r="D109" s="7" t="s">
        <v>1097</v>
      </c>
      <c r="E109" s="5" t="s">
        <v>121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f t="shared" si="18"/>
        <v>8</v>
      </c>
      <c r="O109" s="8">
        <f t="shared" si="12"/>
        <v>1</v>
      </c>
      <c r="P109" s="8" t="str">
        <f t="shared" si="13"/>
        <v>ADEQUADA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f t="shared" si="14"/>
        <v>8</v>
      </c>
      <c r="Z109" s="8">
        <f t="shared" si="19"/>
        <v>1</v>
      </c>
      <c r="AA109" s="14" t="str">
        <f t="shared" si="15"/>
        <v>ADEQUADA</v>
      </c>
      <c r="AB109" s="15">
        <f t="shared" si="16"/>
        <v>16</v>
      </c>
      <c r="AC109" s="8">
        <f t="shared" si="17"/>
        <v>1</v>
      </c>
      <c r="AD109" s="4"/>
      <c r="AE109" s="4"/>
      <c r="AF109" s="4"/>
    </row>
    <row r="110" spans="1:32" ht="15.75" customHeight="1" x14ac:dyDescent="0.25">
      <c r="A110" s="5" t="s">
        <v>11</v>
      </c>
      <c r="B110" s="7" t="s">
        <v>118</v>
      </c>
      <c r="C110" s="7" t="s">
        <v>1104</v>
      </c>
      <c r="D110" s="7" t="s">
        <v>1097</v>
      </c>
      <c r="E110" s="5" t="s">
        <v>122</v>
      </c>
      <c r="F110" s="7">
        <v>1</v>
      </c>
      <c r="G110" s="7">
        <v>1</v>
      </c>
      <c r="H110" s="7">
        <v>1</v>
      </c>
      <c r="I110" s="7">
        <v>0</v>
      </c>
      <c r="J110" s="7">
        <v>1</v>
      </c>
      <c r="K110" s="7">
        <v>0</v>
      </c>
      <c r="L110" s="7">
        <v>1</v>
      </c>
      <c r="M110" s="7">
        <v>1</v>
      </c>
      <c r="N110" s="7">
        <f t="shared" si="18"/>
        <v>6</v>
      </c>
      <c r="O110" s="8">
        <f t="shared" si="12"/>
        <v>0.75</v>
      </c>
      <c r="P110" s="8" t="str">
        <f t="shared" si="13"/>
        <v>ADEQUADA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0</v>
      </c>
      <c r="X110" s="7">
        <v>1</v>
      </c>
      <c r="Y110" s="7">
        <f t="shared" si="14"/>
        <v>7</v>
      </c>
      <c r="Z110" s="8">
        <f t="shared" si="19"/>
        <v>0.875</v>
      </c>
      <c r="AA110" s="14" t="str">
        <f t="shared" si="15"/>
        <v>ADEQUADA</v>
      </c>
      <c r="AB110" s="15">
        <f t="shared" si="16"/>
        <v>13</v>
      </c>
      <c r="AC110" s="8">
        <f t="shared" si="17"/>
        <v>0.8125</v>
      </c>
      <c r="AD110" s="4"/>
      <c r="AE110" s="4"/>
      <c r="AF110" s="4"/>
    </row>
    <row r="111" spans="1:32" ht="15.75" customHeight="1" x14ac:dyDescent="0.25">
      <c r="A111" s="5" t="s">
        <v>11</v>
      </c>
      <c r="B111" s="7" t="s">
        <v>118</v>
      </c>
      <c r="C111" s="7" t="s">
        <v>1103</v>
      </c>
      <c r="D111" s="7" t="s">
        <v>1097</v>
      </c>
      <c r="E111" s="5" t="s">
        <v>123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f t="shared" si="18"/>
        <v>8</v>
      </c>
      <c r="O111" s="8">
        <f t="shared" si="12"/>
        <v>1</v>
      </c>
      <c r="P111" s="8" t="str">
        <f t="shared" si="13"/>
        <v>ADEQUADA</v>
      </c>
      <c r="Q111" s="7">
        <v>1</v>
      </c>
      <c r="R111" s="7">
        <v>1</v>
      </c>
      <c r="S111" s="7">
        <v>1</v>
      </c>
      <c r="T111" s="7">
        <v>1</v>
      </c>
      <c r="U111" s="7">
        <v>0</v>
      </c>
      <c r="V111" s="7">
        <v>1</v>
      </c>
      <c r="W111" s="7">
        <v>1</v>
      </c>
      <c r="X111" s="7">
        <v>1</v>
      </c>
      <c r="Y111" s="7">
        <f t="shared" si="14"/>
        <v>7</v>
      </c>
      <c r="Z111" s="8">
        <f t="shared" si="19"/>
        <v>0.875</v>
      </c>
      <c r="AA111" s="14" t="str">
        <f t="shared" si="15"/>
        <v>ADEQUADA</v>
      </c>
      <c r="AB111" s="15">
        <f t="shared" si="16"/>
        <v>15</v>
      </c>
      <c r="AC111" s="8">
        <f t="shared" si="17"/>
        <v>0.9375</v>
      </c>
      <c r="AD111" s="4"/>
      <c r="AE111" s="4"/>
      <c r="AF111" s="4"/>
    </row>
    <row r="112" spans="1:32" ht="15.75" customHeight="1" x14ac:dyDescent="0.25">
      <c r="A112" s="5" t="s">
        <v>11</v>
      </c>
      <c r="B112" s="7" t="s">
        <v>118</v>
      </c>
      <c r="C112" s="7" t="s">
        <v>1103</v>
      </c>
      <c r="D112" s="7" t="s">
        <v>1097</v>
      </c>
      <c r="E112" s="5" t="s">
        <v>124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0</v>
      </c>
      <c r="L112" s="7">
        <v>1</v>
      </c>
      <c r="M112" s="7">
        <v>1</v>
      </c>
      <c r="N112" s="7">
        <f t="shared" si="18"/>
        <v>7</v>
      </c>
      <c r="O112" s="8">
        <f t="shared" si="12"/>
        <v>0.875</v>
      </c>
      <c r="P112" s="8" t="str">
        <f t="shared" si="13"/>
        <v>ADEQUADA</v>
      </c>
      <c r="Q112" s="7">
        <v>1</v>
      </c>
      <c r="R112" s="7">
        <v>1</v>
      </c>
      <c r="S112" s="7">
        <v>0</v>
      </c>
      <c r="T112" s="7">
        <v>1</v>
      </c>
      <c r="U112" s="7">
        <v>0</v>
      </c>
      <c r="V112" s="7">
        <v>1</v>
      </c>
      <c r="W112" s="7">
        <v>0</v>
      </c>
      <c r="X112" s="7">
        <v>1</v>
      </c>
      <c r="Y112" s="7">
        <f t="shared" si="14"/>
        <v>5</v>
      </c>
      <c r="Z112" s="8">
        <f t="shared" si="19"/>
        <v>0.625</v>
      </c>
      <c r="AA112" s="14" t="str">
        <f t="shared" si="15"/>
        <v>INTERMEDIÁRIO</v>
      </c>
      <c r="AB112" s="15">
        <f t="shared" si="16"/>
        <v>12</v>
      </c>
      <c r="AC112" s="8">
        <f t="shared" si="17"/>
        <v>0.75</v>
      </c>
      <c r="AD112" s="4"/>
      <c r="AE112" s="4"/>
      <c r="AF112" s="4"/>
    </row>
    <row r="113" spans="1:32" ht="15.75" customHeight="1" x14ac:dyDescent="0.25">
      <c r="A113" s="5" t="s">
        <v>11</v>
      </c>
      <c r="B113" s="7" t="s">
        <v>118</v>
      </c>
      <c r="C113" s="7" t="s">
        <v>1103</v>
      </c>
      <c r="D113" s="7" t="s">
        <v>1097</v>
      </c>
      <c r="E113" s="5" t="s">
        <v>125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f t="shared" si="18"/>
        <v>8</v>
      </c>
      <c r="O113" s="8">
        <f t="shared" si="12"/>
        <v>1</v>
      </c>
      <c r="P113" s="8" t="str">
        <f t="shared" si="13"/>
        <v>ADEQUADA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f t="shared" si="14"/>
        <v>8</v>
      </c>
      <c r="Z113" s="8">
        <f t="shared" si="19"/>
        <v>1</v>
      </c>
      <c r="AA113" s="14" t="str">
        <f t="shared" si="15"/>
        <v>ADEQUADA</v>
      </c>
      <c r="AB113" s="15">
        <f t="shared" si="16"/>
        <v>16</v>
      </c>
      <c r="AC113" s="8">
        <f t="shared" si="17"/>
        <v>1</v>
      </c>
      <c r="AD113" s="4"/>
      <c r="AE113" s="4"/>
      <c r="AF113" s="4"/>
    </row>
    <row r="114" spans="1:32" ht="15.75" customHeight="1" x14ac:dyDescent="0.25">
      <c r="A114" s="5" t="s">
        <v>11</v>
      </c>
      <c r="B114" s="7" t="s">
        <v>118</v>
      </c>
      <c r="C114" s="7" t="s">
        <v>1096</v>
      </c>
      <c r="D114" s="7" t="s">
        <v>1097</v>
      </c>
      <c r="E114" s="5" t="s">
        <v>126</v>
      </c>
      <c r="F114" s="7">
        <v>1</v>
      </c>
      <c r="G114" s="7">
        <v>0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f t="shared" si="18"/>
        <v>7</v>
      </c>
      <c r="O114" s="8">
        <f t="shared" si="12"/>
        <v>0.875</v>
      </c>
      <c r="P114" s="8" t="str">
        <f t="shared" si="13"/>
        <v>ADEQUADA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0</v>
      </c>
      <c r="X114" s="7">
        <v>1</v>
      </c>
      <c r="Y114" s="7">
        <f t="shared" si="14"/>
        <v>7</v>
      </c>
      <c r="Z114" s="8">
        <f t="shared" si="19"/>
        <v>0.875</v>
      </c>
      <c r="AA114" s="14" t="str">
        <f t="shared" si="15"/>
        <v>ADEQUADA</v>
      </c>
      <c r="AB114" s="15">
        <f t="shared" si="16"/>
        <v>14</v>
      </c>
      <c r="AC114" s="8">
        <f t="shared" si="17"/>
        <v>0.875</v>
      </c>
      <c r="AD114" s="4"/>
      <c r="AE114" s="4"/>
      <c r="AF114" s="4"/>
    </row>
    <row r="115" spans="1:32" ht="15.75" customHeight="1" x14ac:dyDescent="0.25">
      <c r="A115" s="5" t="s">
        <v>11</v>
      </c>
      <c r="B115" s="7" t="s">
        <v>118</v>
      </c>
      <c r="C115" s="7" t="s">
        <v>1103</v>
      </c>
      <c r="D115" s="7" t="s">
        <v>1097</v>
      </c>
      <c r="E115" s="5" t="s">
        <v>127</v>
      </c>
      <c r="F115" s="7">
        <v>1</v>
      </c>
      <c r="G115" s="7">
        <v>0</v>
      </c>
      <c r="H115" s="7">
        <v>1</v>
      </c>
      <c r="I115" s="7">
        <v>0</v>
      </c>
      <c r="J115" s="7">
        <v>1</v>
      </c>
      <c r="K115" s="7">
        <v>0</v>
      </c>
      <c r="L115" s="7">
        <v>1</v>
      </c>
      <c r="M115" s="7">
        <v>1</v>
      </c>
      <c r="N115" s="7">
        <f t="shared" si="18"/>
        <v>5</v>
      </c>
      <c r="O115" s="8">
        <f t="shared" si="12"/>
        <v>0.625</v>
      </c>
      <c r="P115" s="8" t="str">
        <f t="shared" si="13"/>
        <v>INTERMEDIÁRIO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f t="shared" si="14"/>
        <v>8</v>
      </c>
      <c r="Z115" s="8">
        <f t="shared" si="19"/>
        <v>1</v>
      </c>
      <c r="AA115" s="14" t="str">
        <f t="shared" si="15"/>
        <v>ADEQUADA</v>
      </c>
      <c r="AB115" s="15">
        <f t="shared" si="16"/>
        <v>13</v>
      </c>
      <c r="AC115" s="8">
        <f t="shared" si="17"/>
        <v>0.8125</v>
      </c>
      <c r="AD115" s="4"/>
      <c r="AE115" s="4"/>
      <c r="AF115" s="4"/>
    </row>
    <row r="116" spans="1:32" ht="15.75" customHeight="1" x14ac:dyDescent="0.25">
      <c r="A116" s="5" t="s">
        <v>11</v>
      </c>
      <c r="B116" s="7" t="s">
        <v>118</v>
      </c>
      <c r="C116" s="7" t="s">
        <v>1103</v>
      </c>
      <c r="D116" s="7" t="s">
        <v>1097</v>
      </c>
      <c r="E116" s="5" t="s">
        <v>1114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f t="shared" si="18"/>
        <v>8</v>
      </c>
      <c r="O116" s="8">
        <f t="shared" si="12"/>
        <v>1</v>
      </c>
      <c r="P116" s="8" t="str">
        <f t="shared" si="13"/>
        <v>ADEQUADA</v>
      </c>
      <c r="Q116" s="7">
        <v>1</v>
      </c>
      <c r="R116" s="7">
        <v>1</v>
      </c>
      <c r="S116" s="7">
        <v>0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f t="shared" si="14"/>
        <v>7</v>
      </c>
      <c r="Z116" s="8">
        <f t="shared" si="19"/>
        <v>0.875</v>
      </c>
      <c r="AA116" s="14" t="str">
        <f t="shared" si="15"/>
        <v>ADEQUADA</v>
      </c>
      <c r="AB116" s="15">
        <f t="shared" si="16"/>
        <v>15</v>
      </c>
      <c r="AC116" s="8">
        <f t="shared" si="17"/>
        <v>0.9375</v>
      </c>
      <c r="AD116" s="4"/>
      <c r="AE116" s="4"/>
      <c r="AF116" s="4"/>
    </row>
    <row r="117" spans="1:32" ht="15.75" customHeight="1" x14ac:dyDescent="0.25">
      <c r="A117" s="5" t="s">
        <v>11</v>
      </c>
      <c r="B117" s="7" t="s">
        <v>118</v>
      </c>
      <c r="C117" s="7" t="s">
        <v>1103</v>
      </c>
      <c r="D117" s="7" t="s">
        <v>1097</v>
      </c>
      <c r="E117" s="5" t="s">
        <v>128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f t="shared" si="18"/>
        <v>8</v>
      </c>
      <c r="O117" s="8">
        <f t="shared" si="12"/>
        <v>1</v>
      </c>
      <c r="P117" s="8" t="str">
        <f t="shared" si="13"/>
        <v>ADEQUADA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0</v>
      </c>
      <c r="Y117" s="7">
        <f t="shared" si="14"/>
        <v>7</v>
      </c>
      <c r="Z117" s="8">
        <f t="shared" si="19"/>
        <v>0.875</v>
      </c>
      <c r="AA117" s="14" t="str">
        <f t="shared" si="15"/>
        <v>ADEQUADA</v>
      </c>
      <c r="AB117" s="15">
        <f t="shared" si="16"/>
        <v>15</v>
      </c>
      <c r="AC117" s="8">
        <f t="shared" si="17"/>
        <v>0.9375</v>
      </c>
      <c r="AD117" s="4"/>
      <c r="AE117" s="4"/>
      <c r="AF117" s="4"/>
    </row>
    <row r="118" spans="1:32" ht="15.75" customHeight="1" x14ac:dyDescent="0.25">
      <c r="A118" s="5" t="s">
        <v>11</v>
      </c>
      <c r="B118" s="7" t="s">
        <v>118</v>
      </c>
      <c r="C118" s="7" t="s">
        <v>1104</v>
      </c>
      <c r="D118" s="7" t="s">
        <v>1097</v>
      </c>
      <c r="E118" s="5" t="s">
        <v>129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f t="shared" si="18"/>
        <v>8</v>
      </c>
      <c r="O118" s="8">
        <f t="shared" si="12"/>
        <v>1</v>
      </c>
      <c r="P118" s="8" t="str">
        <f t="shared" si="13"/>
        <v>ADEQUADA</v>
      </c>
      <c r="Q118" s="7">
        <v>0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0</v>
      </c>
      <c r="X118" s="7">
        <v>1</v>
      </c>
      <c r="Y118" s="7">
        <f t="shared" si="14"/>
        <v>6</v>
      </c>
      <c r="Z118" s="8">
        <f t="shared" si="19"/>
        <v>0.75</v>
      </c>
      <c r="AA118" s="14" t="str">
        <f t="shared" si="15"/>
        <v>ADEQUADA</v>
      </c>
      <c r="AB118" s="15">
        <f t="shared" si="16"/>
        <v>14</v>
      </c>
      <c r="AC118" s="8">
        <f t="shared" si="17"/>
        <v>0.875</v>
      </c>
      <c r="AD118" s="4"/>
      <c r="AE118" s="4"/>
      <c r="AF118" s="4"/>
    </row>
    <row r="119" spans="1:32" ht="15.75" customHeight="1" x14ac:dyDescent="0.25">
      <c r="A119" s="5" t="s">
        <v>11</v>
      </c>
      <c r="B119" s="7" t="s">
        <v>118</v>
      </c>
      <c r="C119" s="7" t="s">
        <v>1103</v>
      </c>
      <c r="D119" s="7" t="s">
        <v>1097</v>
      </c>
      <c r="E119" s="5" t="s">
        <v>130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f t="shared" si="18"/>
        <v>8</v>
      </c>
      <c r="O119" s="8">
        <f t="shared" ref="O119:O143" si="20">((N119*100)/8)/100</f>
        <v>1</v>
      </c>
      <c r="P119" s="8" t="str">
        <f t="shared" si="13"/>
        <v>ADEQUADA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f t="shared" si="14"/>
        <v>8</v>
      </c>
      <c r="Z119" s="8">
        <f t="shared" si="19"/>
        <v>1</v>
      </c>
      <c r="AA119" s="14" t="str">
        <f t="shared" si="15"/>
        <v>ADEQUADA</v>
      </c>
      <c r="AB119" s="15">
        <f t="shared" si="16"/>
        <v>16</v>
      </c>
      <c r="AC119" s="8">
        <f t="shared" si="17"/>
        <v>1</v>
      </c>
      <c r="AD119" s="4"/>
      <c r="AE119" s="4"/>
      <c r="AF119" s="4"/>
    </row>
    <row r="120" spans="1:32" ht="15.75" customHeight="1" x14ac:dyDescent="0.25">
      <c r="A120" s="5" t="s">
        <v>11</v>
      </c>
      <c r="B120" s="7" t="s">
        <v>118</v>
      </c>
      <c r="C120" s="7" t="s">
        <v>1096</v>
      </c>
      <c r="D120" s="7" t="s">
        <v>1097</v>
      </c>
      <c r="E120" s="5" t="s">
        <v>131</v>
      </c>
      <c r="F120" s="7">
        <v>1</v>
      </c>
      <c r="G120" s="7">
        <v>0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  <c r="N120" s="7">
        <f t="shared" si="18"/>
        <v>7</v>
      </c>
      <c r="O120" s="8">
        <f t="shared" si="20"/>
        <v>0.875</v>
      </c>
      <c r="P120" s="8" t="str">
        <f t="shared" si="13"/>
        <v>ADEQUADA</v>
      </c>
      <c r="Q120" s="7">
        <v>1</v>
      </c>
      <c r="R120" s="7">
        <v>1</v>
      </c>
      <c r="S120" s="7">
        <v>0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f t="shared" si="14"/>
        <v>7</v>
      </c>
      <c r="Z120" s="8">
        <f t="shared" si="19"/>
        <v>0.875</v>
      </c>
      <c r="AA120" s="14" t="str">
        <f t="shared" si="15"/>
        <v>ADEQUADA</v>
      </c>
      <c r="AB120" s="15">
        <f t="shared" si="16"/>
        <v>14</v>
      </c>
      <c r="AC120" s="8">
        <f t="shared" si="17"/>
        <v>0.875</v>
      </c>
      <c r="AD120" s="4"/>
      <c r="AE120" s="4"/>
      <c r="AF120" s="4"/>
    </row>
    <row r="121" spans="1:32" ht="15.75" customHeight="1" x14ac:dyDescent="0.25">
      <c r="A121" s="5" t="s">
        <v>11</v>
      </c>
      <c r="B121" s="7" t="s">
        <v>118</v>
      </c>
      <c r="C121" s="7" t="s">
        <v>1105</v>
      </c>
      <c r="D121" s="7" t="s">
        <v>1097</v>
      </c>
      <c r="E121" s="5" t="s">
        <v>1115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f t="shared" si="18"/>
        <v>8</v>
      </c>
      <c r="O121" s="8">
        <f t="shared" si="20"/>
        <v>1</v>
      </c>
      <c r="P121" s="8" t="str">
        <f t="shared" si="13"/>
        <v>ADEQUADA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f t="shared" si="14"/>
        <v>8</v>
      </c>
      <c r="Z121" s="8">
        <f t="shared" si="19"/>
        <v>1</v>
      </c>
      <c r="AA121" s="14" t="str">
        <f t="shared" si="15"/>
        <v>ADEQUADA</v>
      </c>
      <c r="AB121" s="15">
        <f t="shared" si="16"/>
        <v>16</v>
      </c>
      <c r="AC121" s="8">
        <f t="shared" si="17"/>
        <v>1</v>
      </c>
      <c r="AD121" s="4"/>
      <c r="AE121" s="4"/>
      <c r="AF121" s="4"/>
    </row>
    <row r="122" spans="1:32" ht="15.75" customHeight="1" x14ac:dyDescent="0.25">
      <c r="A122" s="5" t="s">
        <v>11</v>
      </c>
      <c r="B122" s="7" t="s">
        <v>118</v>
      </c>
      <c r="C122" s="7" t="s">
        <v>1104</v>
      </c>
      <c r="D122" s="7" t="s">
        <v>1097</v>
      </c>
      <c r="E122" s="5" t="s">
        <v>132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f t="shared" si="18"/>
        <v>8</v>
      </c>
      <c r="O122" s="8">
        <f t="shared" si="20"/>
        <v>1</v>
      </c>
      <c r="P122" s="8" t="str">
        <f t="shared" si="13"/>
        <v>ADEQUADA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f t="shared" si="14"/>
        <v>8</v>
      </c>
      <c r="Z122" s="8">
        <f t="shared" si="19"/>
        <v>1</v>
      </c>
      <c r="AA122" s="14" t="str">
        <f t="shared" si="15"/>
        <v>ADEQUADA</v>
      </c>
      <c r="AB122" s="15">
        <f t="shared" si="16"/>
        <v>16</v>
      </c>
      <c r="AC122" s="8">
        <f t="shared" si="17"/>
        <v>1</v>
      </c>
      <c r="AD122" s="4"/>
      <c r="AE122" s="4"/>
      <c r="AF122" s="4"/>
    </row>
    <row r="123" spans="1:32" ht="15.75" customHeight="1" x14ac:dyDescent="0.25">
      <c r="A123" s="5" t="s">
        <v>11</v>
      </c>
      <c r="B123" s="7" t="s">
        <v>118</v>
      </c>
      <c r="C123" s="7" t="s">
        <v>1103</v>
      </c>
      <c r="D123" s="7" t="s">
        <v>1097</v>
      </c>
      <c r="E123" s="5" t="s">
        <v>133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f t="shared" si="18"/>
        <v>8</v>
      </c>
      <c r="O123" s="8">
        <f t="shared" si="20"/>
        <v>1</v>
      </c>
      <c r="P123" s="8" t="str">
        <f t="shared" si="13"/>
        <v>ADEQUADA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</v>
      </c>
      <c r="Y123" s="7">
        <f t="shared" si="14"/>
        <v>8</v>
      </c>
      <c r="Z123" s="8">
        <f t="shared" si="19"/>
        <v>1</v>
      </c>
      <c r="AA123" s="14" t="str">
        <f t="shared" si="15"/>
        <v>ADEQUADA</v>
      </c>
      <c r="AB123" s="15">
        <f t="shared" si="16"/>
        <v>16</v>
      </c>
      <c r="AC123" s="8">
        <f t="shared" si="17"/>
        <v>1</v>
      </c>
      <c r="AD123" s="4"/>
      <c r="AE123" s="4"/>
      <c r="AF123" s="4"/>
    </row>
    <row r="124" spans="1:32" ht="15.75" customHeight="1" x14ac:dyDescent="0.25">
      <c r="A124" s="5" t="s">
        <v>11</v>
      </c>
      <c r="B124" s="7" t="s">
        <v>118</v>
      </c>
      <c r="C124" s="7" t="s">
        <v>1103</v>
      </c>
      <c r="D124" s="7" t="s">
        <v>1097</v>
      </c>
      <c r="E124" s="5" t="s">
        <v>134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8</v>
      </c>
      <c r="O124" s="8">
        <f t="shared" si="20"/>
        <v>1</v>
      </c>
      <c r="P124" s="8" t="str">
        <f t="shared" si="13"/>
        <v>ADEQUADA</v>
      </c>
      <c r="Q124" s="7">
        <v>1</v>
      </c>
      <c r="R124" s="7">
        <v>1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f t="shared" si="14"/>
        <v>8</v>
      </c>
      <c r="Z124" s="8">
        <f t="shared" si="19"/>
        <v>1</v>
      </c>
      <c r="AA124" s="14" t="str">
        <f t="shared" si="15"/>
        <v>ADEQUADA</v>
      </c>
      <c r="AB124" s="15">
        <f t="shared" si="16"/>
        <v>16</v>
      </c>
      <c r="AC124" s="8">
        <f t="shared" si="17"/>
        <v>1</v>
      </c>
      <c r="AD124" s="4"/>
      <c r="AE124" s="4"/>
      <c r="AF124" s="4"/>
    </row>
    <row r="125" spans="1:32" ht="15.75" customHeight="1" x14ac:dyDescent="0.25">
      <c r="A125" s="5" t="s">
        <v>11</v>
      </c>
      <c r="B125" s="7" t="s">
        <v>135</v>
      </c>
      <c r="C125" s="7" t="s">
        <v>1099</v>
      </c>
      <c r="D125" s="7" t="s">
        <v>1100</v>
      </c>
      <c r="E125" s="5" t="s">
        <v>1116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f t="shared" ref="N125:N134" si="21">SUM(F125:M125)</f>
        <v>0</v>
      </c>
      <c r="O125" s="8">
        <f t="shared" si="20"/>
        <v>0</v>
      </c>
      <c r="P125" s="8" t="str">
        <f t="shared" si="13"/>
        <v>DEFASAGEM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f t="shared" si="14"/>
        <v>0</v>
      </c>
      <c r="Z125" s="8">
        <f t="shared" si="19"/>
        <v>0</v>
      </c>
      <c r="AA125" s="14" t="str">
        <f t="shared" si="15"/>
        <v>DEFASAGEM</v>
      </c>
      <c r="AB125" s="15">
        <f t="shared" si="16"/>
        <v>0</v>
      </c>
      <c r="AC125" s="8">
        <f t="shared" si="17"/>
        <v>0</v>
      </c>
      <c r="AD125" s="4"/>
      <c r="AE125" s="4"/>
      <c r="AF125" s="4"/>
    </row>
    <row r="126" spans="1:32" ht="15.75" customHeight="1" x14ac:dyDescent="0.25">
      <c r="A126" s="5" t="s">
        <v>11</v>
      </c>
      <c r="B126" s="7" t="s">
        <v>135</v>
      </c>
      <c r="C126" s="7" t="s">
        <v>1103</v>
      </c>
      <c r="D126" s="7" t="s">
        <v>1097</v>
      </c>
      <c r="E126" s="5" t="s">
        <v>136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  <c r="N126" s="7">
        <f t="shared" si="21"/>
        <v>8</v>
      </c>
      <c r="O126" s="8">
        <f t="shared" si="20"/>
        <v>1</v>
      </c>
      <c r="P126" s="8" t="str">
        <f t="shared" si="13"/>
        <v>ADEQUADA</v>
      </c>
      <c r="Q126" s="7">
        <v>1</v>
      </c>
      <c r="R126" s="7">
        <v>1</v>
      </c>
      <c r="S126" s="7">
        <v>1</v>
      </c>
      <c r="T126" s="7">
        <v>1</v>
      </c>
      <c r="U126" s="7">
        <v>1</v>
      </c>
      <c r="V126" s="7">
        <v>1</v>
      </c>
      <c r="W126" s="7">
        <v>0</v>
      </c>
      <c r="X126" s="7">
        <v>1</v>
      </c>
      <c r="Y126" s="7">
        <f t="shared" si="14"/>
        <v>7</v>
      </c>
      <c r="Z126" s="8">
        <f t="shared" si="19"/>
        <v>0.875</v>
      </c>
      <c r="AA126" s="14" t="str">
        <f t="shared" si="15"/>
        <v>ADEQUADA</v>
      </c>
      <c r="AB126" s="15">
        <f t="shared" si="16"/>
        <v>15</v>
      </c>
      <c r="AC126" s="8">
        <f t="shared" si="17"/>
        <v>0.9375</v>
      </c>
      <c r="AD126" s="4"/>
      <c r="AE126" s="4"/>
      <c r="AF126" s="4"/>
    </row>
    <row r="127" spans="1:32" ht="15.75" customHeight="1" x14ac:dyDescent="0.25">
      <c r="A127" s="5" t="s">
        <v>11</v>
      </c>
      <c r="B127" s="7" t="s">
        <v>135</v>
      </c>
      <c r="C127" s="7" t="s">
        <v>1103</v>
      </c>
      <c r="D127" s="7" t="s">
        <v>1097</v>
      </c>
      <c r="E127" s="5" t="s">
        <v>137</v>
      </c>
      <c r="F127" s="7">
        <v>0</v>
      </c>
      <c r="G127" s="7">
        <v>0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1</v>
      </c>
      <c r="N127" s="7">
        <f t="shared" si="21"/>
        <v>6</v>
      </c>
      <c r="O127" s="8">
        <f t="shared" si="20"/>
        <v>0.75</v>
      </c>
      <c r="P127" s="8" t="str">
        <f t="shared" si="13"/>
        <v>ADEQUADA</v>
      </c>
      <c r="Q127" s="7">
        <v>1</v>
      </c>
      <c r="R127" s="7">
        <v>1</v>
      </c>
      <c r="S127" s="7">
        <v>1</v>
      </c>
      <c r="T127" s="7">
        <v>1</v>
      </c>
      <c r="U127" s="7">
        <v>1</v>
      </c>
      <c r="V127" s="7">
        <v>1</v>
      </c>
      <c r="W127" s="7">
        <v>0</v>
      </c>
      <c r="X127" s="7">
        <v>1</v>
      </c>
      <c r="Y127" s="7">
        <f t="shared" si="14"/>
        <v>7</v>
      </c>
      <c r="Z127" s="8">
        <f t="shared" si="19"/>
        <v>0.875</v>
      </c>
      <c r="AA127" s="14" t="str">
        <f t="shared" si="15"/>
        <v>ADEQUADA</v>
      </c>
      <c r="AB127" s="15">
        <f t="shared" si="16"/>
        <v>13</v>
      </c>
      <c r="AC127" s="8">
        <f t="shared" si="17"/>
        <v>0.8125</v>
      </c>
      <c r="AD127" s="4"/>
      <c r="AE127" s="4"/>
      <c r="AF127" s="4"/>
    </row>
    <row r="128" spans="1:32" ht="15.75" customHeight="1" x14ac:dyDescent="0.25">
      <c r="A128" s="5" t="s">
        <v>11</v>
      </c>
      <c r="B128" s="7" t="s">
        <v>135</v>
      </c>
      <c r="C128" s="7" t="s">
        <v>1105</v>
      </c>
      <c r="D128" s="7" t="s">
        <v>1097</v>
      </c>
      <c r="E128" s="5" t="s">
        <v>138</v>
      </c>
      <c r="F128" s="7">
        <v>1</v>
      </c>
      <c r="G128" s="7">
        <v>0</v>
      </c>
      <c r="H128" s="7">
        <v>1</v>
      </c>
      <c r="I128" s="7">
        <v>1</v>
      </c>
      <c r="J128" s="7">
        <v>1</v>
      </c>
      <c r="K128" s="7">
        <v>0</v>
      </c>
      <c r="L128" s="7">
        <v>0</v>
      </c>
      <c r="M128" s="7">
        <v>1</v>
      </c>
      <c r="N128" s="7">
        <f t="shared" si="21"/>
        <v>5</v>
      </c>
      <c r="O128" s="8">
        <f t="shared" si="20"/>
        <v>0.625</v>
      </c>
      <c r="P128" s="8" t="str">
        <f t="shared" si="13"/>
        <v>INTERMEDIÁRIO</v>
      </c>
      <c r="Q128" s="7">
        <v>1</v>
      </c>
      <c r="R128" s="7">
        <v>1</v>
      </c>
      <c r="S128" s="7">
        <v>1</v>
      </c>
      <c r="T128" s="7">
        <v>1</v>
      </c>
      <c r="U128" s="7">
        <v>1</v>
      </c>
      <c r="V128" s="7">
        <v>1</v>
      </c>
      <c r="W128" s="7">
        <v>1</v>
      </c>
      <c r="X128" s="7">
        <v>1</v>
      </c>
      <c r="Y128" s="7">
        <f t="shared" si="14"/>
        <v>8</v>
      </c>
      <c r="Z128" s="8">
        <f t="shared" si="19"/>
        <v>1</v>
      </c>
      <c r="AA128" s="14" t="str">
        <f t="shared" si="15"/>
        <v>ADEQUADA</v>
      </c>
      <c r="AB128" s="15">
        <f t="shared" si="16"/>
        <v>13</v>
      </c>
      <c r="AC128" s="8">
        <f t="shared" si="17"/>
        <v>0.8125</v>
      </c>
      <c r="AD128" s="4"/>
      <c r="AE128" s="4"/>
      <c r="AF128" s="4"/>
    </row>
    <row r="129" spans="1:32" ht="15.75" customHeight="1" x14ac:dyDescent="0.25">
      <c r="A129" s="5" t="s">
        <v>11</v>
      </c>
      <c r="B129" s="7" t="s">
        <v>135</v>
      </c>
      <c r="C129" s="7" t="s">
        <v>1103</v>
      </c>
      <c r="D129" s="7" t="s">
        <v>1097</v>
      </c>
      <c r="E129" s="5" t="s">
        <v>139</v>
      </c>
      <c r="F129" s="7">
        <v>1</v>
      </c>
      <c r="G129" s="7">
        <v>0</v>
      </c>
      <c r="H129" s="7">
        <v>1</v>
      </c>
      <c r="I129" s="7">
        <v>1</v>
      </c>
      <c r="J129" s="7">
        <v>1</v>
      </c>
      <c r="K129" s="7">
        <v>1</v>
      </c>
      <c r="L129" s="7">
        <v>0</v>
      </c>
      <c r="M129" s="7">
        <v>0</v>
      </c>
      <c r="N129" s="7">
        <f t="shared" si="21"/>
        <v>5</v>
      </c>
      <c r="O129" s="8">
        <f t="shared" si="20"/>
        <v>0.625</v>
      </c>
      <c r="P129" s="8" t="str">
        <f t="shared" si="13"/>
        <v>INTERMEDIÁRIO</v>
      </c>
      <c r="Q129" s="7">
        <v>1</v>
      </c>
      <c r="R129" s="7">
        <v>1</v>
      </c>
      <c r="S129" s="7">
        <v>0</v>
      </c>
      <c r="T129" s="7">
        <v>0</v>
      </c>
      <c r="U129" s="7">
        <v>1</v>
      </c>
      <c r="V129" s="7">
        <v>1</v>
      </c>
      <c r="W129" s="7">
        <v>0</v>
      </c>
      <c r="X129" s="7">
        <v>0</v>
      </c>
      <c r="Y129" s="7">
        <f t="shared" si="14"/>
        <v>4</v>
      </c>
      <c r="Z129" s="8">
        <f t="shared" si="19"/>
        <v>0.5</v>
      </c>
      <c r="AA129" s="14" t="str">
        <f t="shared" si="15"/>
        <v>INTERMEDIÁRIO</v>
      </c>
      <c r="AB129" s="15">
        <f t="shared" si="16"/>
        <v>9</v>
      </c>
      <c r="AC129" s="8">
        <f t="shared" si="17"/>
        <v>0.5625</v>
      </c>
      <c r="AD129" s="4"/>
      <c r="AE129" s="4"/>
      <c r="AF129" s="4"/>
    </row>
    <row r="130" spans="1:32" ht="15.75" customHeight="1" x14ac:dyDescent="0.25">
      <c r="A130" s="5" t="s">
        <v>11</v>
      </c>
      <c r="B130" s="7" t="s">
        <v>135</v>
      </c>
      <c r="C130" s="7" t="s">
        <v>1103</v>
      </c>
      <c r="D130" s="7" t="s">
        <v>1097</v>
      </c>
      <c r="E130" s="5" t="s">
        <v>140</v>
      </c>
      <c r="F130" s="7">
        <v>1</v>
      </c>
      <c r="G130" s="7">
        <v>0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7">
        <f t="shared" si="21"/>
        <v>7</v>
      </c>
      <c r="O130" s="8">
        <f t="shared" si="20"/>
        <v>0.875</v>
      </c>
      <c r="P130" s="8" t="str">
        <f t="shared" si="13"/>
        <v>ADEQUADA</v>
      </c>
      <c r="Q130" s="7">
        <v>1</v>
      </c>
      <c r="R130" s="7">
        <v>1</v>
      </c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1</v>
      </c>
      <c r="Y130" s="7">
        <f t="shared" si="14"/>
        <v>8</v>
      </c>
      <c r="Z130" s="8">
        <f t="shared" si="19"/>
        <v>1</v>
      </c>
      <c r="AA130" s="14" t="str">
        <f t="shared" si="15"/>
        <v>ADEQUADA</v>
      </c>
      <c r="AB130" s="15">
        <f t="shared" si="16"/>
        <v>15</v>
      </c>
      <c r="AC130" s="8">
        <f t="shared" si="17"/>
        <v>0.9375</v>
      </c>
      <c r="AD130" s="4"/>
      <c r="AE130" s="4"/>
      <c r="AF130" s="4"/>
    </row>
    <row r="131" spans="1:32" ht="15.75" customHeight="1" x14ac:dyDescent="0.25">
      <c r="A131" s="5" t="s">
        <v>11</v>
      </c>
      <c r="B131" s="7" t="s">
        <v>135</v>
      </c>
      <c r="C131" s="7" t="s">
        <v>1103</v>
      </c>
      <c r="D131" s="7" t="s">
        <v>1097</v>
      </c>
      <c r="E131" s="5" t="s">
        <v>141</v>
      </c>
      <c r="F131" s="7">
        <v>1</v>
      </c>
      <c r="G131" s="7">
        <v>1</v>
      </c>
      <c r="H131" s="7">
        <v>1</v>
      </c>
      <c r="I131" s="7">
        <v>1</v>
      </c>
      <c r="J131" s="7">
        <v>1</v>
      </c>
      <c r="K131" s="7">
        <v>1</v>
      </c>
      <c r="L131" s="7">
        <v>0</v>
      </c>
      <c r="M131" s="7">
        <v>1</v>
      </c>
      <c r="N131" s="7">
        <f t="shared" si="21"/>
        <v>7</v>
      </c>
      <c r="O131" s="8">
        <f t="shared" si="20"/>
        <v>0.875</v>
      </c>
      <c r="P131" s="8" t="str">
        <f t="shared" si="13"/>
        <v>ADEQUADA</v>
      </c>
      <c r="Q131" s="7">
        <v>1</v>
      </c>
      <c r="R131" s="7">
        <v>1</v>
      </c>
      <c r="S131" s="7">
        <v>1</v>
      </c>
      <c r="T131" s="7">
        <v>1</v>
      </c>
      <c r="U131" s="7">
        <v>0</v>
      </c>
      <c r="V131" s="7">
        <v>1</v>
      </c>
      <c r="W131" s="7">
        <v>0</v>
      </c>
      <c r="X131" s="7">
        <v>1</v>
      </c>
      <c r="Y131" s="7">
        <f t="shared" si="14"/>
        <v>6</v>
      </c>
      <c r="Z131" s="8">
        <f t="shared" si="19"/>
        <v>0.75</v>
      </c>
      <c r="AA131" s="14" t="str">
        <f t="shared" si="15"/>
        <v>ADEQUADA</v>
      </c>
      <c r="AB131" s="15">
        <f t="shared" si="16"/>
        <v>13</v>
      </c>
      <c r="AC131" s="8">
        <f t="shared" si="17"/>
        <v>0.8125</v>
      </c>
      <c r="AD131" s="4"/>
      <c r="AE131" s="4"/>
      <c r="AF131" s="4"/>
    </row>
    <row r="132" spans="1:32" ht="15.75" customHeight="1" x14ac:dyDescent="0.25">
      <c r="A132" s="5" t="s">
        <v>11</v>
      </c>
      <c r="B132" s="7" t="s">
        <v>135</v>
      </c>
      <c r="C132" s="7" t="s">
        <v>1103</v>
      </c>
      <c r="D132" s="7" t="s">
        <v>1097</v>
      </c>
      <c r="E132" s="5" t="s">
        <v>142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1</v>
      </c>
      <c r="M132" s="7">
        <v>1</v>
      </c>
      <c r="N132" s="7">
        <f t="shared" si="21"/>
        <v>8</v>
      </c>
      <c r="O132" s="8">
        <f t="shared" si="20"/>
        <v>1</v>
      </c>
      <c r="P132" s="8" t="str">
        <f t="shared" ref="P132:P143" si="22">IF(O132&lt;0.4,"DEFASAGEM",IF(O132&lt;0.7,"INTERMEDIÁRIO","ADEQUADA"))</f>
        <v>ADEQUADA</v>
      </c>
      <c r="Q132" s="7">
        <v>1</v>
      </c>
      <c r="R132" s="7">
        <v>1</v>
      </c>
      <c r="S132" s="7">
        <v>1</v>
      </c>
      <c r="T132" s="7">
        <v>1</v>
      </c>
      <c r="U132" s="7">
        <v>1</v>
      </c>
      <c r="V132" s="7">
        <v>1</v>
      </c>
      <c r="W132" s="7">
        <v>1</v>
      </c>
      <c r="X132" s="7">
        <v>1</v>
      </c>
      <c r="Y132" s="7">
        <f t="shared" ref="Y132:Y143" si="23">SUM(Q132:X132)</f>
        <v>8</v>
      </c>
      <c r="Z132" s="8">
        <f t="shared" si="19"/>
        <v>1</v>
      </c>
      <c r="AA132" s="14" t="str">
        <f t="shared" ref="AA132:AA143" si="24">IF(Z132&lt;0.4,"DEFASAGEM",IF(Z132&lt;0.7,"INTERMEDIÁRIO","ADEQUADA"))</f>
        <v>ADEQUADA</v>
      </c>
      <c r="AB132" s="15">
        <f t="shared" ref="AB132:AB143" si="25">SUM(F132:M132)+SUM(Q132:X132)</f>
        <v>16</v>
      </c>
      <c r="AC132" s="8">
        <f t="shared" si="17"/>
        <v>1</v>
      </c>
      <c r="AD132" s="4"/>
      <c r="AE132" s="4"/>
      <c r="AF132" s="4"/>
    </row>
    <row r="133" spans="1:32" ht="15.75" customHeight="1" x14ac:dyDescent="0.25">
      <c r="A133" s="5" t="s">
        <v>11</v>
      </c>
      <c r="B133" s="7" t="s">
        <v>135</v>
      </c>
      <c r="C133" s="7" t="s">
        <v>1104</v>
      </c>
      <c r="D133" s="7" t="s">
        <v>1097</v>
      </c>
      <c r="E133" s="5" t="s">
        <v>143</v>
      </c>
      <c r="F133" s="7">
        <v>1</v>
      </c>
      <c r="G133" s="7">
        <v>0</v>
      </c>
      <c r="H133" s="7">
        <v>1</v>
      </c>
      <c r="I133" s="7">
        <v>1</v>
      </c>
      <c r="J133" s="7">
        <v>1</v>
      </c>
      <c r="K133" s="7">
        <v>1</v>
      </c>
      <c r="L133" s="7">
        <v>1</v>
      </c>
      <c r="M133" s="7">
        <v>1</v>
      </c>
      <c r="N133" s="7">
        <f t="shared" si="21"/>
        <v>7</v>
      </c>
      <c r="O133" s="8">
        <f t="shared" si="20"/>
        <v>0.875</v>
      </c>
      <c r="P133" s="8" t="str">
        <f t="shared" si="22"/>
        <v>ADEQUADA</v>
      </c>
      <c r="Q133" s="7">
        <v>1</v>
      </c>
      <c r="R133" s="7">
        <v>1</v>
      </c>
      <c r="S133" s="7">
        <v>1</v>
      </c>
      <c r="T133" s="7">
        <v>1</v>
      </c>
      <c r="U133" s="7">
        <v>1</v>
      </c>
      <c r="V133" s="7">
        <v>1</v>
      </c>
      <c r="W133" s="7">
        <v>0</v>
      </c>
      <c r="X133" s="7">
        <v>1</v>
      </c>
      <c r="Y133" s="7">
        <f t="shared" si="23"/>
        <v>7</v>
      </c>
      <c r="Z133" s="8">
        <f t="shared" si="19"/>
        <v>0.875</v>
      </c>
      <c r="AA133" s="14" t="str">
        <f t="shared" si="24"/>
        <v>ADEQUADA</v>
      </c>
      <c r="AB133" s="15">
        <f t="shared" si="25"/>
        <v>14</v>
      </c>
      <c r="AC133" s="8">
        <f t="shared" si="17"/>
        <v>0.875</v>
      </c>
      <c r="AD133" s="4"/>
      <c r="AE133" s="4"/>
      <c r="AF133" s="4"/>
    </row>
    <row r="134" spans="1:32" ht="15.75" customHeight="1" x14ac:dyDescent="0.25">
      <c r="A134" s="5" t="s">
        <v>11</v>
      </c>
      <c r="B134" s="7" t="s">
        <v>135</v>
      </c>
      <c r="C134" s="7" t="s">
        <v>1096</v>
      </c>
      <c r="D134" s="7" t="s">
        <v>1097</v>
      </c>
      <c r="E134" s="5" t="s">
        <v>144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1</v>
      </c>
      <c r="L134" s="7">
        <v>1</v>
      </c>
      <c r="M134" s="7">
        <v>1</v>
      </c>
      <c r="N134" s="7">
        <f t="shared" si="21"/>
        <v>3</v>
      </c>
      <c r="O134" s="8">
        <f t="shared" si="20"/>
        <v>0.375</v>
      </c>
      <c r="P134" s="8" t="str">
        <f t="shared" si="22"/>
        <v>DEFASAGEM</v>
      </c>
      <c r="Q134" s="7">
        <v>1</v>
      </c>
      <c r="R134" s="7">
        <v>1</v>
      </c>
      <c r="S134" s="7">
        <v>0</v>
      </c>
      <c r="T134" s="7">
        <v>1</v>
      </c>
      <c r="U134" s="7">
        <v>0</v>
      </c>
      <c r="V134" s="7">
        <v>0</v>
      </c>
      <c r="W134" s="7">
        <v>1</v>
      </c>
      <c r="X134" s="7">
        <v>1</v>
      </c>
      <c r="Y134" s="7">
        <f t="shared" si="23"/>
        <v>5</v>
      </c>
      <c r="Z134" s="8">
        <f t="shared" si="19"/>
        <v>0.625</v>
      </c>
      <c r="AA134" s="14" t="str">
        <f t="shared" si="24"/>
        <v>INTERMEDIÁRIO</v>
      </c>
      <c r="AB134" s="15">
        <f t="shared" si="25"/>
        <v>8</v>
      </c>
      <c r="AC134" s="8">
        <f t="shared" si="17"/>
        <v>0.5</v>
      </c>
      <c r="AD134" s="4"/>
      <c r="AE134" s="4"/>
      <c r="AF134" s="4"/>
    </row>
    <row r="135" spans="1:32" ht="15.75" customHeight="1" x14ac:dyDescent="0.25">
      <c r="A135" s="5" t="s">
        <v>11</v>
      </c>
      <c r="B135" s="7" t="s">
        <v>135</v>
      </c>
      <c r="C135" s="7" t="s">
        <v>1103</v>
      </c>
      <c r="D135" s="7" t="s">
        <v>1097</v>
      </c>
      <c r="E135" s="5" t="s">
        <v>145</v>
      </c>
      <c r="F135" s="7">
        <v>1</v>
      </c>
      <c r="G135" s="7">
        <v>1</v>
      </c>
      <c r="H135" s="7">
        <v>1</v>
      </c>
      <c r="I135" s="7">
        <v>0</v>
      </c>
      <c r="J135" s="7">
        <v>1</v>
      </c>
      <c r="K135" s="7">
        <v>1</v>
      </c>
      <c r="L135" s="7">
        <v>1</v>
      </c>
      <c r="M135" s="7">
        <v>1</v>
      </c>
      <c r="N135" s="7">
        <v>7</v>
      </c>
      <c r="O135" s="8">
        <f t="shared" si="20"/>
        <v>0.875</v>
      </c>
      <c r="P135" s="8" t="str">
        <f t="shared" si="22"/>
        <v>ADEQUADA</v>
      </c>
      <c r="Q135" s="7">
        <v>1</v>
      </c>
      <c r="R135" s="7">
        <v>1</v>
      </c>
      <c r="S135" s="7">
        <v>1</v>
      </c>
      <c r="T135" s="7">
        <v>1</v>
      </c>
      <c r="U135" s="7">
        <v>1</v>
      </c>
      <c r="V135" s="7">
        <v>1</v>
      </c>
      <c r="W135" s="7">
        <v>1</v>
      </c>
      <c r="X135" s="7">
        <v>1</v>
      </c>
      <c r="Y135" s="7">
        <f t="shared" si="23"/>
        <v>8</v>
      </c>
      <c r="Z135" s="8">
        <f t="shared" si="19"/>
        <v>1</v>
      </c>
      <c r="AA135" s="14" t="str">
        <f t="shared" si="24"/>
        <v>ADEQUADA</v>
      </c>
      <c r="AB135" s="15">
        <f t="shared" si="25"/>
        <v>15</v>
      </c>
      <c r="AC135" s="8">
        <f t="shared" si="17"/>
        <v>0.9375</v>
      </c>
      <c r="AD135" s="4"/>
      <c r="AE135" s="4"/>
      <c r="AF135" s="4"/>
    </row>
    <row r="136" spans="1:32" ht="15.75" customHeight="1" x14ac:dyDescent="0.25">
      <c r="A136" s="5" t="s">
        <v>11</v>
      </c>
      <c r="B136" s="7" t="s">
        <v>135</v>
      </c>
      <c r="C136" s="7" t="s">
        <v>1117</v>
      </c>
      <c r="D136" s="7" t="s">
        <v>1097</v>
      </c>
      <c r="E136" s="5" t="s">
        <v>146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0</v>
      </c>
      <c r="L136" s="7">
        <v>1</v>
      </c>
      <c r="M136" s="7">
        <v>1</v>
      </c>
      <c r="N136" s="7">
        <f t="shared" ref="N136:N143" si="26">SUM(F136:M136)</f>
        <v>7</v>
      </c>
      <c r="O136" s="8">
        <f t="shared" si="20"/>
        <v>0.875</v>
      </c>
      <c r="P136" s="8" t="str">
        <f t="shared" si="22"/>
        <v>ADEQUADA</v>
      </c>
      <c r="Q136" s="7">
        <v>1</v>
      </c>
      <c r="R136" s="7">
        <v>1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</v>
      </c>
      <c r="Y136" s="7">
        <f t="shared" si="23"/>
        <v>8</v>
      </c>
      <c r="Z136" s="8">
        <f t="shared" si="19"/>
        <v>1</v>
      </c>
      <c r="AA136" s="14" t="str">
        <f t="shared" si="24"/>
        <v>ADEQUADA</v>
      </c>
      <c r="AB136" s="15">
        <f t="shared" si="25"/>
        <v>15</v>
      </c>
      <c r="AC136" s="8">
        <f t="shared" si="17"/>
        <v>0.9375</v>
      </c>
      <c r="AD136" s="4"/>
      <c r="AE136" s="4"/>
      <c r="AF136" s="4"/>
    </row>
    <row r="137" spans="1:32" ht="15.75" customHeight="1" x14ac:dyDescent="0.25">
      <c r="A137" s="5" t="s">
        <v>11</v>
      </c>
      <c r="B137" s="7" t="s">
        <v>135</v>
      </c>
      <c r="C137" s="7" t="s">
        <v>1103</v>
      </c>
      <c r="D137" s="7" t="s">
        <v>1097</v>
      </c>
      <c r="E137" s="5" t="s">
        <v>147</v>
      </c>
      <c r="F137" s="7">
        <v>1</v>
      </c>
      <c r="G137" s="7">
        <v>1</v>
      </c>
      <c r="H137" s="7">
        <v>1</v>
      </c>
      <c r="I137" s="7">
        <v>1</v>
      </c>
      <c r="J137" s="7">
        <v>1</v>
      </c>
      <c r="K137" s="7">
        <v>1</v>
      </c>
      <c r="L137" s="7">
        <v>1</v>
      </c>
      <c r="M137" s="7">
        <v>1</v>
      </c>
      <c r="N137" s="7">
        <f t="shared" si="26"/>
        <v>8</v>
      </c>
      <c r="O137" s="8">
        <f t="shared" si="20"/>
        <v>1</v>
      </c>
      <c r="P137" s="8" t="str">
        <f t="shared" si="22"/>
        <v>ADEQUADA</v>
      </c>
      <c r="Q137" s="7">
        <v>1</v>
      </c>
      <c r="R137" s="7">
        <v>1</v>
      </c>
      <c r="S137" s="7">
        <v>1</v>
      </c>
      <c r="T137" s="7">
        <v>1</v>
      </c>
      <c r="U137" s="7">
        <v>1</v>
      </c>
      <c r="V137" s="7">
        <v>1</v>
      </c>
      <c r="W137" s="7">
        <v>0</v>
      </c>
      <c r="X137" s="7">
        <v>1</v>
      </c>
      <c r="Y137" s="7">
        <f t="shared" si="23"/>
        <v>7</v>
      </c>
      <c r="Z137" s="8">
        <f t="shared" si="19"/>
        <v>0.875</v>
      </c>
      <c r="AA137" s="14" t="str">
        <f t="shared" si="24"/>
        <v>ADEQUADA</v>
      </c>
      <c r="AB137" s="15">
        <f t="shared" si="25"/>
        <v>15</v>
      </c>
      <c r="AC137" s="8">
        <f t="shared" si="17"/>
        <v>0.9375</v>
      </c>
      <c r="AD137" s="4"/>
      <c r="AE137" s="4"/>
      <c r="AF137" s="4"/>
    </row>
    <row r="138" spans="1:32" ht="15.75" customHeight="1" x14ac:dyDescent="0.25">
      <c r="A138" s="5" t="s">
        <v>11</v>
      </c>
      <c r="B138" s="7" t="s">
        <v>135</v>
      </c>
      <c r="C138" s="7" t="s">
        <v>1103</v>
      </c>
      <c r="D138" s="7" t="s">
        <v>1097</v>
      </c>
      <c r="E138" s="5" t="s">
        <v>148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  <c r="M138" s="7">
        <v>1</v>
      </c>
      <c r="N138" s="7">
        <f t="shared" si="26"/>
        <v>8</v>
      </c>
      <c r="O138" s="8">
        <f t="shared" si="20"/>
        <v>1</v>
      </c>
      <c r="P138" s="8" t="str">
        <f t="shared" si="22"/>
        <v>ADEQUADA</v>
      </c>
      <c r="Q138" s="7">
        <v>1</v>
      </c>
      <c r="R138" s="7">
        <v>1</v>
      </c>
      <c r="S138" s="7">
        <v>1</v>
      </c>
      <c r="T138" s="7">
        <v>1</v>
      </c>
      <c r="U138" s="7">
        <v>1</v>
      </c>
      <c r="V138" s="7">
        <v>1</v>
      </c>
      <c r="W138" s="7">
        <v>1</v>
      </c>
      <c r="X138" s="7">
        <v>1</v>
      </c>
      <c r="Y138" s="7">
        <f t="shared" si="23"/>
        <v>8</v>
      </c>
      <c r="Z138" s="8">
        <f t="shared" si="19"/>
        <v>1</v>
      </c>
      <c r="AA138" s="14" t="str">
        <f t="shared" si="24"/>
        <v>ADEQUADA</v>
      </c>
      <c r="AB138" s="15">
        <f t="shared" si="25"/>
        <v>16</v>
      </c>
      <c r="AC138" s="8">
        <f t="shared" si="17"/>
        <v>1</v>
      </c>
      <c r="AD138" s="4"/>
      <c r="AE138" s="4"/>
      <c r="AF138" s="4"/>
    </row>
    <row r="139" spans="1:32" ht="15.75" customHeight="1" x14ac:dyDescent="0.25">
      <c r="A139" s="5" t="s">
        <v>11</v>
      </c>
      <c r="B139" s="7" t="s">
        <v>135</v>
      </c>
      <c r="C139" s="7" t="s">
        <v>1105</v>
      </c>
      <c r="D139" s="7" t="s">
        <v>1097</v>
      </c>
      <c r="E139" s="5" t="s">
        <v>149</v>
      </c>
      <c r="F139" s="7">
        <v>1</v>
      </c>
      <c r="G139" s="7">
        <v>1</v>
      </c>
      <c r="H139" s="7">
        <v>1</v>
      </c>
      <c r="I139" s="7">
        <v>1</v>
      </c>
      <c r="J139" s="7">
        <v>1</v>
      </c>
      <c r="K139" s="7">
        <v>1</v>
      </c>
      <c r="L139" s="7">
        <v>1</v>
      </c>
      <c r="M139" s="7">
        <v>1</v>
      </c>
      <c r="N139" s="7">
        <f t="shared" si="26"/>
        <v>8</v>
      </c>
      <c r="O139" s="8">
        <f t="shared" si="20"/>
        <v>1</v>
      </c>
      <c r="P139" s="8" t="str">
        <f t="shared" si="22"/>
        <v>ADEQUADA</v>
      </c>
      <c r="Q139" s="7">
        <v>1</v>
      </c>
      <c r="R139" s="7">
        <v>1</v>
      </c>
      <c r="S139" s="7">
        <v>1</v>
      </c>
      <c r="T139" s="7">
        <v>1</v>
      </c>
      <c r="U139" s="7">
        <v>1</v>
      </c>
      <c r="V139" s="7">
        <v>1</v>
      </c>
      <c r="W139" s="7">
        <v>1</v>
      </c>
      <c r="X139" s="7">
        <v>1</v>
      </c>
      <c r="Y139" s="7">
        <f t="shared" si="23"/>
        <v>8</v>
      </c>
      <c r="Z139" s="8">
        <f t="shared" si="19"/>
        <v>1</v>
      </c>
      <c r="AA139" s="14" t="str">
        <f t="shared" si="24"/>
        <v>ADEQUADA</v>
      </c>
      <c r="AB139" s="15">
        <f t="shared" si="25"/>
        <v>16</v>
      </c>
      <c r="AC139" s="8">
        <f t="shared" si="17"/>
        <v>1</v>
      </c>
      <c r="AD139" s="4"/>
      <c r="AE139" s="4"/>
      <c r="AF139" s="4"/>
    </row>
    <row r="140" spans="1:32" ht="15.75" customHeight="1" x14ac:dyDescent="0.25">
      <c r="A140" s="5" t="s">
        <v>11</v>
      </c>
      <c r="B140" s="7" t="s">
        <v>135</v>
      </c>
      <c r="C140" s="7" t="s">
        <v>1105</v>
      </c>
      <c r="D140" s="7" t="s">
        <v>1097</v>
      </c>
      <c r="E140" s="5" t="s">
        <v>150</v>
      </c>
      <c r="F140" s="7">
        <v>1</v>
      </c>
      <c r="G140" s="7">
        <v>0</v>
      </c>
      <c r="H140" s="7">
        <v>1</v>
      </c>
      <c r="I140" s="7">
        <v>1</v>
      </c>
      <c r="J140" s="7">
        <v>1</v>
      </c>
      <c r="K140" s="7">
        <v>1</v>
      </c>
      <c r="L140" s="7">
        <v>1</v>
      </c>
      <c r="M140" s="7">
        <v>1</v>
      </c>
      <c r="N140" s="7">
        <f t="shared" si="26"/>
        <v>7</v>
      </c>
      <c r="O140" s="8">
        <f t="shared" si="20"/>
        <v>0.875</v>
      </c>
      <c r="P140" s="8" t="str">
        <f t="shared" si="22"/>
        <v>ADEQUADA</v>
      </c>
      <c r="Q140" s="7">
        <v>1</v>
      </c>
      <c r="R140" s="7">
        <v>1</v>
      </c>
      <c r="S140" s="7">
        <v>1</v>
      </c>
      <c r="T140" s="7">
        <v>1</v>
      </c>
      <c r="U140" s="7">
        <v>1</v>
      </c>
      <c r="V140" s="7">
        <v>0</v>
      </c>
      <c r="W140" s="7">
        <v>0</v>
      </c>
      <c r="X140" s="7">
        <v>1</v>
      </c>
      <c r="Y140" s="7">
        <f t="shared" si="23"/>
        <v>6</v>
      </c>
      <c r="Z140" s="8">
        <f t="shared" si="19"/>
        <v>0.75</v>
      </c>
      <c r="AA140" s="14" t="str">
        <f t="shared" si="24"/>
        <v>ADEQUADA</v>
      </c>
      <c r="AB140" s="15">
        <f t="shared" si="25"/>
        <v>13</v>
      </c>
      <c r="AC140" s="8">
        <f t="shared" si="17"/>
        <v>0.8125</v>
      </c>
      <c r="AD140" s="4"/>
      <c r="AE140" s="4"/>
      <c r="AF140" s="4"/>
    </row>
    <row r="141" spans="1:32" ht="15.75" customHeight="1" x14ac:dyDescent="0.25">
      <c r="A141" s="5" t="s">
        <v>11</v>
      </c>
      <c r="B141" s="7" t="s">
        <v>135</v>
      </c>
      <c r="C141" s="7" t="s">
        <v>1096</v>
      </c>
      <c r="D141" s="7" t="s">
        <v>1097</v>
      </c>
      <c r="E141" s="5" t="s">
        <v>151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  <c r="K141" s="7">
        <v>1</v>
      </c>
      <c r="L141" s="7">
        <v>1</v>
      </c>
      <c r="M141" s="7">
        <v>1</v>
      </c>
      <c r="N141" s="7">
        <f t="shared" si="26"/>
        <v>8</v>
      </c>
      <c r="O141" s="8">
        <f t="shared" si="20"/>
        <v>1</v>
      </c>
      <c r="P141" s="8" t="str">
        <f t="shared" si="22"/>
        <v>ADEQUADA</v>
      </c>
      <c r="Q141" s="7">
        <v>1</v>
      </c>
      <c r="R141" s="7">
        <v>1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1</v>
      </c>
      <c r="Y141" s="7">
        <f t="shared" si="23"/>
        <v>8</v>
      </c>
      <c r="Z141" s="8">
        <f t="shared" si="19"/>
        <v>1</v>
      </c>
      <c r="AA141" s="14" t="str">
        <f t="shared" si="24"/>
        <v>ADEQUADA</v>
      </c>
      <c r="AB141" s="15">
        <f t="shared" si="25"/>
        <v>16</v>
      </c>
      <c r="AC141" s="8">
        <f t="shared" si="17"/>
        <v>1</v>
      </c>
      <c r="AD141" s="4"/>
      <c r="AE141" s="4"/>
      <c r="AF141" s="4"/>
    </row>
    <row r="142" spans="1:32" ht="15.75" customHeight="1" x14ac:dyDescent="0.25">
      <c r="A142" s="5" t="s">
        <v>11</v>
      </c>
      <c r="B142" s="7" t="s">
        <v>135</v>
      </c>
      <c r="C142" s="7" t="s">
        <v>1104</v>
      </c>
      <c r="D142" s="7" t="s">
        <v>1097</v>
      </c>
      <c r="E142" s="5" t="s">
        <v>152</v>
      </c>
      <c r="F142" s="7">
        <v>1</v>
      </c>
      <c r="G142" s="7">
        <v>1</v>
      </c>
      <c r="H142" s="7">
        <v>1</v>
      </c>
      <c r="I142" s="7">
        <v>1</v>
      </c>
      <c r="J142" s="7">
        <v>1</v>
      </c>
      <c r="K142" s="7">
        <v>1</v>
      </c>
      <c r="L142" s="7">
        <v>1</v>
      </c>
      <c r="M142" s="7">
        <v>1</v>
      </c>
      <c r="N142" s="7">
        <f t="shared" si="26"/>
        <v>8</v>
      </c>
      <c r="O142" s="8">
        <f t="shared" si="20"/>
        <v>1</v>
      </c>
      <c r="P142" s="8" t="str">
        <f t="shared" si="22"/>
        <v>ADEQUADA</v>
      </c>
      <c r="Q142" s="7">
        <v>1</v>
      </c>
      <c r="R142" s="7">
        <v>1</v>
      </c>
      <c r="S142" s="7">
        <v>0</v>
      </c>
      <c r="T142" s="7">
        <v>1</v>
      </c>
      <c r="U142" s="7">
        <v>1</v>
      </c>
      <c r="V142" s="7">
        <v>1</v>
      </c>
      <c r="W142" s="7">
        <v>0</v>
      </c>
      <c r="X142" s="7">
        <v>1</v>
      </c>
      <c r="Y142" s="7">
        <f t="shared" si="23"/>
        <v>6</v>
      </c>
      <c r="Z142" s="8">
        <f t="shared" si="19"/>
        <v>0.75</v>
      </c>
      <c r="AA142" s="14" t="str">
        <f t="shared" si="24"/>
        <v>ADEQUADA</v>
      </c>
      <c r="AB142" s="15">
        <f t="shared" si="25"/>
        <v>14</v>
      </c>
      <c r="AC142" s="8">
        <f t="shared" si="17"/>
        <v>0.875</v>
      </c>
      <c r="AD142" s="4"/>
      <c r="AE142" s="4"/>
      <c r="AF142" s="4"/>
    </row>
    <row r="143" spans="1:32" ht="15.75" customHeight="1" x14ac:dyDescent="0.25">
      <c r="A143" s="5" t="s">
        <v>11</v>
      </c>
      <c r="B143" s="7" t="s">
        <v>135</v>
      </c>
      <c r="C143" s="7" t="s">
        <v>1103</v>
      </c>
      <c r="D143" s="7" t="s">
        <v>1097</v>
      </c>
      <c r="E143" s="5" t="s">
        <v>153</v>
      </c>
      <c r="F143" s="7">
        <v>1</v>
      </c>
      <c r="G143" s="7">
        <v>1</v>
      </c>
      <c r="H143" s="7">
        <v>1</v>
      </c>
      <c r="I143" s="7">
        <v>1</v>
      </c>
      <c r="J143" s="7">
        <v>1</v>
      </c>
      <c r="K143" s="7">
        <v>0</v>
      </c>
      <c r="L143" s="7">
        <v>1</v>
      </c>
      <c r="M143" s="7">
        <v>1</v>
      </c>
      <c r="N143" s="7">
        <f t="shared" si="26"/>
        <v>7</v>
      </c>
      <c r="O143" s="8">
        <f t="shared" si="20"/>
        <v>0.875</v>
      </c>
      <c r="P143" s="8" t="str">
        <f t="shared" si="22"/>
        <v>ADEQUADA</v>
      </c>
      <c r="Q143" s="7">
        <v>1</v>
      </c>
      <c r="R143" s="7">
        <v>1</v>
      </c>
      <c r="S143" s="7">
        <v>1</v>
      </c>
      <c r="T143" s="7">
        <v>1</v>
      </c>
      <c r="U143" s="7">
        <v>1</v>
      </c>
      <c r="V143" s="7">
        <v>1</v>
      </c>
      <c r="W143" s="7">
        <v>0</v>
      </c>
      <c r="X143" s="7">
        <v>1</v>
      </c>
      <c r="Y143" s="7">
        <f t="shared" si="23"/>
        <v>7</v>
      </c>
      <c r="Z143" s="8">
        <f t="shared" si="19"/>
        <v>0.875</v>
      </c>
      <c r="AA143" s="14" t="str">
        <f t="shared" si="24"/>
        <v>ADEQUADA</v>
      </c>
      <c r="AB143" s="15">
        <f t="shared" si="25"/>
        <v>14</v>
      </c>
      <c r="AC143" s="8">
        <f t="shared" si="17"/>
        <v>0.875</v>
      </c>
      <c r="AD143" s="4"/>
      <c r="AE143" s="4"/>
      <c r="AF143" s="4"/>
    </row>
    <row r="144" spans="1:32" ht="15.75" customHeight="1" x14ac:dyDescent="0.25">
      <c r="A144" s="5" t="s">
        <v>12</v>
      </c>
      <c r="B144" s="7" t="s">
        <v>1098</v>
      </c>
      <c r="C144" s="7" t="s">
        <v>1104</v>
      </c>
      <c r="D144" s="7" t="s">
        <v>1097</v>
      </c>
      <c r="E144" s="5" t="s">
        <v>1118</v>
      </c>
      <c r="F144" s="7">
        <v>1</v>
      </c>
      <c r="G144" s="7">
        <v>0</v>
      </c>
      <c r="H144" s="7">
        <v>1</v>
      </c>
      <c r="I144" s="7">
        <v>1</v>
      </c>
      <c r="J144" s="7">
        <v>1</v>
      </c>
      <c r="K144" s="7">
        <v>0</v>
      </c>
      <c r="L144" s="7">
        <v>0</v>
      </c>
      <c r="M144" s="7">
        <v>1</v>
      </c>
      <c r="N144" s="7">
        <v>5</v>
      </c>
      <c r="O144" s="8">
        <v>0.63</v>
      </c>
      <c r="P144" s="8" t="s">
        <v>1119</v>
      </c>
      <c r="Q144" s="7">
        <v>1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0</v>
      </c>
      <c r="X144" s="7">
        <v>0</v>
      </c>
      <c r="Y144" s="7">
        <v>6</v>
      </c>
      <c r="Z144" s="8">
        <v>0.75</v>
      </c>
      <c r="AA144" s="14" t="s">
        <v>1120</v>
      </c>
      <c r="AB144" s="15">
        <v>11</v>
      </c>
      <c r="AC144" s="8">
        <v>0.69</v>
      </c>
      <c r="AD144" s="4"/>
      <c r="AE144" s="4"/>
      <c r="AF144" s="4"/>
    </row>
    <row r="145" spans="1:32" ht="15.75" customHeight="1" x14ac:dyDescent="0.25">
      <c r="A145" s="5" t="s">
        <v>12</v>
      </c>
      <c r="B145" s="7" t="s">
        <v>24</v>
      </c>
      <c r="C145" s="7" t="s">
        <v>1103</v>
      </c>
      <c r="D145" s="7" t="s">
        <v>1097</v>
      </c>
      <c r="E145" s="5" t="s">
        <v>154</v>
      </c>
      <c r="F145" s="7">
        <v>1</v>
      </c>
      <c r="G145" s="7">
        <v>0</v>
      </c>
      <c r="H145" s="7">
        <v>1</v>
      </c>
      <c r="I145" s="7">
        <v>1</v>
      </c>
      <c r="J145" s="7">
        <v>1</v>
      </c>
      <c r="K145" s="7">
        <v>1</v>
      </c>
      <c r="L145" s="7">
        <v>0</v>
      </c>
      <c r="M145" s="7">
        <v>1</v>
      </c>
      <c r="N145" s="7">
        <f t="shared" ref="N145:N199" si="27">SUM(F145:M145)</f>
        <v>6</v>
      </c>
      <c r="O145" s="8">
        <f t="shared" ref="O145:O199" si="28">((N145*100)/8)/100</f>
        <v>0.75</v>
      </c>
      <c r="P145" s="8" t="str">
        <f t="shared" ref="P145:P208" si="29">IF(O145&lt;0.4,"DEFASAGEM",IF(O145&lt;0.7,"INTERMEDIÁRIO","ADEQUADA"))</f>
        <v>ADEQUADA</v>
      </c>
      <c r="Q145" s="7">
        <v>1</v>
      </c>
      <c r="R145" s="7">
        <v>1</v>
      </c>
      <c r="S145" s="7">
        <v>1</v>
      </c>
      <c r="T145" s="7">
        <v>1</v>
      </c>
      <c r="U145" s="7">
        <v>1</v>
      </c>
      <c r="V145" s="7">
        <v>1</v>
      </c>
      <c r="W145" s="7">
        <v>1</v>
      </c>
      <c r="X145" s="7">
        <v>1</v>
      </c>
      <c r="Y145" s="7">
        <f t="shared" ref="Y145:Y208" si="30">SUM(Q145:X145)</f>
        <v>8</v>
      </c>
      <c r="Z145" s="8">
        <f t="shared" ref="Z145:Z208" si="31">((Y145*100)/8)/100</f>
        <v>1</v>
      </c>
      <c r="AA145" s="14" t="str">
        <f t="shared" ref="AA145:AA208" si="32">IF(Z145&lt;0.4,"DEFASAGEM",IF(Z145&lt;0.7,"INTERMEDIÁRIO","ADEQUADA"))</f>
        <v>ADEQUADA</v>
      </c>
      <c r="AB145" s="15">
        <f t="shared" ref="AB145:AB208" si="33">SUM(F145:M145)+SUM(Q145:X145)</f>
        <v>14</v>
      </c>
      <c r="AC145" s="8">
        <f t="shared" ref="AC145:AC208" si="34">((AB145*100)/16)/100</f>
        <v>0.875</v>
      </c>
      <c r="AD145" s="4"/>
      <c r="AE145" s="4"/>
      <c r="AF145" s="4"/>
    </row>
    <row r="146" spans="1:32" ht="15.75" customHeight="1" x14ac:dyDescent="0.25">
      <c r="A146" s="5" t="s">
        <v>12</v>
      </c>
      <c r="B146" s="7" t="s">
        <v>24</v>
      </c>
      <c r="C146" s="7" t="s">
        <v>1103</v>
      </c>
      <c r="D146" s="7" t="s">
        <v>1097</v>
      </c>
      <c r="E146" s="5" t="s">
        <v>155</v>
      </c>
      <c r="F146" s="7">
        <v>1</v>
      </c>
      <c r="G146" s="7">
        <v>1</v>
      </c>
      <c r="H146" s="7">
        <v>1</v>
      </c>
      <c r="I146" s="7">
        <v>1</v>
      </c>
      <c r="J146" s="7">
        <v>1</v>
      </c>
      <c r="K146" s="7">
        <v>1</v>
      </c>
      <c r="L146" s="7">
        <v>1</v>
      </c>
      <c r="M146" s="7">
        <v>1</v>
      </c>
      <c r="N146" s="7">
        <f t="shared" si="27"/>
        <v>8</v>
      </c>
      <c r="O146" s="8">
        <f t="shared" si="28"/>
        <v>1</v>
      </c>
      <c r="P146" s="8" t="str">
        <f t="shared" si="29"/>
        <v>ADEQUADA</v>
      </c>
      <c r="Q146" s="7">
        <v>1</v>
      </c>
      <c r="R146" s="7">
        <v>1</v>
      </c>
      <c r="S146" s="7">
        <v>1</v>
      </c>
      <c r="T146" s="7">
        <v>1</v>
      </c>
      <c r="U146" s="7">
        <v>1</v>
      </c>
      <c r="V146" s="7">
        <v>1</v>
      </c>
      <c r="W146" s="7">
        <v>0</v>
      </c>
      <c r="X146" s="7">
        <v>1</v>
      </c>
      <c r="Y146" s="7">
        <f t="shared" si="30"/>
        <v>7</v>
      </c>
      <c r="Z146" s="8">
        <f t="shared" si="31"/>
        <v>0.875</v>
      </c>
      <c r="AA146" s="14" t="str">
        <f t="shared" si="32"/>
        <v>ADEQUADA</v>
      </c>
      <c r="AB146" s="15">
        <f t="shared" si="33"/>
        <v>15</v>
      </c>
      <c r="AC146" s="8">
        <f t="shared" si="34"/>
        <v>0.9375</v>
      </c>
      <c r="AD146" s="4"/>
      <c r="AE146" s="4"/>
      <c r="AF146" s="4"/>
    </row>
    <row r="147" spans="1:32" ht="15.75" customHeight="1" x14ac:dyDescent="0.25">
      <c r="A147" s="5" t="s">
        <v>12</v>
      </c>
      <c r="B147" s="7" t="s">
        <v>24</v>
      </c>
      <c r="C147" s="7" t="s">
        <v>1104</v>
      </c>
      <c r="D147" s="7" t="s">
        <v>1097</v>
      </c>
      <c r="E147" s="5" t="s">
        <v>156</v>
      </c>
      <c r="F147" s="7">
        <v>0</v>
      </c>
      <c r="G147" s="7">
        <v>0</v>
      </c>
      <c r="H147" s="7">
        <v>1</v>
      </c>
      <c r="I147" s="7">
        <v>1</v>
      </c>
      <c r="J147" s="7">
        <v>1</v>
      </c>
      <c r="K147" s="7">
        <v>0</v>
      </c>
      <c r="L147" s="7">
        <v>1</v>
      </c>
      <c r="M147" s="7">
        <v>1</v>
      </c>
      <c r="N147" s="7">
        <f t="shared" si="27"/>
        <v>5</v>
      </c>
      <c r="O147" s="8">
        <f t="shared" si="28"/>
        <v>0.625</v>
      </c>
      <c r="P147" s="8" t="str">
        <f t="shared" si="29"/>
        <v>INTERMEDIÁRIO</v>
      </c>
      <c r="Q147" s="7">
        <v>1</v>
      </c>
      <c r="R147" s="7">
        <v>1</v>
      </c>
      <c r="S147" s="7">
        <v>0</v>
      </c>
      <c r="T147" s="7">
        <v>1</v>
      </c>
      <c r="U147" s="7">
        <v>1</v>
      </c>
      <c r="V147" s="7">
        <v>1</v>
      </c>
      <c r="W147" s="7">
        <v>0</v>
      </c>
      <c r="X147" s="7">
        <v>0</v>
      </c>
      <c r="Y147" s="7">
        <f t="shared" si="30"/>
        <v>5</v>
      </c>
      <c r="Z147" s="8">
        <f t="shared" si="31"/>
        <v>0.625</v>
      </c>
      <c r="AA147" s="14" t="str">
        <f t="shared" si="32"/>
        <v>INTERMEDIÁRIO</v>
      </c>
      <c r="AB147" s="15">
        <f t="shared" si="33"/>
        <v>10</v>
      </c>
      <c r="AC147" s="8">
        <f t="shared" si="34"/>
        <v>0.625</v>
      </c>
      <c r="AD147" s="4"/>
      <c r="AE147" s="4"/>
      <c r="AF147" s="4"/>
    </row>
    <row r="148" spans="1:32" ht="15.75" customHeight="1" x14ac:dyDescent="0.25">
      <c r="A148" s="5" t="s">
        <v>12</v>
      </c>
      <c r="B148" s="7" t="s">
        <v>24</v>
      </c>
      <c r="C148" s="7" t="s">
        <v>1103</v>
      </c>
      <c r="D148" s="7" t="s">
        <v>1097</v>
      </c>
      <c r="E148" s="5" t="s">
        <v>157</v>
      </c>
      <c r="F148" s="7">
        <v>1</v>
      </c>
      <c r="G148" s="7">
        <v>1</v>
      </c>
      <c r="H148" s="7">
        <v>1</v>
      </c>
      <c r="I148" s="7">
        <v>1</v>
      </c>
      <c r="J148" s="7">
        <v>1</v>
      </c>
      <c r="K148" s="7">
        <v>1</v>
      </c>
      <c r="L148" s="7">
        <v>1</v>
      </c>
      <c r="M148" s="7">
        <v>1</v>
      </c>
      <c r="N148" s="7">
        <f t="shared" si="27"/>
        <v>8</v>
      </c>
      <c r="O148" s="8">
        <f t="shared" si="28"/>
        <v>1</v>
      </c>
      <c r="P148" s="8" t="str">
        <f t="shared" si="29"/>
        <v>ADEQUADA</v>
      </c>
      <c r="Q148" s="7">
        <v>1</v>
      </c>
      <c r="R148" s="7">
        <v>1</v>
      </c>
      <c r="S148" s="7">
        <v>1</v>
      </c>
      <c r="T148" s="7">
        <v>1</v>
      </c>
      <c r="U148" s="7">
        <v>1</v>
      </c>
      <c r="V148" s="7">
        <v>1</v>
      </c>
      <c r="W148" s="7">
        <v>1</v>
      </c>
      <c r="X148" s="7">
        <v>1</v>
      </c>
      <c r="Y148" s="7">
        <f t="shared" si="30"/>
        <v>8</v>
      </c>
      <c r="Z148" s="8">
        <f t="shared" si="31"/>
        <v>1</v>
      </c>
      <c r="AA148" s="14" t="str">
        <f t="shared" si="32"/>
        <v>ADEQUADA</v>
      </c>
      <c r="AB148" s="15">
        <f t="shared" si="33"/>
        <v>16</v>
      </c>
      <c r="AC148" s="8">
        <f t="shared" si="34"/>
        <v>1</v>
      </c>
      <c r="AD148" s="4"/>
      <c r="AE148" s="4"/>
      <c r="AF148" s="4"/>
    </row>
    <row r="149" spans="1:32" ht="15.75" customHeight="1" x14ac:dyDescent="0.25">
      <c r="A149" s="5" t="s">
        <v>12</v>
      </c>
      <c r="B149" s="7" t="s">
        <v>24</v>
      </c>
      <c r="C149" s="7" t="s">
        <v>1103</v>
      </c>
      <c r="D149" s="7" t="s">
        <v>1097</v>
      </c>
      <c r="E149" s="5" t="s">
        <v>158</v>
      </c>
      <c r="F149" s="7">
        <v>1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  <c r="M149" s="7">
        <v>1</v>
      </c>
      <c r="N149" s="7">
        <f t="shared" si="27"/>
        <v>8</v>
      </c>
      <c r="O149" s="8">
        <f t="shared" si="28"/>
        <v>1</v>
      </c>
      <c r="P149" s="8" t="str">
        <f t="shared" si="29"/>
        <v>ADEQUADA</v>
      </c>
      <c r="Q149" s="7">
        <v>1</v>
      </c>
      <c r="R149" s="7">
        <v>1</v>
      </c>
      <c r="S149" s="7">
        <v>1</v>
      </c>
      <c r="T149" s="7">
        <v>1</v>
      </c>
      <c r="U149" s="7">
        <v>1</v>
      </c>
      <c r="V149" s="7">
        <v>1</v>
      </c>
      <c r="W149" s="7">
        <v>1</v>
      </c>
      <c r="X149" s="7">
        <v>1</v>
      </c>
      <c r="Y149" s="7">
        <f t="shared" si="30"/>
        <v>8</v>
      </c>
      <c r="Z149" s="8">
        <f t="shared" si="31"/>
        <v>1</v>
      </c>
      <c r="AA149" s="14" t="str">
        <f t="shared" si="32"/>
        <v>ADEQUADA</v>
      </c>
      <c r="AB149" s="15">
        <f t="shared" si="33"/>
        <v>16</v>
      </c>
      <c r="AC149" s="8">
        <f t="shared" si="34"/>
        <v>1</v>
      </c>
      <c r="AD149" s="4"/>
      <c r="AE149" s="4"/>
      <c r="AF149" s="4"/>
    </row>
    <row r="150" spans="1:32" ht="15.75" customHeight="1" x14ac:dyDescent="0.25">
      <c r="A150" s="5" t="s">
        <v>12</v>
      </c>
      <c r="B150" s="7" t="s">
        <v>24</v>
      </c>
      <c r="C150" s="7" t="s">
        <v>1104</v>
      </c>
      <c r="D150" s="7" t="s">
        <v>1097</v>
      </c>
      <c r="E150" s="5" t="s">
        <v>159</v>
      </c>
      <c r="F150" s="7">
        <v>1</v>
      </c>
      <c r="G150" s="7">
        <v>1</v>
      </c>
      <c r="H150" s="7">
        <v>1</v>
      </c>
      <c r="I150" s="7">
        <v>1</v>
      </c>
      <c r="J150" s="7">
        <v>1</v>
      </c>
      <c r="K150" s="7">
        <v>1</v>
      </c>
      <c r="L150" s="7">
        <v>1</v>
      </c>
      <c r="M150" s="7">
        <v>1</v>
      </c>
      <c r="N150" s="7">
        <f t="shared" si="27"/>
        <v>8</v>
      </c>
      <c r="O150" s="8">
        <f t="shared" si="28"/>
        <v>1</v>
      </c>
      <c r="P150" s="8" t="str">
        <f t="shared" si="29"/>
        <v>ADEQUADA</v>
      </c>
      <c r="Q150" s="7">
        <v>1</v>
      </c>
      <c r="R150" s="7">
        <v>1</v>
      </c>
      <c r="S150" s="7">
        <v>1</v>
      </c>
      <c r="T150" s="7">
        <v>1</v>
      </c>
      <c r="U150" s="7">
        <v>1</v>
      </c>
      <c r="V150" s="7">
        <v>1</v>
      </c>
      <c r="W150" s="7">
        <v>0</v>
      </c>
      <c r="X150" s="7">
        <v>1</v>
      </c>
      <c r="Y150" s="7">
        <f t="shared" si="30"/>
        <v>7</v>
      </c>
      <c r="Z150" s="8">
        <f t="shared" si="31"/>
        <v>0.875</v>
      </c>
      <c r="AA150" s="14" t="str">
        <f t="shared" si="32"/>
        <v>ADEQUADA</v>
      </c>
      <c r="AB150" s="15">
        <f t="shared" si="33"/>
        <v>15</v>
      </c>
      <c r="AC150" s="8">
        <f t="shared" si="34"/>
        <v>0.9375</v>
      </c>
      <c r="AD150" s="4"/>
      <c r="AE150" s="4"/>
      <c r="AF150" s="4"/>
    </row>
    <row r="151" spans="1:32" ht="15.75" customHeight="1" x14ac:dyDescent="0.25">
      <c r="A151" s="5" t="s">
        <v>12</v>
      </c>
      <c r="B151" s="7" t="s">
        <v>24</v>
      </c>
      <c r="C151" s="7" t="s">
        <v>1103</v>
      </c>
      <c r="D151" s="7" t="s">
        <v>1097</v>
      </c>
      <c r="E151" s="5" t="s">
        <v>160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1</v>
      </c>
      <c r="M151" s="7">
        <v>1</v>
      </c>
      <c r="N151" s="7">
        <f t="shared" si="27"/>
        <v>3</v>
      </c>
      <c r="O151" s="8">
        <f t="shared" si="28"/>
        <v>0.375</v>
      </c>
      <c r="P151" s="8" t="str">
        <f t="shared" si="29"/>
        <v>DEFASAGEM</v>
      </c>
      <c r="Q151" s="7">
        <v>1</v>
      </c>
      <c r="R151" s="7">
        <v>1</v>
      </c>
      <c r="S151" s="7">
        <v>1</v>
      </c>
      <c r="T151" s="7">
        <v>1</v>
      </c>
      <c r="U151" s="7">
        <v>0</v>
      </c>
      <c r="V151" s="7">
        <v>0</v>
      </c>
      <c r="W151" s="7">
        <v>1</v>
      </c>
      <c r="X151" s="7">
        <v>1</v>
      </c>
      <c r="Y151" s="7">
        <f t="shared" si="30"/>
        <v>6</v>
      </c>
      <c r="Z151" s="8">
        <f t="shared" si="31"/>
        <v>0.75</v>
      </c>
      <c r="AA151" s="14" t="str">
        <f t="shared" si="32"/>
        <v>ADEQUADA</v>
      </c>
      <c r="AB151" s="15">
        <f t="shared" si="33"/>
        <v>9</v>
      </c>
      <c r="AC151" s="8">
        <f t="shared" si="34"/>
        <v>0.5625</v>
      </c>
      <c r="AD151" s="4"/>
      <c r="AE151" s="4"/>
      <c r="AF151" s="4"/>
    </row>
    <row r="152" spans="1:32" ht="15.75" customHeight="1" x14ac:dyDescent="0.25">
      <c r="A152" s="5" t="s">
        <v>12</v>
      </c>
      <c r="B152" s="7" t="s">
        <v>24</v>
      </c>
      <c r="C152" s="7" t="s">
        <v>1103</v>
      </c>
      <c r="D152" s="7" t="s">
        <v>1097</v>
      </c>
      <c r="E152" s="5" t="s">
        <v>161</v>
      </c>
      <c r="F152" s="7">
        <v>1</v>
      </c>
      <c r="G152" s="7">
        <v>0</v>
      </c>
      <c r="H152" s="7">
        <v>1</v>
      </c>
      <c r="I152" s="7">
        <v>1</v>
      </c>
      <c r="J152" s="7">
        <v>1</v>
      </c>
      <c r="K152" s="7">
        <v>0</v>
      </c>
      <c r="L152" s="7">
        <v>0</v>
      </c>
      <c r="M152" s="7">
        <v>0</v>
      </c>
      <c r="N152" s="7">
        <f t="shared" si="27"/>
        <v>4</v>
      </c>
      <c r="O152" s="8">
        <f t="shared" si="28"/>
        <v>0.5</v>
      </c>
      <c r="P152" s="8" t="str">
        <f t="shared" si="29"/>
        <v>INTERMEDIÁRIO</v>
      </c>
      <c r="Q152" s="7">
        <v>1</v>
      </c>
      <c r="R152" s="7">
        <v>1</v>
      </c>
      <c r="S152" s="7">
        <v>0</v>
      </c>
      <c r="T152" s="7">
        <v>1</v>
      </c>
      <c r="U152" s="7">
        <v>0</v>
      </c>
      <c r="V152" s="7">
        <v>1</v>
      </c>
      <c r="W152" s="7">
        <v>0</v>
      </c>
      <c r="X152" s="7">
        <v>0</v>
      </c>
      <c r="Y152" s="7">
        <f t="shared" si="30"/>
        <v>4</v>
      </c>
      <c r="Z152" s="8">
        <f t="shared" si="31"/>
        <v>0.5</v>
      </c>
      <c r="AA152" s="14" t="str">
        <f t="shared" si="32"/>
        <v>INTERMEDIÁRIO</v>
      </c>
      <c r="AB152" s="15">
        <f t="shared" si="33"/>
        <v>8</v>
      </c>
      <c r="AC152" s="8">
        <f t="shared" si="34"/>
        <v>0.5</v>
      </c>
      <c r="AD152" s="4"/>
      <c r="AE152" s="4"/>
      <c r="AF152" s="4"/>
    </row>
    <row r="153" spans="1:32" ht="15.75" customHeight="1" x14ac:dyDescent="0.25">
      <c r="A153" s="5" t="s">
        <v>12</v>
      </c>
      <c r="B153" s="7" t="s">
        <v>24</v>
      </c>
      <c r="C153" s="7" t="s">
        <v>1104</v>
      </c>
      <c r="D153" s="7" t="s">
        <v>1097</v>
      </c>
      <c r="E153" s="5" t="s">
        <v>162</v>
      </c>
      <c r="F153" s="7">
        <v>1</v>
      </c>
      <c r="G153" s="7">
        <v>1</v>
      </c>
      <c r="H153" s="7">
        <v>1</v>
      </c>
      <c r="I153" s="7">
        <v>1</v>
      </c>
      <c r="J153" s="7">
        <v>1</v>
      </c>
      <c r="K153" s="7">
        <v>0</v>
      </c>
      <c r="L153" s="7">
        <v>1</v>
      </c>
      <c r="M153" s="7">
        <v>1</v>
      </c>
      <c r="N153" s="7">
        <f t="shared" si="27"/>
        <v>7</v>
      </c>
      <c r="O153" s="8">
        <f t="shared" si="28"/>
        <v>0.875</v>
      </c>
      <c r="P153" s="8" t="str">
        <f t="shared" si="29"/>
        <v>ADEQUADA</v>
      </c>
      <c r="Q153" s="7">
        <v>1</v>
      </c>
      <c r="R153" s="7">
        <v>1</v>
      </c>
      <c r="S153" s="7">
        <v>1</v>
      </c>
      <c r="T153" s="7">
        <v>1</v>
      </c>
      <c r="U153" s="7">
        <v>1</v>
      </c>
      <c r="V153" s="7">
        <v>1</v>
      </c>
      <c r="W153" s="7">
        <v>0</v>
      </c>
      <c r="X153" s="7">
        <v>1</v>
      </c>
      <c r="Y153" s="7">
        <f t="shared" si="30"/>
        <v>7</v>
      </c>
      <c r="Z153" s="8">
        <f t="shared" si="31"/>
        <v>0.875</v>
      </c>
      <c r="AA153" s="14" t="str">
        <f t="shared" si="32"/>
        <v>ADEQUADA</v>
      </c>
      <c r="AB153" s="15">
        <f t="shared" si="33"/>
        <v>14</v>
      </c>
      <c r="AC153" s="8">
        <f t="shared" si="34"/>
        <v>0.875</v>
      </c>
      <c r="AD153" s="4"/>
      <c r="AE153" s="4"/>
      <c r="AF153" s="4"/>
    </row>
    <row r="154" spans="1:32" ht="15.75" customHeight="1" x14ac:dyDescent="0.25">
      <c r="A154" s="5" t="s">
        <v>12</v>
      </c>
      <c r="B154" s="7" t="s">
        <v>24</v>
      </c>
      <c r="C154" s="7" t="s">
        <v>1104</v>
      </c>
      <c r="D154" s="7" t="s">
        <v>1097</v>
      </c>
      <c r="E154" s="5" t="s">
        <v>163</v>
      </c>
      <c r="F154" s="7">
        <v>1</v>
      </c>
      <c r="G154" s="7">
        <v>0</v>
      </c>
      <c r="H154" s="7">
        <v>1</v>
      </c>
      <c r="I154" s="7">
        <v>1</v>
      </c>
      <c r="J154" s="7">
        <v>1</v>
      </c>
      <c r="K154" s="7">
        <v>0</v>
      </c>
      <c r="L154" s="7">
        <v>1</v>
      </c>
      <c r="M154" s="7">
        <v>1</v>
      </c>
      <c r="N154" s="7">
        <f t="shared" si="27"/>
        <v>6</v>
      </c>
      <c r="O154" s="8">
        <f t="shared" si="28"/>
        <v>0.75</v>
      </c>
      <c r="P154" s="8" t="str">
        <f t="shared" si="29"/>
        <v>ADEQUADA</v>
      </c>
      <c r="Q154" s="7">
        <v>1</v>
      </c>
      <c r="R154" s="7">
        <v>1</v>
      </c>
      <c r="S154" s="7">
        <v>1</v>
      </c>
      <c r="T154" s="7">
        <v>1</v>
      </c>
      <c r="U154" s="7">
        <v>1</v>
      </c>
      <c r="V154" s="7">
        <v>1</v>
      </c>
      <c r="W154" s="7">
        <v>0</v>
      </c>
      <c r="X154" s="7">
        <v>1</v>
      </c>
      <c r="Y154" s="7">
        <f t="shared" si="30"/>
        <v>7</v>
      </c>
      <c r="Z154" s="8">
        <f t="shared" si="31"/>
        <v>0.875</v>
      </c>
      <c r="AA154" s="14" t="str">
        <f t="shared" si="32"/>
        <v>ADEQUADA</v>
      </c>
      <c r="AB154" s="15">
        <f t="shared" si="33"/>
        <v>13</v>
      </c>
      <c r="AC154" s="8">
        <f t="shared" si="34"/>
        <v>0.8125</v>
      </c>
      <c r="AD154" s="4"/>
      <c r="AE154" s="4"/>
      <c r="AF154" s="4"/>
    </row>
    <row r="155" spans="1:32" ht="15.75" customHeight="1" x14ac:dyDescent="0.25">
      <c r="A155" s="5" t="s">
        <v>12</v>
      </c>
      <c r="B155" s="7" t="s">
        <v>24</v>
      </c>
      <c r="C155" s="7" t="s">
        <v>1104</v>
      </c>
      <c r="D155" s="7" t="s">
        <v>1097</v>
      </c>
      <c r="E155" s="5" t="s">
        <v>164</v>
      </c>
      <c r="F155" s="7">
        <v>0</v>
      </c>
      <c r="G155" s="7">
        <v>0</v>
      </c>
      <c r="H155" s="7">
        <v>1</v>
      </c>
      <c r="I155" s="7">
        <v>0</v>
      </c>
      <c r="J155" s="7">
        <v>1</v>
      </c>
      <c r="K155" s="7">
        <v>1</v>
      </c>
      <c r="L155" s="7">
        <v>0</v>
      </c>
      <c r="M155" s="7">
        <v>1</v>
      </c>
      <c r="N155" s="7">
        <f t="shared" si="27"/>
        <v>4</v>
      </c>
      <c r="O155" s="8">
        <f t="shared" si="28"/>
        <v>0.5</v>
      </c>
      <c r="P155" s="8" t="str">
        <f t="shared" si="29"/>
        <v>INTERMEDIÁRIO</v>
      </c>
      <c r="Q155" s="7">
        <v>1</v>
      </c>
      <c r="R155" s="7">
        <v>0</v>
      </c>
      <c r="S155" s="7">
        <v>0</v>
      </c>
      <c r="T155" s="7">
        <v>1</v>
      </c>
      <c r="U155" s="7">
        <v>0</v>
      </c>
      <c r="V155" s="7">
        <v>0</v>
      </c>
      <c r="W155" s="7">
        <v>1</v>
      </c>
      <c r="X155" s="7">
        <v>0</v>
      </c>
      <c r="Y155" s="7">
        <f t="shared" si="30"/>
        <v>3</v>
      </c>
      <c r="Z155" s="8">
        <f t="shared" si="31"/>
        <v>0.375</v>
      </c>
      <c r="AA155" s="14" t="str">
        <f t="shared" si="32"/>
        <v>DEFASAGEM</v>
      </c>
      <c r="AB155" s="15">
        <f t="shared" si="33"/>
        <v>7</v>
      </c>
      <c r="AC155" s="8">
        <f t="shared" si="34"/>
        <v>0.4375</v>
      </c>
      <c r="AD155" s="4"/>
      <c r="AE155" s="4"/>
      <c r="AF155" s="4"/>
    </row>
    <row r="156" spans="1:32" ht="15.75" customHeight="1" x14ac:dyDescent="0.25">
      <c r="A156" s="5" t="s">
        <v>12</v>
      </c>
      <c r="B156" s="7" t="s">
        <v>24</v>
      </c>
      <c r="C156" s="7" t="s">
        <v>1103</v>
      </c>
      <c r="D156" s="7" t="s">
        <v>1097</v>
      </c>
      <c r="E156" s="5" t="s">
        <v>165</v>
      </c>
      <c r="F156" s="7">
        <v>1</v>
      </c>
      <c r="G156" s="7">
        <v>0</v>
      </c>
      <c r="H156" s="7">
        <v>1</v>
      </c>
      <c r="I156" s="7">
        <v>0</v>
      </c>
      <c r="J156" s="7">
        <v>1</v>
      </c>
      <c r="K156" s="7">
        <v>1</v>
      </c>
      <c r="L156" s="7">
        <v>0</v>
      </c>
      <c r="M156" s="7">
        <v>1</v>
      </c>
      <c r="N156" s="7">
        <f t="shared" si="27"/>
        <v>5</v>
      </c>
      <c r="O156" s="8">
        <f t="shared" si="28"/>
        <v>0.625</v>
      </c>
      <c r="P156" s="8" t="str">
        <f t="shared" si="29"/>
        <v>INTERMEDIÁRIO</v>
      </c>
      <c r="Q156" s="7">
        <v>1</v>
      </c>
      <c r="R156" s="7">
        <v>1</v>
      </c>
      <c r="S156" s="7">
        <v>0</v>
      </c>
      <c r="T156" s="7">
        <v>1</v>
      </c>
      <c r="U156" s="7">
        <v>1</v>
      </c>
      <c r="V156" s="7">
        <v>0</v>
      </c>
      <c r="W156" s="7">
        <v>0</v>
      </c>
      <c r="X156" s="7">
        <v>1</v>
      </c>
      <c r="Y156" s="7">
        <f t="shared" si="30"/>
        <v>5</v>
      </c>
      <c r="Z156" s="8">
        <f t="shared" si="31"/>
        <v>0.625</v>
      </c>
      <c r="AA156" s="14" t="str">
        <f t="shared" si="32"/>
        <v>INTERMEDIÁRIO</v>
      </c>
      <c r="AB156" s="15">
        <f t="shared" si="33"/>
        <v>10</v>
      </c>
      <c r="AC156" s="8">
        <f t="shared" si="34"/>
        <v>0.625</v>
      </c>
      <c r="AD156" s="4"/>
      <c r="AE156" s="4"/>
      <c r="AF156" s="4"/>
    </row>
    <row r="157" spans="1:32" ht="15.75" customHeight="1" x14ac:dyDescent="0.25">
      <c r="A157" s="5" t="s">
        <v>13</v>
      </c>
      <c r="B157" s="7" t="s">
        <v>84</v>
      </c>
      <c r="C157" s="7" t="s">
        <v>1104</v>
      </c>
      <c r="D157" s="7" t="s">
        <v>1097</v>
      </c>
      <c r="E157" s="5" t="s">
        <v>166</v>
      </c>
      <c r="F157" s="7">
        <v>1</v>
      </c>
      <c r="G157" s="7">
        <v>1</v>
      </c>
      <c r="H157" s="7">
        <v>1</v>
      </c>
      <c r="I157" s="7">
        <v>1</v>
      </c>
      <c r="J157" s="7">
        <v>1</v>
      </c>
      <c r="K157" s="7">
        <v>1</v>
      </c>
      <c r="L157" s="7">
        <v>1</v>
      </c>
      <c r="M157" s="7">
        <v>1</v>
      </c>
      <c r="N157" s="7">
        <f t="shared" si="27"/>
        <v>8</v>
      </c>
      <c r="O157" s="8">
        <f t="shared" si="28"/>
        <v>1</v>
      </c>
      <c r="P157" s="8" t="str">
        <f t="shared" si="29"/>
        <v>ADEQUADA</v>
      </c>
      <c r="Q157" s="7">
        <v>0</v>
      </c>
      <c r="R157" s="7">
        <v>0</v>
      </c>
      <c r="S157" s="7">
        <v>0</v>
      </c>
      <c r="T157" s="7">
        <v>1</v>
      </c>
      <c r="U157" s="7">
        <v>0</v>
      </c>
      <c r="V157" s="7">
        <v>1</v>
      </c>
      <c r="W157" s="7">
        <v>0</v>
      </c>
      <c r="X157" s="7">
        <v>0</v>
      </c>
      <c r="Y157" s="7">
        <f t="shared" si="30"/>
        <v>2</v>
      </c>
      <c r="Z157" s="8">
        <f t="shared" si="31"/>
        <v>0.25</v>
      </c>
      <c r="AA157" s="14" t="str">
        <f t="shared" si="32"/>
        <v>DEFASAGEM</v>
      </c>
      <c r="AB157" s="15">
        <f t="shared" si="33"/>
        <v>10</v>
      </c>
      <c r="AC157" s="8">
        <f t="shared" si="34"/>
        <v>0.625</v>
      </c>
      <c r="AD157" s="4"/>
      <c r="AE157" s="4"/>
      <c r="AF157" s="4"/>
    </row>
    <row r="158" spans="1:32" ht="15.75" customHeight="1" x14ac:dyDescent="0.25">
      <c r="A158" s="5" t="s">
        <v>13</v>
      </c>
      <c r="B158" s="7" t="s">
        <v>84</v>
      </c>
      <c r="C158" s="7" t="s">
        <v>1096</v>
      </c>
      <c r="D158" s="7" t="s">
        <v>1097</v>
      </c>
      <c r="E158" s="5" t="s">
        <v>167</v>
      </c>
      <c r="F158" s="7">
        <v>1</v>
      </c>
      <c r="G158" s="7">
        <v>0</v>
      </c>
      <c r="H158" s="7">
        <v>1</v>
      </c>
      <c r="I158" s="7">
        <v>0</v>
      </c>
      <c r="J158" s="7">
        <v>1</v>
      </c>
      <c r="K158" s="7">
        <v>1</v>
      </c>
      <c r="L158" s="7">
        <v>1</v>
      </c>
      <c r="M158" s="7">
        <v>1</v>
      </c>
      <c r="N158" s="7">
        <f t="shared" si="27"/>
        <v>6</v>
      </c>
      <c r="O158" s="8">
        <f t="shared" si="28"/>
        <v>0.75</v>
      </c>
      <c r="P158" s="8" t="str">
        <f t="shared" si="29"/>
        <v>ADEQUADA</v>
      </c>
      <c r="Q158" s="7">
        <v>1</v>
      </c>
      <c r="R158" s="7">
        <v>1</v>
      </c>
      <c r="S158" s="7">
        <v>0</v>
      </c>
      <c r="T158" s="7">
        <v>1</v>
      </c>
      <c r="U158" s="7">
        <v>1</v>
      </c>
      <c r="V158" s="7">
        <v>1</v>
      </c>
      <c r="W158" s="7">
        <v>1</v>
      </c>
      <c r="X158" s="7">
        <v>1</v>
      </c>
      <c r="Y158" s="7">
        <f t="shared" si="30"/>
        <v>7</v>
      </c>
      <c r="Z158" s="8">
        <f t="shared" si="31"/>
        <v>0.875</v>
      </c>
      <c r="AA158" s="14" t="str">
        <f t="shared" si="32"/>
        <v>ADEQUADA</v>
      </c>
      <c r="AB158" s="15">
        <f t="shared" si="33"/>
        <v>13</v>
      </c>
      <c r="AC158" s="8">
        <f t="shared" si="34"/>
        <v>0.8125</v>
      </c>
      <c r="AD158" s="4"/>
      <c r="AE158" s="4"/>
      <c r="AF158" s="4"/>
    </row>
    <row r="159" spans="1:32" ht="15.75" customHeight="1" x14ac:dyDescent="0.25">
      <c r="A159" s="5" t="s">
        <v>13</v>
      </c>
      <c r="B159" s="7" t="s">
        <v>84</v>
      </c>
      <c r="C159" s="7" t="s">
        <v>1104</v>
      </c>
      <c r="D159" s="7" t="s">
        <v>1097</v>
      </c>
      <c r="E159" s="5" t="s">
        <v>168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1</v>
      </c>
      <c r="L159" s="7">
        <v>1</v>
      </c>
      <c r="M159" s="7">
        <v>1</v>
      </c>
      <c r="N159" s="7">
        <f t="shared" si="27"/>
        <v>3</v>
      </c>
      <c r="O159" s="8">
        <f t="shared" si="28"/>
        <v>0.375</v>
      </c>
      <c r="P159" s="8" t="str">
        <f t="shared" si="29"/>
        <v>DEFASAGEM</v>
      </c>
      <c r="Q159" s="7">
        <v>0</v>
      </c>
      <c r="R159" s="7">
        <v>1</v>
      </c>
      <c r="S159" s="7">
        <v>0</v>
      </c>
      <c r="T159" s="7">
        <v>0</v>
      </c>
      <c r="U159" s="7">
        <v>1</v>
      </c>
      <c r="V159" s="7">
        <v>0</v>
      </c>
      <c r="W159" s="7">
        <v>0</v>
      </c>
      <c r="X159" s="7">
        <v>0</v>
      </c>
      <c r="Y159" s="7">
        <f t="shared" si="30"/>
        <v>2</v>
      </c>
      <c r="Z159" s="8">
        <f t="shared" si="31"/>
        <v>0.25</v>
      </c>
      <c r="AA159" s="14" t="str">
        <f t="shared" si="32"/>
        <v>DEFASAGEM</v>
      </c>
      <c r="AB159" s="15">
        <f t="shared" si="33"/>
        <v>5</v>
      </c>
      <c r="AC159" s="8">
        <f t="shared" si="34"/>
        <v>0.3125</v>
      </c>
      <c r="AD159" s="4"/>
      <c r="AE159" s="4"/>
      <c r="AF159" s="4"/>
    </row>
    <row r="160" spans="1:32" ht="15.75" customHeight="1" x14ac:dyDescent="0.25">
      <c r="A160" s="5" t="s">
        <v>13</v>
      </c>
      <c r="B160" s="7" t="s">
        <v>84</v>
      </c>
      <c r="C160" s="7" t="s">
        <v>1096</v>
      </c>
      <c r="D160" s="7" t="s">
        <v>1097</v>
      </c>
      <c r="E160" s="5" t="s">
        <v>169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0</v>
      </c>
      <c r="M160" s="7">
        <v>1</v>
      </c>
      <c r="N160" s="7">
        <f t="shared" si="27"/>
        <v>7</v>
      </c>
      <c r="O160" s="8">
        <f t="shared" si="28"/>
        <v>0.875</v>
      </c>
      <c r="P160" s="8" t="str">
        <f t="shared" si="29"/>
        <v>ADEQUADA</v>
      </c>
      <c r="Q160" s="7">
        <v>1</v>
      </c>
      <c r="R160" s="7">
        <v>1</v>
      </c>
      <c r="S160" s="7">
        <v>1</v>
      </c>
      <c r="T160" s="7">
        <v>1</v>
      </c>
      <c r="U160" s="7">
        <v>1</v>
      </c>
      <c r="V160" s="7">
        <v>1</v>
      </c>
      <c r="W160" s="7">
        <v>0</v>
      </c>
      <c r="X160" s="7">
        <v>1</v>
      </c>
      <c r="Y160" s="7">
        <f t="shared" si="30"/>
        <v>7</v>
      </c>
      <c r="Z160" s="8">
        <f t="shared" si="31"/>
        <v>0.875</v>
      </c>
      <c r="AA160" s="14" t="str">
        <f t="shared" si="32"/>
        <v>ADEQUADA</v>
      </c>
      <c r="AB160" s="15">
        <f t="shared" si="33"/>
        <v>14</v>
      </c>
      <c r="AC160" s="8">
        <f t="shared" si="34"/>
        <v>0.875</v>
      </c>
      <c r="AD160" s="4"/>
      <c r="AE160" s="4"/>
      <c r="AF160" s="4"/>
    </row>
    <row r="161" spans="1:32" ht="15.75" customHeight="1" x14ac:dyDescent="0.25">
      <c r="A161" s="5" t="s">
        <v>13</v>
      </c>
      <c r="B161" s="7" t="s">
        <v>84</v>
      </c>
      <c r="C161" s="7" t="s">
        <v>1103</v>
      </c>
      <c r="D161" s="7" t="s">
        <v>1097</v>
      </c>
      <c r="E161" s="5" t="s">
        <v>170</v>
      </c>
      <c r="F161" s="7">
        <v>1</v>
      </c>
      <c r="G161" s="7">
        <v>0</v>
      </c>
      <c r="H161" s="7">
        <v>1</v>
      </c>
      <c r="I161" s="7">
        <v>1</v>
      </c>
      <c r="J161" s="7">
        <v>1</v>
      </c>
      <c r="K161" s="7">
        <v>1</v>
      </c>
      <c r="L161" s="7">
        <v>1</v>
      </c>
      <c r="M161" s="7">
        <v>1</v>
      </c>
      <c r="N161" s="7">
        <f t="shared" si="27"/>
        <v>7</v>
      </c>
      <c r="O161" s="8">
        <f t="shared" si="28"/>
        <v>0.875</v>
      </c>
      <c r="P161" s="8" t="str">
        <f t="shared" si="29"/>
        <v>ADEQUADA</v>
      </c>
      <c r="Q161" s="7">
        <v>1</v>
      </c>
      <c r="R161" s="7">
        <v>0</v>
      </c>
      <c r="S161" s="7">
        <v>0</v>
      </c>
      <c r="T161" s="7">
        <v>1</v>
      </c>
      <c r="U161" s="7">
        <v>1</v>
      </c>
      <c r="V161" s="7">
        <v>1</v>
      </c>
      <c r="W161" s="7">
        <v>0</v>
      </c>
      <c r="X161" s="7">
        <v>1</v>
      </c>
      <c r="Y161" s="7">
        <f t="shared" si="30"/>
        <v>5</v>
      </c>
      <c r="Z161" s="8">
        <f t="shared" si="31"/>
        <v>0.625</v>
      </c>
      <c r="AA161" s="14" t="str">
        <f t="shared" si="32"/>
        <v>INTERMEDIÁRIO</v>
      </c>
      <c r="AB161" s="15">
        <f t="shared" si="33"/>
        <v>12</v>
      </c>
      <c r="AC161" s="8">
        <f t="shared" si="34"/>
        <v>0.75</v>
      </c>
      <c r="AD161" s="4"/>
      <c r="AE161" s="4"/>
      <c r="AF161" s="4"/>
    </row>
    <row r="162" spans="1:32" ht="15.75" customHeight="1" x14ac:dyDescent="0.25">
      <c r="A162" s="5" t="s">
        <v>13</v>
      </c>
      <c r="B162" s="7" t="s">
        <v>84</v>
      </c>
      <c r="C162" s="7" t="s">
        <v>1103</v>
      </c>
      <c r="D162" s="7" t="s">
        <v>1097</v>
      </c>
      <c r="E162" s="5" t="s">
        <v>171</v>
      </c>
      <c r="F162" s="7">
        <v>0</v>
      </c>
      <c r="G162" s="7">
        <v>1</v>
      </c>
      <c r="H162" s="7">
        <v>1</v>
      </c>
      <c r="I162" s="7">
        <v>0</v>
      </c>
      <c r="J162" s="7">
        <v>1</v>
      </c>
      <c r="K162" s="7">
        <v>1</v>
      </c>
      <c r="L162" s="7">
        <v>1</v>
      </c>
      <c r="M162" s="7">
        <v>1</v>
      </c>
      <c r="N162" s="7">
        <f t="shared" si="27"/>
        <v>6</v>
      </c>
      <c r="O162" s="8">
        <f t="shared" si="28"/>
        <v>0.75</v>
      </c>
      <c r="P162" s="8" t="str">
        <f t="shared" si="29"/>
        <v>ADEQUADA</v>
      </c>
      <c r="Q162" s="7">
        <v>1</v>
      </c>
      <c r="R162" s="7">
        <v>1</v>
      </c>
      <c r="S162" s="7">
        <v>0</v>
      </c>
      <c r="T162" s="7">
        <v>1</v>
      </c>
      <c r="U162" s="7">
        <v>0</v>
      </c>
      <c r="V162" s="7">
        <v>1</v>
      </c>
      <c r="W162" s="7">
        <v>1</v>
      </c>
      <c r="X162" s="7">
        <v>1</v>
      </c>
      <c r="Y162" s="7">
        <f t="shared" si="30"/>
        <v>6</v>
      </c>
      <c r="Z162" s="8">
        <f t="shared" si="31"/>
        <v>0.75</v>
      </c>
      <c r="AA162" s="14" t="str">
        <f t="shared" si="32"/>
        <v>ADEQUADA</v>
      </c>
      <c r="AB162" s="15">
        <f t="shared" si="33"/>
        <v>12</v>
      </c>
      <c r="AC162" s="8">
        <f t="shared" si="34"/>
        <v>0.75</v>
      </c>
      <c r="AD162" s="4"/>
      <c r="AE162" s="4"/>
      <c r="AF162" s="4"/>
    </row>
    <row r="163" spans="1:32" ht="15.75" customHeight="1" x14ac:dyDescent="0.25">
      <c r="A163" s="5" t="s">
        <v>13</v>
      </c>
      <c r="B163" s="7" t="s">
        <v>84</v>
      </c>
      <c r="C163" s="7" t="s">
        <v>1099</v>
      </c>
      <c r="D163" s="7" t="s">
        <v>1100</v>
      </c>
      <c r="E163" s="5" t="s">
        <v>1121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f t="shared" si="27"/>
        <v>0</v>
      </c>
      <c r="O163" s="8">
        <f t="shared" si="28"/>
        <v>0</v>
      </c>
      <c r="P163" s="8" t="str">
        <f t="shared" si="29"/>
        <v>DEFASAGEM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f t="shared" si="30"/>
        <v>0</v>
      </c>
      <c r="Z163" s="8">
        <f t="shared" si="31"/>
        <v>0</v>
      </c>
      <c r="AA163" s="14" t="str">
        <f t="shared" si="32"/>
        <v>DEFASAGEM</v>
      </c>
      <c r="AB163" s="15">
        <f t="shared" si="33"/>
        <v>0</v>
      </c>
      <c r="AC163" s="8">
        <f t="shared" si="34"/>
        <v>0</v>
      </c>
      <c r="AD163" s="4"/>
      <c r="AE163" s="4"/>
      <c r="AF163" s="4"/>
    </row>
    <row r="164" spans="1:32" ht="15.75" customHeight="1" x14ac:dyDescent="0.25">
      <c r="A164" s="5" t="s">
        <v>13</v>
      </c>
      <c r="B164" s="7" t="s">
        <v>84</v>
      </c>
      <c r="C164" s="7" t="s">
        <v>1103</v>
      </c>
      <c r="D164" s="7" t="s">
        <v>1097</v>
      </c>
      <c r="E164" s="5" t="s">
        <v>172</v>
      </c>
      <c r="F164" s="7">
        <v>1</v>
      </c>
      <c r="G164" s="7">
        <v>1</v>
      </c>
      <c r="H164" s="7">
        <v>1</v>
      </c>
      <c r="I164" s="7">
        <v>1</v>
      </c>
      <c r="J164" s="7">
        <v>1</v>
      </c>
      <c r="K164" s="7">
        <v>1</v>
      </c>
      <c r="L164" s="7">
        <v>0</v>
      </c>
      <c r="M164" s="7">
        <v>1</v>
      </c>
      <c r="N164" s="7">
        <f t="shared" si="27"/>
        <v>7</v>
      </c>
      <c r="O164" s="8">
        <f t="shared" si="28"/>
        <v>0.875</v>
      </c>
      <c r="P164" s="8" t="str">
        <f t="shared" si="29"/>
        <v>ADEQUADA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0</v>
      </c>
      <c r="X164" s="7">
        <v>1</v>
      </c>
      <c r="Y164" s="7">
        <f t="shared" si="30"/>
        <v>7</v>
      </c>
      <c r="Z164" s="8">
        <f t="shared" si="31"/>
        <v>0.875</v>
      </c>
      <c r="AA164" s="14" t="str">
        <f t="shared" si="32"/>
        <v>ADEQUADA</v>
      </c>
      <c r="AB164" s="15">
        <f t="shared" si="33"/>
        <v>14</v>
      </c>
      <c r="AC164" s="8">
        <f t="shared" si="34"/>
        <v>0.875</v>
      </c>
      <c r="AD164" s="4"/>
      <c r="AE164" s="4"/>
      <c r="AF164" s="4"/>
    </row>
    <row r="165" spans="1:32" ht="15.75" customHeight="1" x14ac:dyDescent="0.25">
      <c r="A165" s="5" t="s">
        <v>13</v>
      </c>
      <c r="B165" s="7" t="s">
        <v>84</v>
      </c>
      <c r="C165" s="7" t="s">
        <v>1104</v>
      </c>
      <c r="D165" s="7" t="s">
        <v>1097</v>
      </c>
      <c r="E165" s="5" t="s">
        <v>173</v>
      </c>
      <c r="F165" s="7">
        <v>0</v>
      </c>
      <c r="G165" s="7">
        <v>0</v>
      </c>
      <c r="H165" s="7">
        <v>0</v>
      </c>
      <c r="I165" s="7">
        <v>1</v>
      </c>
      <c r="J165" s="7">
        <v>0</v>
      </c>
      <c r="K165" s="7">
        <v>1</v>
      </c>
      <c r="L165" s="7">
        <v>0</v>
      </c>
      <c r="M165" s="7">
        <v>1</v>
      </c>
      <c r="N165" s="7">
        <f t="shared" si="27"/>
        <v>3</v>
      </c>
      <c r="O165" s="8">
        <f t="shared" si="28"/>
        <v>0.375</v>
      </c>
      <c r="P165" s="8" t="str">
        <f t="shared" si="29"/>
        <v>DEFASAGEM</v>
      </c>
      <c r="Q165" s="7">
        <v>1</v>
      </c>
      <c r="R165" s="7">
        <v>0</v>
      </c>
      <c r="S165" s="7">
        <v>0</v>
      </c>
      <c r="T165" s="7">
        <v>1</v>
      </c>
      <c r="U165" s="7">
        <v>0</v>
      </c>
      <c r="V165" s="7">
        <v>0</v>
      </c>
      <c r="W165" s="7">
        <v>0</v>
      </c>
      <c r="X165" s="7">
        <v>0</v>
      </c>
      <c r="Y165" s="7">
        <f t="shared" si="30"/>
        <v>2</v>
      </c>
      <c r="Z165" s="8">
        <f t="shared" si="31"/>
        <v>0.25</v>
      </c>
      <c r="AA165" s="14" t="str">
        <f t="shared" si="32"/>
        <v>DEFASAGEM</v>
      </c>
      <c r="AB165" s="15">
        <f t="shared" si="33"/>
        <v>5</v>
      </c>
      <c r="AC165" s="8">
        <f t="shared" si="34"/>
        <v>0.3125</v>
      </c>
      <c r="AD165" s="4"/>
      <c r="AE165" s="4"/>
      <c r="AF165" s="4"/>
    </row>
    <row r="166" spans="1:32" ht="15.75" customHeight="1" x14ac:dyDescent="0.25">
      <c r="A166" s="5" t="s">
        <v>13</v>
      </c>
      <c r="B166" s="7" t="s">
        <v>84</v>
      </c>
      <c r="C166" s="7" t="s">
        <v>1103</v>
      </c>
      <c r="D166" s="7" t="s">
        <v>1097</v>
      </c>
      <c r="E166" s="5" t="s">
        <v>174</v>
      </c>
      <c r="F166" s="7">
        <v>1</v>
      </c>
      <c r="G166" s="7">
        <v>0</v>
      </c>
      <c r="H166" s="7">
        <v>1</v>
      </c>
      <c r="I166" s="7">
        <v>0</v>
      </c>
      <c r="J166" s="7">
        <v>1</v>
      </c>
      <c r="K166" s="7">
        <v>1</v>
      </c>
      <c r="L166" s="7">
        <v>1</v>
      </c>
      <c r="M166" s="7">
        <v>1</v>
      </c>
      <c r="N166" s="7">
        <f t="shared" si="27"/>
        <v>6</v>
      </c>
      <c r="O166" s="8">
        <f t="shared" si="28"/>
        <v>0.75</v>
      </c>
      <c r="P166" s="8" t="str">
        <f t="shared" si="29"/>
        <v>ADEQUADA</v>
      </c>
      <c r="Q166" s="7">
        <v>1</v>
      </c>
      <c r="R166" s="7">
        <v>1</v>
      </c>
      <c r="S166" s="7">
        <v>1</v>
      </c>
      <c r="T166" s="7">
        <v>1</v>
      </c>
      <c r="U166" s="7">
        <v>1</v>
      </c>
      <c r="V166" s="7">
        <v>1</v>
      </c>
      <c r="W166" s="7">
        <v>1</v>
      </c>
      <c r="X166" s="7">
        <v>0</v>
      </c>
      <c r="Y166" s="7">
        <f t="shared" si="30"/>
        <v>7</v>
      </c>
      <c r="Z166" s="8">
        <f t="shared" si="31"/>
        <v>0.875</v>
      </c>
      <c r="AA166" s="14" t="str">
        <f t="shared" si="32"/>
        <v>ADEQUADA</v>
      </c>
      <c r="AB166" s="15">
        <f t="shared" si="33"/>
        <v>13</v>
      </c>
      <c r="AC166" s="8">
        <f t="shared" si="34"/>
        <v>0.8125</v>
      </c>
      <c r="AD166" s="4"/>
      <c r="AE166" s="4"/>
      <c r="AF166" s="4"/>
    </row>
    <row r="167" spans="1:32" ht="15.75" customHeight="1" x14ac:dyDescent="0.25">
      <c r="A167" s="5" t="s">
        <v>13</v>
      </c>
      <c r="B167" s="7" t="s">
        <v>84</v>
      </c>
      <c r="C167" s="7" t="s">
        <v>1105</v>
      </c>
      <c r="D167" s="7" t="s">
        <v>1097</v>
      </c>
      <c r="E167" s="5" t="s">
        <v>175</v>
      </c>
      <c r="F167" s="7">
        <v>1</v>
      </c>
      <c r="G167" s="7">
        <v>0</v>
      </c>
      <c r="H167" s="7">
        <v>1</v>
      </c>
      <c r="I167" s="7">
        <v>0</v>
      </c>
      <c r="J167" s="7">
        <v>0</v>
      </c>
      <c r="K167" s="7">
        <v>1</v>
      </c>
      <c r="L167" s="7">
        <v>1</v>
      </c>
      <c r="M167" s="7">
        <v>1</v>
      </c>
      <c r="N167" s="7">
        <f t="shared" si="27"/>
        <v>5</v>
      </c>
      <c r="O167" s="8">
        <f t="shared" si="28"/>
        <v>0.625</v>
      </c>
      <c r="P167" s="8" t="str">
        <f t="shared" si="29"/>
        <v>INTERMEDIÁRIO</v>
      </c>
      <c r="Q167" s="7">
        <v>1</v>
      </c>
      <c r="R167" s="7">
        <v>1</v>
      </c>
      <c r="S167" s="7">
        <v>1</v>
      </c>
      <c r="T167" s="7">
        <v>0</v>
      </c>
      <c r="U167" s="7">
        <v>0</v>
      </c>
      <c r="V167" s="7">
        <v>1</v>
      </c>
      <c r="W167" s="7">
        <v>0</v>
      </c>
      <c r="X167" s="7">
        <v>1</v>
      </c>
      <c r="Y167" s="7">
        <f t="shared" si="30"/>
        <v>5</v>
      </c>
      <c r="Z167" s="8">
        <f t="shared" si="31"/>
        <v>0.625</v>
      </c>
      <c r="AA167" s="14" t="str">
        <f t="shared" si="32"/>
        <v>INTERMEDIÁRIO</v>
      </c>
      <c r="AB167" s="15">
        <f t="shared" si="33"/>
        <v>10</v>
      </c>
      <c r="AC167" s="8">
        <f t="shared" si="34"/>
        <v>0.625</v>
      </c>
      <c r="AD167" s="4"/>
      <c r="AE167" s="4"/>
      <c r="AF167" s="4"/>
    </row>
    <row r="168" spans="1:32" ht="15.75" customHeight="1" x14ac:dyDescent="0.25">
      <c r="A168" s="5" t="s">
        <v>13</v>
      </c>
      <c r="B168" s="7" t="s">
        <v>84</v>
      </c>
      <c r="C168" s="7" t="s">
        <v>1103</v>
      </c>
      <c r="D168" s="7" t="s">
        <v>1097</v>
      </c>
      <c r="E168" s="5" t="s">
        <v>176</v>
      </c>
      <c r="F168" s="7">
        <v>0</v>
      </c>
      <c r="G168" s="7">
        <v>0</v>
      </c>
      <c r="H168" s="7">
        <v>1</v>
      </c>
      <c r="I168" s="7">
        <v>0</v>
      </c>
      <c r="J168" s="7">
        <v>0</v>
      </c>
      <c r="K168" s="7">
        <v>0</v>
      </c>
      <c r="L168" s="7">
        <v>1</v>
      </c>
      <c r="M168" s="7">
        <v>0</v>
      </c>
      <c r="N168" s="7">
        <f t="shared" si="27"/>
        <v>2</v>
      </c>
      <c r="O168" s="8">
        <f t="shared" si="28"/>
        <v>0.25</v>
      </c>
      <c r="P168" s="8" t="str">
        <f t="shared" si="29"/>
        <v>DEFASAGEM</v>
      </c>
      <c r="Q168" s="7">
        <v>1</v>
      </c>
      <c r="R168" s="7">
        <v>0</v>
      </c>
      <c r="S168" s="7">
        <v>1</v>
      </c>
      <c r="T168" s="7">
        <v>1</v>
      </c>
      <c r="U168" s="7">
        <v>0</v>
      </c>
      <c r="V168" s="7">
        <v>0</v>
      </c>
      <c r="W168" s="7">
        <v>1</v>
      </c>
      <c r="X168" s="7">
        <v>1</v>
      </c>
      <c r="Y168" s="7">
        <f t="shared" si="30"/>
        <v>5</v>
      </c>
      <c r="Z168" s="8">
        <f t="shared" si="31"/>
        <v>0.625</v>
      </c>
      <c r="AA168" s="14" t="str">
        <f t="shared" si="32"/>
        <v>INTERMEDIÁRIO</v>
      </c>
      <c r="AB168" s="15">
        <f t="shared" si="33"/>
        <v>7</v>
      </c>
      <c r="AC168" s="8">
        <f t="shared" si="34"/>
        <v>0.4375</v>
      </c>
      <c r="AD168" s="4"/>
      <c r="AE168" s="4"/>
      <c r="AF168" s="4"/>
    </row>
    <row r="169" spans="1:32" ht="15.75" customHeight="1" x14ac:dyDescent="0.25">
      <c r="A169" s="5" t="s">
        <v>13</v>
      </c>
      <c r="B169" s="7" t="s">
        <v>84</v>
      </c>
      <c r="C169" s="7" t="s">
        <v>1103</v>
      </c>
      <c r="D169" s="7" t="s">
        <v>1097</v>
      </c>
      <c r="E169" s="5" t="s">
        <v>177</v>
      </c>
      <c r="F169" s="7">
        <v>1</v>
      </c>
      <c r="G169" s="7">
        <v>1</v>
      </c>
      <c r="H169" s="7">
        <v>1</v>
      </c>
      <c r="I169" s="7">
        <v>0</v>
      </c>
      <c r="J169" s="7">
        <v>1</v>
      </c>
      <c r="K169" s="7">
        <v>1</v>
      </c>
      <c r="L169" s="7">
        <v>1</v>
      </c>
      <c r="M169" s="7">
        <v>1</v>
      </c>
      <c r="N169" s="7">
        <f t="shared" si="27"/>
        <v>7</v>
      </c>
      <c r="O169" s="8">
        <f t="shared" si="28"/>
        <v>0.875</v>
      </c>
      <c r="P169" s="8" t="str">
        <f t="shared" si="29"/>
        <v>ADEQUADA</v>
      </c>
      <c r="Q169" s="7">
        <v>1</v>
      </c>
      <c r="R169" s="7">
        <v>1</v>
      </c>
      <c r="S169" s="7">
        <v>1</v>
      </c>
      <c r="T169" s="7">
        <v>1</v>
      </c>
      <c r="U169" s="7">
        <v>1</v>
      </c>
      <c r="V169" s="7">
        <v>1</v>
      </c>
      <c r="W169" s="7">
        <v>0</v>
      </c>
      <c r="X169" s="7">
        <v>1</v>
      </c>
      <c r="Y169" s="7">
        <f t="shared" si="30"/>
        <v>7</v>
      </c>
      <c r="Z169" s="8">
        <f t="shared" si="31"/>
        <v>0.875</v>
      </c>
      <c r="AA169" s="14" t="str">
        <f t="shared" si="32"/>
        <v>ADEQUADA</v>
      </c>
      <c r="AB169" s="15">
        <f t="shared" si="33"/>
        <v>14</v>
      </c>
      <c r="AC169" s="8">
        <f t="shared" si="34"/>
        <v>0.875</v>
      </c>
      <c r="AD169" s="4"/>
      <c r="AE169" s="4"/>
      <c r="AF169" s="4"/>
    </row>
    <row r="170" spans="1:32" ht="15.75" customHeight="1" x14ac:dyDescent="0.25">
      <c r="A170" s="5" t="s">
        <v>13</v>
      </c>
      <c r="B170" s="7" t="s">
        <v>84</v>
      </c>
      <c r="C170" s="7" t="s">
        <v>1103</v>
      </c>
      <c r="D170" s="7" t="s">
        <v>1097</v>
      </c>
      <c r="E170" s="5" t="s">
        <v>178</v>
      </c>
      <c r="F170" s="7">
        <v>1</v>
      </c>
      <c r="G170" s="7">
        <v>1</v>
      </c>
      <c r="H170" s="7">
        <v>1</v>
      </c>
      <c r="I170" s="7">
        <v>1</v>
      </c>
      <c r="J170" s="7">
        <v>1</v>
      </c>
      <c r="K170" s="7">
        <v>0</v>
      </c>
      <c r="L170" s="7">
        <v>1</v>
      </c>
      <c r="M170" s="7">
        <v>1</v>
      </c>
      <c r="N170" s="7">
        <f t="shared" si="27"/>
        <v>7</v>
      </c>
      <c r="O170" s="8">
        <f t="shared" si="28"/>
        <v>0.875</v>
      </c>
      <c r="P170" s="8" t="str">
        <f t="shared" si="29"/>
        <v>ADEQUADA</v>
      </c>
      <c r="Q170" s="7">
        <v>1</v>
      </c>
      <c r="R170" s="7">
        <v>1</v>
      </c>
      <c r="S170" s="7">
        <v>0</v>
      </c>
      <c r="T170" s="7">
        <v>1</v>
      </c>
      <c r="U170" s="7">
        <v>1</v>
      </c>
      <c r="V170" s="7">
        <v>1</v>
      </c>
      <c r="W170" s="7">
        <v>1</v>
      </c>
      <c r="X170" s="7">
        <v>1</v>
      </c>
      <c r="Y170" s="7">
        <f t="shared" si="30"/>
        <v>7</v>
      </c>
      <c r="Z170" s="8">
        <f t="shared" si="31"/>
        <v>0.875</v>
      </c>
      <c r="AA170" s="14" t="str">
        <f t="shared" si="32"/>
        <v>ADEQUADA</v>
      </c>
      <c r="AB170" s="15">
        <f t="shared" si="33"/>
        <v>14</v>
      </c>
      <c r="AC170" s="8">
        <f t="shared" si="34"/>
        <v>0.875</v>
      </c>
      <c r="AD170" s="4"/>
      <c r="AE170" s="4"/>
      <c r="AF170" s="4"/>
    </row>
    <row r="171" spans="1:32" ht="15.75" customHeight="1" x14ac:dyDescent="0.25">
      <c r="A171" s="5" t="s">
        <v>13</v>
      </c>
      <c r="B171" s="7" t="s">
        <v>1110</v>
      </c>
      <c r="C171" s="7" t="s">
        <v>1122</v>
      </c>
      <c r="D171" s="7" t="s">
        <v>1097</v>
      </c>
      <c r="E171" s="5" t="s">
        <v>1123</v>
      </c>
      <c r="F171" s="7">
        <v>1</v>
      </c>
      <c r="G171" s="7">
        <v>0</v>
      </c>
      <c r="H171" s="7">
        <v>0</v>
      </c>
      <c r="I171" s="7">
        <v>1</v>
      </c>
      <c r="J171" s="7">
        <v>0</v>
      </c>
      <c r="K171" s="7">
        <v>0</v>
      </c>
      <c r="L171" s="7">
        <v>0</v>
      </c>
      <c r="M171" s="7">
        <v>0</v>
      </c>
      <c r="N171" s="7">
        <f t="shared" si="27"/>
        <v>2</v>
      </c>
      <c r="O171" s="8">
        <f t="shared" si="28"/>
        <v>0.25</v>
      </c>
      <c r="P171" s="8" t="str">
        <f t="shared" si="29"/>
        <v>DEFASAGEM</v>
      </c>
      <c r="Q171" s="7">
        <v>0</v>
      </c>
      <c r="R171" s="7">
        <v>0</v>
      </c>
      <c r="S171" s="7">
        <v>1</v>
      </c>
      <c r="T171" s="7">
        <v>0</v>
      </c>
      <c r="U171" s="7">
        <v>1</v>
      </c>
      <c r="V171" s="7">
        <v>1</v>
      </c>
      <c r="W171" s="7">
        <v>0</v>
      </c>
      <c r="X171" s="7">
        <v>0</v>
      </c>
      <c r="Y171" s="7">
        <f t="shared" si="30"/>
        <v>3</v>
      </c>
      <c r="Z171" s="8">
        <f t="shared" si="31"/>
        <v>0.375</v>
      </c>
      <c r="AA171" s="14" t="str">
        <f t="shared" si="32"/>
        <v>DEFASAGEM</v>
      </c>
      <c r="AB171" s="15">
        <f t="shared" si="33"/>
        <v>5</v>
      </c>
      <c r="AC171" s="8">
        <f t="shared" si="34"/>
        <v>0.3125</v>
      </c>
      <c r="AD171" s="4"/>
      <c r="AE171" s="4"/>
      <c r="AF171" s="4"/>
    </row>
    <row r="172" spans="1:32" ht="15.75" customHeight="1" x14ac:dyDescent="0.25">
      <c r="A172" s="5" t="s">
        <v>13</v>
      </c>
      <c r="B172" s="7" t="s">
        <v>84</v>
      </c>
      <c r="C172" s="7" t="s">
        <v>1104</v>
      </c>
      <c r="D172" s="7" t="s">
        <v>1097</v>
      </c>
      <c r="E172" s="5" t="s">
        <v>179</v>
      </c>
      <c r="F172" s="7">
        <v>1</v>
      </c>
      <c r="G172" s="7">
        <v>0</v>
      </c>
      <c r="H172" s="7">
        <v>1</v>
      </c>
      <c r="I172" s="7">
        <v>0</v>
      </c>
      <c r="J172" s="7">
        <v>1</v>
      </c>
      <c r="K172" s="7">
        <v>0</v>
      </c>
      <c r="L172" s="7">
        <v>0</v>
      </c>
      <c r="M172" s="7">
        <v>1</v>
      </c>
      <c r="N172" s="7">
        <f t="shared" si="27"/>
        <v>4</v>
      </c>
      <c r="O172" s="8">
        <f t="shared" si="28"/>
        <v>0.5</v>
      </c>
      <c r="P172" s="8" t="str">
        <f t="shared" si="29"/>
        <v>INTERMEDIÁRIO</v>
      </c>
      <c r="Q172" s="7">
        <v>1</v>
      </c>
      <c r="R172" s="7">
        <v>0</v>
      </c>
      <c r="S172" s="7">
        <v>1</v>
      </c>
      <c r="T172" s="7">
        <v>1</v>
      </c>
      <c r="U172" s="7">
        <v>0</v>
      </c>
      <c r="V172" s="7">
        <v>1</v>
      </c>
      <c r="W172" s="7">
        <v>0</v>
      </c>
      <c r="X172" s="7">
        <v>1</v>
      </c>
      <c r="Y172" s="7">
        <f t="shared" si="30"/>
        <v>5</v>
      </c>
      <c r="Z172" s="8">
        <f t="shared" si="31"/>
        <v>0.625</v>
      </c>
      <c r="AA172" s="14" t="str">
        <f t="shared" si="32"/>
        <v>INTERMEDIÁRIO</v>
      </c>
      <c r="AB172" s="15">
        <f t="shared" si="33"/>
        <v>9</v>
      </c>
      <c r="AC172" s="8">
        <f t="shared" si="34"/>
        <v>0.5625</v>
      </c>
      <c r="AD172" s="4"/>
      <c r="AE172" s="4"/>
      <c r="AF172" s="4"/>
    </row>
    <row r="173" spans="1:32" ht="15.75" customHeight="1" x14ac:dyDescent="0.25">
      <c r="A173" s="5" t="s">
        <v>13</v>
      </c>
      <c r="B173" s="7" t="s">
        <v>84</v>
      </c>
      <c r="C173" s="7" t="s">
        <v>1105</v>
      </c>
      <c r="D173" s="7" t="s">
        <v>1097</v>
      </c>
      <c r="E173" s="5" t="s">
        <v>180</v>
      </c>
      <c r="F173" s="7">
        <v>1</v>
      </c>
      <c r="G173" s="7">
        <v>0</v>
      </c>
      <c r="H173" s="7">
        <v>1</v>
      </c>
      <c r="I173" s="7">
        <v>0</v>
      </c>
      <c r="J173" s="7">
        <v>1</v>
      </c>
      <c r="K173" s="7">
        <v>1</v>
      </c>
      <c r="L173" s="7">
        <v>1</v>
      </c>
      <c r="M173" s="7">
        <v>1</v>
      </c>
      <c r="N173" s="7">
        <f t="shared" si="27"/>
        <v>6</v>
      </c>
      <c r="O173" s="8">
        <f t="shared" si="28"/>
        <v>0.75</v>
      </c>
      <c r="P173" s="8" t="str">
        <f t="shared" si="29"/>
        <v>ADEQUADA</v>
      </c>
      <c r="Q173" s="7">
        <v>1</v>
      </c>
      <c r="R173" s="7">
        <v>1</v>
      </c>
      <c r="S173" s="7">
        <v>1</v>
      </c>
      <c r="T173" s="7">
        <v>1</v>
      </c>
      <c r="U173" s="7">
        <v>1</v>
      </c>
      <c r="V173" s="7">
        <v>1</v>
      </c>
      <c r="W173" s="7">
        <v>1</v>
      </c>
      <c r="X173" s="7">
        <v>1</v>
      </c>
      <c r="Y173" s="7">
        <f t="shared" si="30"/>
        <v>8</v>
      </c>
      <c r="Z173" s="8">
        <f t="shared" si="31"/>
        <v>1</v>
      </c>
      <c r="AA173" s="14" t="str">
        <f t="shared" si="32"/>
        <v>ADEQUADA</v>
      </c>
      <c r="AB173" s="15">
        <f t="shared" si="33"/>
        <v>14</v>
      </c>
      <c r="AC173" s="8">
        <f t="shared" si="34"/>
        <v>0.875</v>
      </c>
      <c r="AD173" s="4"/>
      <c r="AE173" s="4"/>
      <c r="AF173" s="4"/>
    </row>
    <row r="174" spans="1:32" ht="15.75" customHeight="1" x14ac:dyDescent="0.25">
      <c r="A174" s="5" t="s">
        <v>13</v>
      </c>
      <c r="B174" s="7" t="s">
        <v>84</v>
      </c>
      <c r="C174" s="7" t="s">
        <v>1096</v>
      </c>
      <c r="D174" s="7" t="s">
        <v>1097</v>
      </c>
      <c r="E174" s="5" t="s">
        <v>181</v>
      </c>
      <c r="F174" s="7">
        <v>0</v>
      </c>
      <c r="G174" s="7">
        <v>0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  <c r="M174" s="7">
        <v>1</v>
      </c>
      <c r="N174" s="7">
        <f t="shared" si="27"/>
        <v>6</v>
      </c>
      <c r="O174" s="8">
        <f t="shared" si="28"/>
        <v>0.75</v>
      </c>
      <c r="P174" s="8" t="str">
        <f t="shared" si="29"/>
        <v>ADEQUADA</v>
      </c>
      <c r="Q174" s="7">
        <v>1</v>
      </c>
      <c r="R174" s="7">
        <v>1</v>
      </c>
      <c r="S174" s="7">
        <v>0</v>
      </c>
      <c r="T174" s="7">
        <v>1</v>
      </c>
      <c r="U174" s="7">
        <v>1</v>
      </c>
      <c r="V174" s="7">
        <v>1</v>
      </c>
      <c r="W174" s="7">
        <v>0</v>
      </c>
      <c r="X174" s="7">
        <v>1</v>
      </c>
      <c r="Y174" s="7">
        <f t="shared" si="30"/>
        <v>6</v>
      </c>
      <c r="Z174" s="8">
        <f t="shared" si="31"/>
        <v>0.75</v>
      </c>
      <c r="AA174" s="14" t="str">
        <f t="shared" si="32"/>
        <v>ADEQUADA</v>
      </c>
      <c r="AB174" s="15">
        <f t="shared" si="33"/>
        <v>12</v>
      </c>
      <c r="AC174" s="8">
        <f t="shared" si="34"/>
        <v>0.75</v>
      </c>
      <c r="AD174" s="4"/>
      <c r="AE174" s="4"/>
      <c r="AF174" s="4"/>
    </row>
    <row r="175" spans="1:32" ht="15.75" customHeight="1" x14ac:dyDescent="0.25">
      <c r="A175" s="5" t="s">
        <v>13</v>
      </c>
      <c r="B175" s="7" t="s">
        <v>84</v>
      </c>
      <c r="C175" s="7" t="s">
        <v>1103</v>
      </c>
      <c r="D175" s="7" t="s">
        <v>1097</v>
      </c>
      <c r="E175" s="5" t="s">
        <v>182</v>
      </c>
      <c r="F175" s="7">
        <v>1</v>
      </c>
      <c r="G175" s="7">
        <v>1</v>
      </c>
      <c r="H175" s="7">
        <v>1</v>
      </c>
      <c r="I175" s="7">
        <v>0</v>
      </c>
      <c r="J175" s="7">
        <v>0</v>
      </c>
      <c r="K175" s="7">
        <v>0</v>
      </c>
      <c r="L175" s="7">
        <v>1</v>
      </c>
      <c r="M175" s="7">
        <v>1</v>
      </c>
      <c r="N175" s="7">
        <f t="shared" si="27"/>
        <v>5</v>
      </c>
      <c r="O175" s="8">
        <f t="shared" si="28"/>
        <v>0.625</v>
      </c>
      <c r="P175" s="8" t="str">
        <f t="shared" si="29"/>
        <v>INTERMEDIÁRIO</v>
      </c>
      <c r="Q175" s="7">
        <v>1</v>
      </c>
      <c r="R175" s="7">
        <v>1</v>
      </c>
      <c r="S175" s="7">
        <v>0</v>
      </c>
      <c r="T175" s="7">
        <v>1</v>
      </c>
      <c r="U175" s="7">
        <v>1</v>
      </c>
      <c r="V175" s="7">
        <v>1</v>
      </c>
      <c r="W175" s="7">
        <v>1</v>
      </c>
      <c r="X175" s="7">
        <v>1</v>
      </c>
      <c r="Y175" s="7">
        <f t="shared" si="30"/>
        <v>7</v>
      </c>
      <c r="Z175" s="8">
        <f t="shared" si="31"/>
        <v>0.875</v>
      </c>
      <c r="AA175" s="14" t="str">
        <f t="shared" si="32"/>
        <v>ADEQUADA</v>
      </c>
      <c r="AB175" s="15">
        <f t="shared" si="33"/>
        <v>12</v>
      </c>
      <c r="AC175" s="8">
        <f t="shared" si="34"/>
        <v>0.75</v>
      </c>
      <c r="AD175" s="4"/>
      <c r="AE175" s="4"/>
      <c r="AF175" s="4"/>
    </row>
    <row r="176" spans="1:32" ht="15.75" customHeight="1" x14ac:dyDescent="0.25">
      <c r="A176" s="5" t="s">
        <v>13</v>
      </c>
      <c r="B176" s="7" t="s">
        <v>1110</v>
      </c>
      <c r="C176" s="7" t="s">
        <v>1122</v>
      </c>
      <c r="D176" s="7" t="s">
        <v>1097</v>
      </c>
      <c r="E176" s="5" t="s">
        <v>1124</v>
      </c>
      <c r="F176" s="7">
        <v>1</v>
      </c>
      <c r="G176" s="7">
        <v>0</v>
      </c>
      <c r="H176" s="7">
        <v>1</v>
      </c>
      <c r="I176" s="7">
        <v>1</v>
      </c>
      <c r="J176" s="7">
        <v>1</v>
      </c>
      <c r="K176" s="7">
        <v>1</v>
      </c>
      <c r="L176" s="7">
        <v>1</v>
      </c>
      <c r="M176" s="7">
        <v>1</v>
      </c>
      <c r="N176" s="7">
        <f t="shared" si="27"/>
        <v>7</v>
      </c>
      <c r="O176" s="8">
        <f t="shared" si="28"/>
        <v>0.875</v>
      </c>
      <c r="P176" s="8" t="str">
        <f t="shared" si="29"/>
        <v>ADEQUADA</v>
      </c>
      <c r="Q176" s="7">
        <v>1</v>
      </c>
      <c r="R176" s="7">
        <v>1</v>
      </c>
      <c r="S176" s="7">
        <v>0</v>
      </c>
      <c r="T176" s="7">
        <v>1</v>
      </c>
      <c r="U176" s="7">
        <v>1</v>
      </c>
      <c r="V176" s="7">
        <v>1</v>
      </c>
      <c r="W176" s="7">
        <v>1</v>
      </c>
      <c r="X176" s="7">
        <v>1</v>
      </c>
      <c r="Y176" s="7">
        <f t="shared" si="30"/>
        <v>7</v>
      </c>
      <c r="Z176" s="8">
        <f t="shared" si="31"/>
        <v>0.875</v>
      </c>
      <c r="AA176" s="14" t="str">
        <f t="shared" si="32"/>
        <v>ADEQUADA</v>
      </c>
      <c r="AB176" s="15">
        <f t="shared" si="33"/>
        <v>14</v>
      </c>
      <c r="AC176" s="8">
        <f t="shared" si="34"/>
        <v>0.875</v>
      </c>
      <c r="AD176" s="4"/>
      <c r="AE176" s="4"/>
      <c r="AF176" s="4"/>
    </row>
    <row r="177" spans="1:32" ht="15.75" customHeight="1" x14ac:dyDescent="0.25">
      <c r="A177" s="5" t="s">
        <v>13</v>
      </c>
      <c r="B177" s="7" t="s">
        <v>84</v>
      </c>
      <c r="C177" s="7" t="s">
        <v>1103</v>
      </c>
      <c r="D177" s="7" t="s">
        <v>1097</v>
      </c>
      <c r="E177" s="5" t="s">
        <v>183</v>
      </c>
      <c r="F177" s="7">
        <v>1</v>
      </c>
      <c r="G177" s="7">
        <v>0</v>
      </c>
      <c r="H177" s="7">
        <v>1</v>
      </c>
      <c r="I177" s="7">
        <v>0</v>
      </c>
      <c r="J177" s="7">
        <v>0</v>
      </c>
      <c r="K177" s="7">
        <v>0</v>
      </c>
      <c r="L177" s="7">
        <v>1</v>
      </c>
      <c r="M177" s="7">
        <v>1</v>
      </c>
      <c r="N177" s="7">
        <f t="shared" si="27"/>
        <v>4</v>
      </c>
      <c r="O177" s="8">
        <f t="shared" si="28"/>
        <v>0.5</v>
      </c>
      <c r="P177" s="8" t="str">
        <f t="shared" si="29"/>
        <v>INTERMEDIÁRIO</v>
      </c>
      <c r="Q177" s="7">
        <v>1</v>
      </c>
      <c r="R177" s="7">
        <v>1</v>
      </c>
      <c r="S177" s="7">
        <v>1</v>
      </c>
      <c r="T177" s="7">
        <v>1</v>
      </c>
      <c r="U177" s="7">
        <v>1</v>
      </c>
      <c r="V177" s="7">
        <v>1</v>
      </c>
      <c r="W177" s="7">
        <v>1</v>
      </c>
      <c r="X177" s="7">
        <v>1</v>
      </c>
      <c r="Y177" s="7">
        <f t="shared" si="30"/>
        <v>8</v>
      </c>
      <c r="Z177" s="8">
        <f t="shared" si="31"/>
        <v>1</v>
      </c>
      <c r="AA177" s="14" t="str">
        <f t="shared" si="32"/>
        <v>ADEQUADA</v>
      </c>
      <c r="AB177" s="15">
        <f t="shared" si="33"/>
        <v>12</v>
      </c>
      <c r="AC177" s="8">
        <f t="shared" si="34"/>
        <v>0.75</v>
      </c>
      <c r="AD177" s="4"/>
      <c r="AE177" s="4"/>
      <c r="AF177" s="4"/>
    </row>
    <row r="178" spans="1:32" ht="15.75" customHeight="1" x14ac:dyDescent="0.25">
      <c r="A178" s="5" t="s">
        <v>13</v>
      </c>
      <c r="B178" s="7" t="s">
        <v>84</v>
      </c>
      <c r="C178" s="7" t="s">
        <v>1104</v>
      </c>
      <c r="D178" s="7" t="s">
        <v>1097</v>
      </c>
      <c r="E178" s="5" t="s">
        <v>184</v>
      </c>
      <c r="F178" s="7">
        <v>0</v>
      </c>
      <c r="G178" s="7">
        <v>1</v>
      </c>
      <c r="H178" s="7">
        <v>0</v>
      </c>
      <c r="I178" s="7">
        <v>1</v>
      </c>
      <c r="J178" s="7">
        <v>1</v>
      </c>
      <c r="K178" s="7">
        <v>0</v>
      </c>
      <c r="L178" s="7">
        <v>0</v>
      </c>
      <c r="M178" s="7">
        <v>0</v>
      </c>
      <c r="N178" s="7">
        <f t="shared" si="27"/>
        <v>3</v>
      </c>
      <c r="O178" s="8">
        <f t="shared" si="28"/>
        <v>0.375</v>
      </c>
      <c r="P178" s="8" t="str">
        <f t="shared" si="29"/>
        <v>DEFASAGEM</v>
      </c>
      <c r="Q178" s="7">
        <v>1</v>
      </c>
      <c r="R178" s="7">
        <v>0</v>
      </c>
      <c r="S178" s="7">
        <v>0</v>
      </c>
      <c r="T178" s="7">
        <v>1</v>
      </c>
      <c r="U178" s="7">
        <v>0</v>
      </c>
      <c r="V178" s="7">
        <v>1</v>
      </c>
      <c r="W178" s="7">
        <v>0</v>
      </c>
      <c r="X178" s="7">
        <v>1</v>
      </c>
      <c r="Y178" s="7">
        <f t="shared" si="30"/>
        <v>4</v>
      </c>
      <c r="Z178" s="8">
        <f t="shared" si="31"/>
        <v>0.5</v>
      </c>
      <c r="AA178" s="14" t="str">
        <f t="shared" si="32"/>
        <v>INTERMEDIÁRIO</v>
      </c>
      <c r="AB178" s="15">
        <f t="shared" si="33"/>
        <v>7</v>
      </c>
      <c r="AC178" s="8">
        <f t="shared" si="34"/>
        <v>0.4375</v>
      </c>
      <c r="AD178" s="4"/>
      <c r="AE178" s="4"/>
      <c r="AF178" s="4"/>
    </row>
    <row r="179" spans="1:32" ht="15.75" customHeight="1" x14ac:dyDescent="0.25">
      <c r="A179" s="5" t="s">
        <v>13</v>
      </c>
      <c r="B179" s="7" t="s">
        <v>84</v>
      </c>
      <c r="C179" s="7" t="s">
        <v>1105</v>
      </c>
      <c r="D179" s="7" t="s">
        <v>1097</v>
      </c>
      <c r="E179" s="5" t="s">
        <v>185</v>
      </c>
      <c r="F179" s="7">
        <v>1</v>
      </c>
      <c r="G179" s="7">
        <v>1</v>
      </c>
      <c r="H179" s="7">
        <v>1</v>
      </c>
      <c r="I179" s="7">
        <v>0</v>
      </c>
      <c r="J179" s="7">
        <v>1</v>
      </c>
      <c r="K179" s="7">
        <v>1</v>
      </c>
      <c r="L179" s="7">
        <v>1</v>
      </c>
      <c r="M179" s="7">
        <v>1</v>
      </c>
      <c r="N179" s="7">
        <f t="shared" si="27"/>
        <v>7</v>
      </c>
      <c r="O179" s="8">
        <f t="shared" si="28"/>
        <v>0.875</v>
      </c>
      <c r="P179" s="8" t="str">
        <f t="shared" si="29"/>
        <v>ADEQUADA</v>
      </c>
      <c r="Q179" s="7">
        <v>1</v>
      </c>
      <c r="R179" s="7">
        <v>1</v>
      </c>
      <c r="S179" s="7">
        <v>1</v>
      </c>
      <c r="T179" s="7">
        <v>1</v>
      </c>
      <c r="U179" s="7">
        <v>0</v>
      </c>
      <c r="V179" s="7">
        <v>1</v>
      </c>
      <c r="W179" s="7">
        <v>0</v>
      </c>
      <c r="X179" s="7">
        <v>1</v>
      </c>
      <c r="Y179" s="7">
        <f t="shared" si="30"/>
        <v>6</v>
      </c>
      <c r="Z179" s="8">
        <f t="shared" si="31"/>
        <v>0.75</v>
      </c>
      <c r="AA179" s="14" t="str">
        <f t="shared" si="32"/>
        <v>ADEQUADA</v>
      </c>
      <c r="AB179" s="15">
        <f t="shared" si="33"/>
        <v>13</v>
      </c>
      <c r="AC179" s="8">
        <f t="shared" si="34"/>
        <v>0.8125</v>
      </c>
      <c r="AD179" s="4"/>
      <c r="AE179" s="4"/>
      <c r="AF179" s="4"/>
    </row>
    <row r="180" spans="1:32" ht="15.75" customHeight="1" x14ac:dyDescent="0.25">
      <c r="A180" s="5" t="s">
        <v>13</v>
      </c>
      <c r="B180" s="7" t="s">
        <v>84</v>
      </c>
      <c r="C180" s="7" t="s">
        <v>1103</v>
      </c>
      <c r="D180" s="7" t="s">
        <v>1097</v>
      </c>
      <c r="E180" s="5" t="s">
        <v>186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0</v>
      </c>
      <c r="L180" s="7">
        <v>1</v>
      </c>
      <c r="M180" s="7">
        <v>1</v>
      </c>
      <c r="N180" s="7">
        <f t="shared" si="27"/>
        <v>7</v>
      </c>
      <c r="O180" s="8">
        <f t="shared" si="28"/>
        <v>0.875</v>
      </c>
      <c r="P180" s="8" t="str">
        <f t="shared" si="29"/>
        <v>ADEQUADA</v>
      </c>
      <c r="Q180" s="7">
        <v>1</v>
      </c>
      <c r="R180" s="7">
        <v>1</v>
      </c>
      <c r="S180" s="7">
        <v>1</v>
      </c>
      <c r="T180" s="7">
        <v>1</v>
      </c>
      <c r="U180" s="7">
        <v>1</v>
      </c>
      <c r="V180" s="7">
        <v>1</v>
      </c>
      <c r="W180" s="7">
        <v>1</v>
      </c>
      <c r="X180" s="7">
        <v>1</v>
      </c>
      <c r="Y180" s="7">
        <f t="shared" si="30"/>
        <v>8</v>
      </c>
      <c r="Z180" s="8">
        <f t="shared" si="31"/>
        <v>1</v>
      </c>
      <c r="AA180" s="14" t="str">
        <f t="shared" si="32"/>
        <v>ADEQUADA</v>
      </c>
      <c r="AB180" s="15">
        <f t="shared" si="33"/>
        <v>15</v>
      </c>
      <c r="AC180" s="8">
        <f t="shared" si="34"/>
        <v>0.9375</v>
      </c>
      <c r="AD180" s="4"/>
      <c r="AE180" s="4"/>
      <c r="AF180" s="4"/>
    </row>
    <row r="181" spans="1:32" ht="15.75" customHeight="1" x14ac:dyDescent="0.25">
      <c r="A181" s="5" t="s">
        <v>13</v>
      </c>
      <c r="B181" s="7" t="s">
        <v>84</v>
      </c>
      <c r="C181" s="7" t="s">
        <v>1105</v>
      </c>
      <c r="D181" s="7" t="s">
        <v>1097</v>
      </c>
      <c r="E181" s="5" t="s">
        <v>187</v>
      </c>
      <c r="F181" s="7">
        <v>0</v>
      </c>
      <c r="G181" s="7">
        <v>0</v>
      </c>
      <c r="H181" s="7">
        <v>0</v>
      </c>
      <c r="I181" s="7">
        <v>0</v>
      </c>
      <c r="J181" s="7">
        <v>1</v>
      </c>
      <c r="K181" s="7">
        <v>1</v>
      </c>
      <c r="L181" s="7">
        <v>0</v>
      </c>
      <c r="M181" s="7">
        <v>0</v>
      </c>
      <c r="N181" s="7">
        <f t="shared" si="27"/>
        <v>2</v>
      </c>
      <c r="O181" s="8">
        <f t="shared" si="28"/>
        <v>0.25</v>
      </c>
      <c r="P181" s="8" t="str">
        <f t="shared" si="29"/>
        <v>DEFASAGEM</v>
      </c>
      <c r="Q181" s="7">
        <v>1</v>
      </c>
      <c r="R181" s="7">
        <v>0</v>
      </c>
      <c r="S181" s="7">
        <v>0</v>
      </c>
      <c r="T181" s="7">
        <v>0</v>
      </c>
      <c r="U181" s="7">
        <v>1</v>
      </c>
      <c r="V181" s="7">
        <v>1</v>
      </c>
      <c r="W181" s="7">
        <v>0</v>
      </c>
      <c r="X181" s="7">
        <v>0</v>
      </c>
      <c r="Y181" s="7">
        <f t="shared" si="30"/>
        <v>3</v>
      </c>
      <c r="Z181" s="8">
        <f t="shared" si="31"/>
        <v>0.375</v>
      </c>
      <c r="AA181" s="14" t="str">
        <f t="shared" si="32"/>
        <v>DEFASAGEM</v>
      </c>
      <c r="AB181" s="15">
        <f t="shared" si="33"/>
        <v>5</v>
      </c>
      <c r="AC181" s="8">
        <f t="shared" si="34"/>
        <v>0.3125</v>
      </c>
      <c r="AD181" s="4"/>
      <c r="AE181" s="4"/>
      <c r="AF181" s="4"/>
    </row>
    <row r="182" spans="1:32" ht="15.75" customHeight="1" x14ac:dyDescent="0.25">
      <c r="A182" s="5" t="s">
        <v>13</v>
      </c>
      <c r="B182" s="7" t="s">
        <v>84</v>
      </c>
      <c r="C182" s="7" t="s">
        <v>1104</v>
      </c>
      <c r="D182" s="7" t="s">
        <v>1097</v>
      </c>
      <c r="E182" s="5" t="s">
        <v>188</v>
      </c>
      <c r="F182" s="7">
        <v>0</v>
      </c>
      <c r="G182" s="7">
        <v>0</v>
      </c>
      <c r="H182" s="7">
        <v>1</v>
      </c>
      <c r="I182" s="7">
        <v>0</v>
      </c>
      <c r="J182" s="7">
        <v>1</v>
      </c>
      <c r="K182" s="7">
        <v>1</v>
      </c>
      <c r="L182" s="7">
        <v>0</v>
      </c>
      <c r="M182" s="7">
        <v>1</v>
      </c>
      <c r="N182" s="7">
        <f t="shared" si="27"/>
        <v>4</v>
      </c>
      <c r="O182" s="8">
        <f t="shared" si="28"/>
        <v>0.5</v>
      </c>
      <c r="P182" s="8" t="str">
        <f t="shared" si="29"/>
        <v>INTERMEDIÁRIO</v>
      </c>
      <c r="Q182" s="7">
        <v>1</v>
      </c>
      <c r="R182" s="7">
        <v>0</v>
      </c>
      <c r="S182" s="7">
        <v>1</v>
      </c>
      <c r="T182" s="7">
        <v>1</v>
      </c>
      <c r="U182" s="7">
        <v>1</v>
      </c>
      <c r="V182" s="7">
        <v>1</v>
      </c>
      <c r="W182" s="7">
        <v>0</v>
      </c>
      <c r="X182" s="7">
        <v>0</v>
      </c>
      <c r="Y182" s="7">
        <f t="shared" si="30"/>
        <v>5</v>
      </c>
      <c r="Z182" s="8">
        <f t="shared" si="31"/>
        <v>0.625</v>
      </c>
      <c r="AA182" s="14" t="str">
        <f t="shared" si="32"/>
        <v>INTERMEDIÁRIO</v>
      </c>
      <c r="AB182" s="15">
        <f t="shared" si="33"/>
        <v>9</v>
      </c>
      <c r="AC182" s="8">
        <f t="shared" si="34"/>
        <v>0.5625</v>
      </c>
      <c r="AD182" s="4"/>
      <c r="AE182" s="4"/>
      <c r="AF182" s="4"/>
    </row>
    <row r="183" spans="1:32" ht="15.75" customHeight="1" x14ac:dyDescent="0.25">
      <c r="A183" s="5" t="s">
        <v>13</v>
      </c>
      <c r="B183" s="7" t="s">
        <v>84</v>
      </c>
      <c r="C183" s="7" t="s">
        <v>1096</v>
      </c>
      <c r="D183" s="7" t="s">
        <v>1097</v>
      </c>
      <c r="E183" s="5" t="s">
        <v>189</v>
      </c>
      <c r="F183" s="7">
        <v>1</v>
      </c>
      <c r="G183" s="7">
        <v>0</v>
      </c>
      <c r="H183" s="7">
        <v>1</v>
      </c>
      <c r="I183" s="7">
        <v>1</v>
      </c>
      <c r="J183" s="7">
        <v>1</v>
      </c>
      <c r="K183" s="7">
        <v>0</v>
      </c>
      <c r="L183" s="7">
        <v>1</v>
      </c>
      <c r="M183" s="7">
        <v>1</v>
      </c>
      <c r="N183" s="7">
        <f t="shared" si="27"/>
        <v>6</v>
      </c>
      <c r="O183" s="8">
        <f t="shared" si="28"/>
        <v>0.75</v>
      </c>
      <c r="P183" s="8" t="str">
        <f t="shared" si="29"/>
        <v>ADEQUADA</v>
      </c>
      <c r="Q183" s="7">
        <v>1</v>
      </c>
      <c r="R183" s="7">
        <v>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1</v>
      </c>
      <c r="Y183" s="7">
        <f t="shared" si="30"/>
        <v>8</v>
      </c>
      <c r="Z183" s="8">
        <f t="shared" si="31"/>
        <v>1</v>
      </c>
      <c r="AA183" s="14" t="str">
        <f t="shared" si="32"/>
        <v>ADEQUADA</v>
      </c>
      <c r="AB183" s="15">
        <f t="shared" si="33"/>
        <v>14</v>
      </c>
      <c r="AC183" s="8">
        <f t="shared" si="34"/>
        <v>0.875</v>
      </c>
      <c r="AD183" s="4"/>
      <c r="AE183" s="4"/>
      <c r="AF183" s="4"/>
    </row>
    <row r="184" spans="1:32" ht="15.75" customHeight="1" x14ac:dyDescent="0.25">
      <c r="A184" s="5" t="s">
        <v>14</v>
      </c>
      <c r="B184" s="7" t="s">
        <v>24</v>
      </c>
      <c r="C184" s="7" t="s">
        <v>1104</v>
      </c>
      <c r="D184" s="7" t="s">
        <v>1097</v>
      </c>
      <c r="E184" s="5" t="s">
        <v>190</v>
      </c>
      <c r="F184" s="7">
        <v>1</v>
      </c>
      <c r="G184" s="7">
        <v>0</v>
      </c>
      <c r="H184" s="7">
        <v>1</v>
      </c>
      <c r="I184" s="7">
        <v>0</v>
      </c>
      <c r="J184" s="7">
        <v>1</v>
      </c>
      <c r="K184" s="7">
        <v>1</v>
      </c>
      <c r="L184" s="7">
        <v>1</v>
      </c>
      <c r="M184" s="7">
        <v>1</v>
      </c>
      <c r="N184" s="7">
        <f t="shared" si="27"/>
        <v>6</v>
      </c>
      <c r="O184" s="8">
        <f t="shared" si="28"/>
        <v>0.75</v>
      </c>
      <c r="P184" s="8" t="str">
        <f t="shared" si="29"/>
        <v>ADEQUADA</v>
      </c>
      <c r="Q184" s="7">
        <v>1</v>
      </c>
      <c r="R184" s="7">
        <v>1</v>
      </c>
      <c r="S184" s="7">
        <v>1</v>
      </c>
      <c r="T184" s="7">
        <v>1</v>
      </c>
      <c r="U184" s="7">
        <v>1</v>
      </c>
      <c r="V184" s="7">
        <v>1</v>
      </c>
      <c r="W184" s="7">
        <v>0</v>
      </c>
      <c r="X184" s="7">
        <v>1</v>
      </c>
      <c r="Y184" s="7">
        <f t="shared" si="30"/>
        <v>7</v>
      </c>
      <c r="Z184" s="8">
        <f t="shared" si="31"/>
        <v>0.875</v>
      </c>
      <c r="AA184" s="14" t="str">
        <f t="shared" si="32"/>
        <v>ADEQUADA</v>
      </c>
      <c r="AB184" s="15">
        <f t="shared" si="33"/>
        <v>13</v>
      </c>
      <c r="AC184" s="8">
        <f t="shared" si="34"/>
        <v>0.8125</v>
      </c>
      <c r="AD184" s="4"/>
      <c r="AE184" s="4"/>
      <c r="AF184" s="4"/>
    </row>
    <row r="185" spans="1:32" ht="15.75" customHeight="1" x14ac:dyDescent="0.25">
      <c r="A185" s="5" t="s">
        <v>14</v>
      </c>
      <c r="B185" s="7" t="s">
        <v>24</v>
      </c>
      <c r="C185" s="7" t="s">
        <v>1104</v>
      </c>
      <c r="D185" s="7" t="s">
        <v>1097</v>
      </c>
      <c r="E185" s="5" t="s">
        <v>1125</v>
      </c>
      <c r="F185" s="7">
        <v>1</v>
      </c>
      <c r="G185" s="7">
        <v>0</v>
      </c>
      <c r="H185" s="7">
        <v>0</v>
      </c>
      <c r="I185" s="7">
        <v>1</v>
      </c>
      <c r="J185" s="7">
        <v>0</v>
      </c>
      <c r="K185" s="7">
        <v>1</v>
      </c>
      <c r="L185" s="7">
        <v>1</v>
      </c>
      <c r="M185" s="7">
        <v>1</v>
      </c>
      <c r="N185" s="7">
        <f t="shared" si="27"/>
        <v>5</v>
      </c>
      <c r="O185" s="8">
        <f t="shared" si="28"/>
        <v>0.625</v>
      </c>
      <c r="P185" s="8" t="str">
        <f t="shared" si="29"/>
        <v>INTERMEDIÁRIO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1</v>
      </c>
      <c r="X185" s="7">
        <v>1</v>
      </c>
      <c r="Y185" s="7">
        <f t="shared" si="30"/>
        <v>3</v>
      </c>
      <c r="Z185" s="8">
        <f t="shared" si="31"/>
        <v>0.375</v>
      </c>
      <c r="AA185" s="14" t="str">
        <f t="shared" si="32"/>
        <v>DEFASAGEM</v>
      </c>
      <c r="AB185" s="15">
        <f t="shared" si="33"/>
        <v>8</v>
      </c>
      <c r="AC185" s="8">
        <f t="shared" si="34"/>
        <v>0.5</v>
      </c>
      <c r="AD185" s="4"/>
      <c r="AE185" s="4"/>
      <c r="AF185" s="4"/>
    </row>
    <row r="186" spans="1:32" ht="15.75" customHeight="1" x14ac:dyDescent="0.25">
      <c r="A186" s="5" t="s">
        <v>14</v>
      </c>
      <c r="B186" s="7" t="s">
        <v>24</v>
      </c>
      <c r="C186" s="7" t="s">
        <v>1099</v>
      </c>
      <c r="D186" s="7" t="s">
        <v>1100</v>
      </c>
      <c r="E186" s="5" t="s">
        <v>191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f t="shared" si="27"/>
        <v>0</v>
      </c>
      <c r="O186" s="8">
        <f t="shared" si="28"/>
        <v>0</v>
      </c>
      <c r="P186" s="8" t="str">
        <f t="shared" si="29"/>
        <v>DEFASAGEM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f t="shared" si="30"/>
        <v>0</v>
      </c>
      <c r="Z186" s="8">
        <f t="shared" si="31"/>
        <v>0</v>
      </c>
      <c r="AA186" s="14" t="str">
        <f t="shared" si="32"/>
        <v>DEFASAGEM</v>
      </c>
      <c r="AB186" s="15">
        <f t="shared" si="33"/>
        <v>0</v>
      </c>
      <c r="AC186" s="8">
        <f t="shared" si="34"/>
        <v>0</v>
      </c>
      <c r="AD186" s="4"/>
      <c r="AE186" s="4"/>
      <c r="AF186" s="4"/>
    </row>
    <row r="187" spans="1:32" ht="15.75" customHeight="1" x14ac:dyDescent="0.25">
      <c r="A187" s="5" t="s">
        <v>14</v>
      </c>
      <c r="B187" s="7" t="s">
        <v>24</v>
      </c>
      <c r="C187" s="7" t="s">
        <v>1103</v>
      </c>
      <c r="D187" s="7" t="s">
        <v>1097</v>
      </c>
      <c r="E187" s="5" t="s">
        <v>192</v>
      </c>
      <c r="F187" s="7">
        <v>1</v>
      </c>
      <c r="G187" s="7">
        <v>0</v>
      </c>
      <c r="H187" s="7">
        <v>1</v>
      </c>
      <c r="I187" s="7">
        <v>1</v>
      </c>
      <c r="J187" s="7">
        <v>1</v>
      </c>
      <c r="K187" s="7">
        <v>1</v>
      </c>
      <c r="L187" s="7">
        <v>1</v>
      </c>
      <c r="M187" s="7">
        <v>1</v>
      </c>
      <c r="N187" s="7">
        <f t="shared" si="27"/>
        <v>7</v>
      </c>
      <c r="O187" s="8">
        <f t="shared" si="28"/>
        <v>0.875</v>
      </c>
      <c r="P187" s="8" t="str">
        <f t="shared" si="29"/>
        <v>ADEQUADA</v>
      </c>
      <c r="Q187" s="7">
        <v>1</v>
      </c>
      <c r="R187" s="7">
        <v>1</v>
      </c>
      <c r="S187" s="7">
        <v>1</v>
      </c>
      <c r="T187" s="7">
        <v>1</v>
      </c>
      <c r="U187" s="7">
        <v>1</v>
      </c>
      <c r="V187" s="7">
        <v>1</v>
      </c>
      <c r="W187" s="7">
        <v>0</v>
      </c>
      <c r="X187" s="7">
        <v>1</v>
      </c>
      <c r="Y187" s="7">
        <f t="shared" si="30"/>
        <v>7</v>
      </c>
      <c r="Z187" s="8">
        <f t="shared" si="31"/>
        <v>0.875</v>
      </c>
      <c r="AA187" s="14" t="str">
        <f t="shared" si="32"/>
        <v>ADEQUADA</v>
      </c>
      <c r="AB187" s="15">
        <f t="shared" si="33"/>
        <v>14</v>
      </c>
      <c r="AC187" s="8">
        <f t="shared" si="34"/>
        <v>0.875</v>
      </c>
      <c r="AD187" s="4"/>
      <c r="AE187" s="4"/>
      <c r="AF187" s="4"/>
    </row>
    <row r="188" spans="1:32" ht="15.75" customHeight="1" x14ac:dyDescent="0.25">
      <c r="A188" s="5" t="s">
        <v>14</v>
      </c>
      <c r="B188" s="7" t="s">
        <v>24</v>
      </c>
      <c r="C188" s="7" t="s">
        <v>1104</v>
      </c>
      <c r="D188" s="7" t="s">
        <v>1097</v>
      </c>
      <c r="E188" s="5" t="s">
        <v>193</v>
      </c>
      <c r="F188" s="7">
        <v>1</v>
      </c>
      <c r="G188" s="7">
        <v>1</v>
      </c>
      <c r="H188" s="7">
        <v>1</v>
      </c>
      <c r="I188" s="7">
        <v>1</v>
      </c>
      <c r="J188" s="7">
        <v>1</v>
      </c>
      <c r="K188" s="7">
        <v>0</v>
      </c>
      <c r="L188" s="7">
        <v>1</v>
      </c>
      <c r="M188" s="7">
        <v>1</v>
      </c>
      <c r="N188" s="7">
        <f t="shared" si="27"/>
        <v>7</v>
      </c>
      <c r="O188" s="8">
        <f t="shared" si="28"/>
        <v>0.875</v>
      </c>
      <c r="P188" s="8" t="str">
        <f t="shared" si="29"/>
        <v>ADEQUADA</v>
      </c>
      <c r="Q188" s="7">
        <v>1</v>
      </c>
      <c r="R188" s="7">
        <v>1</v>
      </c>
      <c r="S188" s="7">
        <v>1</v>
      </c>
      <c r="T188" s="7">
        <v>1</v>
      </c>
      <c r="U188" s="7">
        <v>1</v>
      </c>
      <c r="V188" s="7">
        <v>1</v>
      </c>
      <c r="W188" s="7">
        <v>1</v>
      </c>
      <c r="X188" s="7">
        <v>1</v>
      </c>
      <c r="Y188" s="7">
        <f t="shared" si="30"/>
        <v>8</v>
      </c>
      <c r="Z188" s="8">
        <f t="shared" si="31"/>
        <v>1</v>
      </c>
      <c r="AA188" s="14" t="str">
        <f t="shared" si="32"/>
        <v>ADEQUADA</v>
      </c>
      <c r="AB188" s="15">
        <f t="shared" si="33"/>
        <v>15</v>
      </c>
      <c r="AC188" s="8">
        <f t="shared" si="34"/>
        <v>0.9375</v>
      </c>
      <c r="AD188" s="4"/>
      <c r="AE188" s="4"/>
      <c r="AF188" s="4"/>
    </row>
    <row r="189" spans="1:32" ht="15.75" customHeight="1" x14ac:dyDescent="0.25">
      <c r="A189" s="5" t="s">
        <v>14</v>
      </c>
      <c r="B189" s="7" t="s">
        <v>24</v>
      </c>
      <c r="C189" s="7" t="s">
        <v>1103</v>
      </c>
      <c r="D189" s="7" t="s">
        <v>1097</v>
      </c>
      <c r="E189" s="5" t="s">
        <v>194</v>
      </c>
      <c r="F189" s="7">
        <v>1</v>
      </c>
      <c r="G189" s="7">
        <v>0</v>
      </c>
      <c r="H189" s="7">
        <v>0</v>
      </c>
      <c r="I189" s="7">
        <v>0</v>
      </c>
      <c r="J189" s="7">
        <v>0</v>
      </c>
      <c r="K189" s="7">
        <v>1</v>
      </c>
      <c r="L189" s="7">
        <v>1</v>
      </c>
      <c r="M189" s="7">
        <v>0</v>
      </c>
      <c r="N189" s="7">
        <f t="shared" si="27"/>
        <v>3</v>
      </c>
      <c r="O189" s="8">
        <f t="shared" si="28"/>
        <v>0.375</v>
      </c>
      <c r="P189" s="8" t="str">
        <f t="shared" si="29"/>
        <v>DEFASAGEM</v>
      </c>
      <c r="Q189" s="7">
        <v>1</v>
      </c>
      <c r="R189" s="7">
        <v>0</v>
      </c>
      <c r="S189" s="7">
        <v>1</v>
      </c>
      <c r="T189" s="7">
        <v>0</v>
      </c>
      <c r="U189" s="7">
        <v>0</v>
      </c>
      <c r="V189" s="7">
        <v>1</v>
      </c>
      <c r="W189" s="7">
        <v>0</v>
      </c>
      <c r="X189" s="7">
        <v>0</v>
      </c>
      <c r="Y189" s="7">
        <f t="shared" si="30"/>
        <v>3</v>
      </c>
      <c r="Z189" s="8">
        <f t="shared" si="31"/>
        <v>0.375</v>
      </c>
      <c r="AA189" s="14" t="str">
        <f t="shared" si="32"/>
        <v>DEFASAGEM</v>
      </c>
      <c r="AB189" s="15">
        <f t="shared" si="33"/>
        <v>6</v>
      </c>
      <c r="AC189" s="8">
        <f t="shared" si="34"/>
        <v>0.375</v>
      </c>
      <c r="AD189" s="4"/>
      <c r="AE189" s="4"/>
      <c r="AF189" s="4"/>
    </row>
    <row r="190" spans="1:32" ht="15.75" customHeight="1" x14ac:dyDescent="0.25">
      <c r="A190" s="5" t="s">
        <v>14</v>
      </c>
      <c r="B190" s="7" t="s">
        <v>24</v>
      </c>
      <c r="C190" s="7" t="s">
        <v>1103</v>
      </c>
      <c r="D190" s="7" t="s">
        <v>1097</v>
      </c>
      <c r="E190" s="5" t="s">
        <v>195</v>
      </c>
      <c r="F190" s="7">
        <v>1</v>
      </c>
      <c r="G190" s="7">
        <v>1</v>
      </c>
      <c r="H190" s="7">
        <v>1</v>
      </c>
      <c r="I190" s="7">
        <v>1</v>
      </c>
      <c r="J190" s="7">
        <v>0</v>
      </c>
      <c r="K190" s="7">
        <v>1</v>
      </c>
      <c r="L190" s="7">
        <v>1</v>
      </c>
      <c r="M190" s="7">
        <v>1</v>
      </c>
      <c r="N190" s="7">
        <f t="shared" si="27"/>
        <v>7</v>
      </c>
      <c r="O190" s="8">
        <f t="shared" si="28"/>
        <v>0.875</v>
      </c>
      <c r="P190" s="8" t="str">
        <f t="shared" si="29"/>
        <v>ADEQUADA</v>
      </c>
      <c r="Q190" s="7">
        <v>1</v>
      </c>
      <c r="R190" s="7">
        <v>1</v>
      </c>
      <c r="S190" s="7">
        <v>0</v>
      </c>
      <c r="T190" s="7">
        <v>1</v>
      </c>
      <c r="U190" s="7">
        <v>0</v>
      </c>
      <c r="V190" s="7">
        <v>1</v>
      </c>
      <c r="W190" s="7">
        <v>0</v>
      </c>
      <c r="X190" s="7">
        <v>1</v>
      </c>
      <c r="Y190" s="7">
        <f t="shared" si="30"/>
        <v>5</v>
      </c>
      <c r="Z190" s="8">
        <f t="shared" si="31"/>
        <v>0.625</v>
      </c>
      <c r="AA190" s="14" t="str">
        <f t="shared" si="32"/>
        <v>INTERMEDIÁRIO</v>
      </c>
      <c r="AB190" s="15">
        <f t="shared" si="33"/>
        <v>12</v>
      </c>
      <c r="AC190" s="8">
        <f t="shared" si="34"/>
        <v>0.75</v>
      </c>
      <c r="AD190" s="4"/>
      <c r="AE190" s="4"/>
      <c r="AF190" s="4"/>
    </row>
    <row r="191" spans="1:32" ht="15.75" customHeight="1" x14ac:dyDescent="0.25">
      <c r="A191" s="5" t="s">
        <v>14</v>
      </c>
      <c r="B191" s="7" t="s">
        <v>24</v>
      </c>
      <c r="C191" s="7" t="s">
        <v>1104</v>
      </c>
      <c r="D191" s="7" t="s">
        <v>1097</v>
      </c>
      <c r="E191" s="5" t="s">
        <v>196</v>
      </c>
      <c r="F191" s="7">
        <v>1</v>
      </c>
      <c r="G191" s="7">
        <v>1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  <c r="M191" s="7">
        <v>1</v>
      </c>
      <c r="N191" s="7">
        <f t="shared" si="27"/>
        <v>8</v>
      </c>
      <c r="O191" s="8">
        <f t="shared" si="28"/>
        <v>1</v>
      </c>
      <c r="P191" s="8" t="str">
        <f t="shared" si="29"/>
        <v>ADEQUADA</v>
      </c>
      <c r="Q191" s="7">
        <v>1</v>
      </c>
      <c r="R191" s="7">
        <v>1</v>
      </c>
      <c r="S191" s="7">
        <v>1</v>
      </c>
      <c r="T191" s="7">
        <v>1</v>
      </c>
      <c r="U191" s="7">
        <v>0</v>
      </c>
      <c r="V191" s="7">
        <v>1</v>
      </c>
      <c r="W191" s="7">
        <v>1</v>
      </c>
      <c r="X191" s="7">
        <v>1</v>
      </c>
      <c r="Y191" s="7">
        <f t="shared" si="30"/>
        <v>7</v>
      </c>
      <c r="Z191" s="8">
        <f t="shared" si="31"/>
        <v>0.875</v>
      </c>
      <c r="AA191" s="14" t="str">
        <f t="shared" si="32"/>
        <v>ADEQUADA</v>
      </c>
      <c r="AB191" s="15">
        <f t="shared" si="33"/>
        <v>15</v>
      </c>
      <c r="AC191" s="8">
        <f t="shared" si="34"/>
        <v>0.9375</v>
      </c>
      <c r="AD191" s="4"/>
      <c r="AE191" s="4"/>
      <c r="AF191" s="4"/>
    </row>
    <row r="192" spans="1:32" ht="15.75" customHeight="1" x14ac:dyDescent="0.25">
      <c r="A192" s="5" t="s">
        <v>14</v>
      </c>
      <c r="B192" s="7" t="s">
        <v>24</v>
      </c>
      <c r="C192" s="7" t="s">
        <v>1096</v>
      </c>
      <c r="D192" s="7" t="s">
        <v>1097</v>
      </c>
      <c r="E192" s="5" t="s">
        <v>197</v>
      </c>
      <c r="F192" s="7">
        <v>1</v>
      </c>
      <c r="G192" s="7">
        <v>0</v>
      </c>
      <c r="H192" s="7">
        <v>1</v>
      </c>
      <c r="I192" s="7">
        <v>0</v>
      </c>
      <c r="J192" s="7">
        <v>1</v>
      </c>
      <c r="K192" s="7">
        <v>1</v>
      </c>
      <c r="L192" s="7">
        <v>0</v>
      </c>
      <c r="M192" s="7">
        <v>1</v>
      </c>
      <c r="N192" s="7">
        <f t="shared" si="27"/>
        <v>5</v>
      </c>
      <c r="O192" s="8">
        <f t="shared" si="28"/>
        <v>0.625</v>
      </c>
      <c r="P192" s="8" t="str">
        <f t="shared" si="29"/>
        <v>INTERMEDIÁRIO</v>
      </c>
      <c r="Q192" s="7">
        <v>1</v>
      </c>
      <c r="R192" s="7">
        <v>0</v>
      </c>
      <c r="S192" s="7">
        <v>0</v>
      </c>
      <c r="T192" s="7">
        <v>1</v>
      </c>
      <c r="U192" s="7">
        <v>0</v>
      </c>
      <c r="V192" s="7">
        <v>1</v>
      </c>
      <c r="W192" s="7">
        <v>1</v>
      </c>
      <c r="X192" s="7">
        <v>1</v>
      </c>
      <c r="Y192" s="7">
        <f t="shared" si="30"/>
        <v>5</v>
      </c>
      <c r="Z192" s="8">
        <f t="shared" si="31"/>
        <v>0.625</v>
      </c>
      <c r="AA192" s="14" t="str">
        <f t="shared" si="32"/>
        <v>INTERMEDIÁRIO</v>
      </c>
      <c r="AB192" s="15">
        <f t="shared" si="33"/>
        <v>10</v>
      </c>
      <c r="AC192" s="8">
        <f t="shared" si="34"/>
        <v>0.625</v>
      </c>
      <c r="AD192" s="4"/>
      <c r="AE192" s="4"/>
      <c r="AF192" s="4"/>
    </row>
    <row r="193" spans="1:32" ht="15.75" customHeight="1" x14ac:dyDescent="0.25">
      <c r="A193" s="5" t="s">
        <v>14</v>
      </c>
      <c r="B193" s="7" t="s">
        <v>24</v>
      </c>
      <c r="C193" s="7" t="s">
        <v>1103</v>
      </c>
      <c r="D193" s="7" t="s">
        <v>1097</v>
      </c>
      <c r="E193" s="5" t="s">
        <v>198</v>
      </c>
      <c r="F193" s="7">
        <v>1</v>
      </c>
      <c r="G193" s="7">
        <v>1</v>
      </c>
      <c r="H193" s="7">
        <v>1</v>
      </c>
      <c r="I193" s="7">
        <v>1</v>
      </c>
      <c r="J193" s="7">
        <v>1</v>
      </c>
      <c r="K193" s="7">
        <v>1</v>
      </c>
      <c r="L193" s="7">
        <v>1</v>
      </c>
      <c r="M193" s="7">
        <v>1</v>
      </c>
      <c r="N193" s="7">
        <f t="shared" si="27"/>
        <v>8</v>
      </c>
      <c r="O193" s="8">
        <f t="shared" si="28"/>
        <v>1</v>
      </c>
      <c r="P193" s="8" t="str">
        <f t="shared" si="29"/>
        <v>ADEQUADA</v>
      </c>
      <c r="Q193" s="7">
        <v>1</v>
      </c>
      <c r="R193" s="7">
        <v>1</v>
      </c>
      <c r="S193" s="7">
        <v>1</v>
      </c>
      <c r="T193" s="7">
        <v>1</v>
      </c>
      <c r="U193" s="7">
        <v>0</v>
      </c>
      <c r="V193" s="7">
        <v>1</v>
      </c>
      <c r="W193" s="7">
        <v>1</v>
      </c>
      <c r="X193" s="7">
        <v>1</v>
      </c>
      <c r="Y193" s="7">
        <f t="shared" si="30"/>
        <v>7</v>
      </c>
      <c r="Z193" s="8">
        <f t="shared" si="31"/>
        <v>0.875</v>
      </c>
      <c r="AA193" s="14" t="str">
        <f t="shared" si="32"/>
        <v>ADEQUADA</v>
      </c>
      <c r="AB193" s="15">
        <f t="shared" si="33"/>
        <v>15</v>
      </c>
      <c r="AC193" s="8">
        <f t="shared" si="34"/>
        <v>0.9375</v>
      </c>
      <c r="AD193" s="4"/>
      <c r="AE193" s="4"/>
      <c r="AF193" s="4"/>
    </row>
    <row r="194" spans="1:32" ht="15.75" customHeight="1" x14ac:dyDescent="0.25">
      <c r="A194" s="5" t="s">
        <v>14</v>
      </c>
      <c r="B194" s="7" t="s">
        <v>24</v>
      </c>
      <c r="C194" s="7" t="s">
        <v>1103</v>
      </c>
      <c r="D194" s="7" t="s">
        <v>1097</v>
      </c>
      <c r="E194" s="5" t="s">
        <v>199</v>
      </c>
      <c r="F194" s="7">
        <v>1</v>
      </c>
      <c r="G194" s="7">
        <v>0</v>
      </c>
      <c r="H194" s="7">
        <v>1</v>
      </c>
      <c r="I194" s="7">
        <v>0</v>
      </c>
      <c r="J194" s="7">
        <v>1</v>
      </c>
      <c r="K194" s="7">
        <v>1</v>
      </c>
      <c r="L194" s="7">
        <v>1</v>
      </c>
      <c r="M194" s="7">
        <v>1</v>
      </c>
      <c r="N194" s="7">
        <f t="shared" si="27"/>
        <v>6</v>
      </c>
      <c r="O194" s="8">
        <f t="shared" si="28"/>
        <v>0.75</v>
      </c>
      <c r="P194" s="8" t="str">
        <f t="shared" si="29"/>
        <v>ADEQUADA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</v>
      </c>
      <c r="Y194" s="7">
        <f t="shared" si="30"/>
        <v>8</v>
      </c>
      <c r="Z194" s="8">
        <f t="shared" si="31"/>
        <v>1</v>
      </c>
      <c r="AA194" s="14" t="str">
        <f t="shared" si="32"/>
        <v>ADEQUADA</v>
      </c>
      <c r="AB194" s="15">
        <f t="shared" si="33"/>
        <v>14</v>
      </c>
      <c r="AC194" s="8">
        <f t="shared" si="34"/>
        <v>0.875</v>
      </c>
      <c r="AD194" s="4"/>
      <c r="AE194" s="4"/>
      <c r="AF194" s="4"/>
    </row>
    <row r="195" spans="1:32" ht="15.75" customHeight="1" x14ac:dyDescent="0.25">
      <c r="A195" s="5" t="s">
        <v>14</v>
      </c>
      <c r="B195" s="7" t="s">
        <v>24</v>
      </c>
      <c r="C195" s="7" t="s">
        <v>1103</v>
      </c>
      <c r="D195" s="7" t="s">
        <v>1097</v>
      </c>
      <c r="E195" s="5" t="s">
        <v>200</v>
      </c>
      <c r="F195" s="7">
        <v>1</v>
      </c>
      <c r="G195" s="7">
        <v>0</v>
      </c>
      <c r="H195" s="7">
        <v>1</v>
      </c>
      <c r="I195" s="7">
        <v>0</v>
      </c>
      <c r="J195" s="7">
        <v>1</v>
      </c>
      <c r="K195" s="7">
        <v>0</v>
      </c>
      <c r="L195" s="7">
        <v>1</v>
      </c>
      <c r="M195" s="7">
        <v>1</v>
      </c>
      <c r="N195" s="7">
        <f t="shared" si="27"/>
        <v>5</v>
      </c>
      <c r="O195" s="8">
        <f t="shared" si="28"/>
        <v>0.625</v>
      </c>
      <c r="P195" s="8" t="str">
        <f t="shared" si="29"/>
        <v>INTERMEDIÁRIO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f t="shared" si="30"/>
        <v>8</v>
      </c>
      <c r="Z195" s="8">
        <f t="shared" si="31"/>
        <v>1</v>
      </c>
      <c r="AA195" s="14" t="str">
        <f t="shared" si="32"/>
        <v>ADEQUADA</v>
      </c>
      <c r="AB195" s="15">
        <f t="shared" si="33"/>
        <v>13</v>
      </c>
      <c r="AC195" s="8">
        <f t="shared" si="34"/>
        <v>0.8125</v>
      </c>
      <c r="AD195" s="4"/>
      <c r="AE195" s="4"/>
      <c r="AF195" s="4"/>
    </row>
    <row r="196" spans="1:32" ht="15.75" customHeight="1" x14ac:dyDescent="0.25">
      <c r="A196" s="5" t="s">
        <v>201</v>
      </c>
      <c r="B196" s="7" t="s">
        <v>24</v>
      </c>
      <c r="C196" s="7" t="s">
        <v>1103</v>
      </c>
      <c r="D196" s="7" t="s">
        <v>1097</v>
      </c>
      <c r="E196" s="5" t="s">
        <v>202</v>
      </c>
      <c r="F196" s="7">
        <v>1</v>
      </c>
      <c r="G196" s="7">
        <v>1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  <c r="M196" s="7">
        <v>1</v>
      </c>
      <c r="N196" s="7">
        <f t="shared" si="27"/>
        <v>8</v>
      </c>
      <c r="O196" s="8">
        <f t="shared" si="28"/>
        <v>1</v>
      </c>
      <c r="P196" s="8" t="str">
        <f t="shared" si="29"/>
        <v>ADEQUADA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f t="shared" si="30"/>
        <v>8</v>
      </c>
      <c r="Z196" s="8">
        <f t="shared" si="31"/>
        <v>1</v>
      </c>
      <c r="AA196" s="14" t="str">
        <f t="shared" si="32"/>
        <v>ADEQUADA</v>
      </c>
      <c r="AB196" s="15">
        <f t="shared" si="33"/>
        <v>16</v>
      </c>
      <c r="AC196" s="8">
        <f t="shared" si="34"/>
        <v>1</v>
      </c>
      <c r="AD196" s="4"/>
      <c r="AE196" s="4"/>
      <c r="AF196" s="4"/>
    </row>
    <row r="197" spans="1:32" ht="15.75" customHeight="1" x14ac:dyDescent="0.25">
      <c r="A197" s="5" t="s">
        <v>203</v>
      </c>
      <c r="B197" s="7" t="s">
        <v>24</v>
      </c>
      <c r="C197" s="7" t="s">
        <v>1103</v>
      </c>
      <c r="D197" s="7" t="s">
        <v>1097</v>
      </c>
      <c r="E197" s="5" t="s">
        <v>1126</v>
      </c>
      <c r="F197" s="7">
        <v>1</v>
      </c>
      <c r="G197" s="7">
        <v>1</v>
      </c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f t="shared" si="27"/>
        <v>8</v>
      </c>
      <c r="O197" s="8">
        <f t="shared" si="28"/>
        <v>1</v>
      </c>
      <c r="P197" s="8" t="str">
        <f t="shared" si="29"/>
        <v>ADEQUADA</v>
      </c>
      <c r="Q197" s="7">
        <v>1</v>
      </c>
      <c r="R197" s="7">
        <v>1</v>
      </c>
      <c r="S197" s="7">
        <v>0</v>
      </c>
      <c r="T197" s="7">
        <v>1</v>
      </c>
      <c r="U197" s="7">
        <v>1</v>
      </c>
      <c r="V197" s="7">
        <v>1</v>
      </c>
      <c r="W197" s="7">
        <v>1</v>
      </c>
      <c r="X197" s="7">
        <v>1</v>
      </c>
      <c r="Y197" s="7">
        <f t="shared" si="30"/>
        <v>7</v>
      </c>
      <c r="Z197" s="8">
        <f t="shared" si="31"/>
        <v>0.875</v>
      </c>
      <c r="AA197" s="14" t="str">
        <f t="shared" si="32"/>
        <v>ADEQUADA</v>
      </c>
      <c r="AB197" s="15">
        <f t="shared" si="33"/>
        <v>15</v>
      </c>
      <c r="AC197" s="8">
        <f t="shared" si="34"/>
        <v>0.9375</v>
      </c>
      <c r="AD197" s="4"/>
      <c r="AE197" s="4"/>
      <c r="AF197" s="4"/>
    </row>
    <row r="198" spans="1:32" ht="15.75" customHeight="1" x14ac:dyDescent="0.25">
      <c r="A198" s="5" t="s">
        <v>203</v>
      </c>
      <c r="B198" s="7" t="s">
        <v>24</v>
      </c>
      <c r="C198" s="7" t="s">
        <v>1103</v>
      </c>
      <c r="D198" s="7" t="s">
        <v>1097</v>
      </c>
      <c r="E198" s="5" t="s">
        <v>204</v>
      </c>
      <c r="F198" s="7">
        <v>1</v>
      </c>
      <c r="G198" s="7">
        <v>1</v>
      </c>
      <c r="H198" s="7">
        <v>1</v>
      </c>
      <c r="I198" s="7">
        <v>1</v>
      </c>
      <c r="J198" s="7">
        <v>1</v>
      </c>
      <c r="K198" s="7">
        <v>0</v>
      </c>
      <c r="L198" s="7">
        <v>1</v>
      </c>
      <c r="M198" s="7">
        <v>1</v>
      </c>
      <c r="N198" s="7">
        <f t="shared" si="27"/>
        <v>7</v>
      </c>
      <c r="O198" s="8">
        <f t="shared" si="28"/>
        <v>0.875</v>
      </c>
      <c r="P198" s="8" t="str">
        <f t="shared" si="29"/>
        <v>ADEQUADA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0</v>
      </c>
      <c r="X198" s="7">
        <v>0</v>
      </c>
      <c r="Y198" s="7">
        <f t="shared" si="30"/>
        <v>6</v>
      </c>
      <c r="Z198" s="8">
        <f t="shared" si="31"/>
        <v>0.75</v>
      </c>
      <c r="AA198" s="14" t="str">
        <f t="shared" si="32"/>
        <v>ADEQUADA</v>
      </c>
      <c r="AB198" s="15">
        <f t="shared" si="33"/>
        <v>13</v>
      </c>
      <c r="AC198" s="8">
        <f t="shared" si="34"/>
        <v>0.8125</v>
      </c>
      <c r="AD198" s="4"/>
      <c r="AE198" s="4"/>
      <c r="AF198" s="4"/>
    </row>
    <row r="199" spans="1:32" ht="15.75" customHeight="1" x14ac:dyDescent="0.25">
      <c r="A199" s="5" t="s">
        <v>203</v>
      </c>
      <c r="B199" s="7" t="s">
        <v>24</v>
      </c>
      <c r="C199" s="7" t="s">
        <v>1096</v>
      </c>
      <c r="D199" s="7" t="s">
        <v>1097</v>
      </c>
      <c r="E199" s="5" t="s">
        <v>205</v>
      </c>
      <c r="F199" s="7">
        <v>1</v>
      </c>
      <c r="G199" s="7">
        <v>1</v>
      </c>
      <c r="H199" s="7">
        <v>1</v>
      </c>
      <c r="I199" s="7">
        <v>1</v>
      </c>
      <c r="J199" s="7">
        <v>1</v>
      </c>
      <c r="K199" s="7">
        <v>1</v>
      </c>
      <c r="L199" s="7">
        <v>1</v>
      </c>
      <c r="M199" s="7">
        <v>1</v>
      </c>
      <c r="N199" s="7">
        <f t="shared" si="27"/>
        <v>8</v>
      </c>
      <c r="O199" s="8">
        <f t="shared" si="28"/>
        <v>1</v>
      </c>
      <c r="P199" s="8" t="str">
        <f t="shared" si="29"/>
        <v>ADEQUADA</v>
      </c>
      <c r="Q199" s="7">
        <v>1</v>
      </c>
      <c r="R199" s="7">
        <v>1</v>
      </c>
      <c r="S199" s="7">
        <v>0</v>
      </c>
      <c r="T199" s="7">
        <v>1</v>
      </c>
      <c r="U199" s="7">
        <v>1</v>
      </c>
      <c r="V199" s="7">
        <v>1</v>
      </c>
      <c r="W199" s="7">
        <v>0</v>
      </c>
      <c r="X199" s="7">
        <v>1</v>
      </c>
      <c r="Y199" s="7">
        <f t="shared" si="30"/>
        <v>6</v>
      </c>
      <c r="Z199" s="8">
        <f t="shared" si="31"/>
        <v>0.75</v>
      </c>
      <c r="AA199" s="14" t="str">
        <f t="shared" si="32"/>
        <v>ADEQUADA</v>
      </c>
      <c r="AB199" s="15">
        <f t="shared" si="33"/>
        <v>14</v>
      </c>
      <c r="AC199" s="8">
        <f t="shared" si="34"/>
        <v>0.875</v>
      </c>
      <c r="AD199" s="4"/>
      <c r="AE199" s="4"/>
      <c r="AF199" s="4"/>
    </row>
    <row r="200" spans="1:32" ht="15.75" customHeight="1" x14ac:dyDescent="0.25">
      <c r="A200" s="5" t="s">
        <v>206</v>
      </c>
      <c r="B200" s="7" t="s">
        <v>24</v>
      </c>
      <c r="C200" s="7" t="s">
        <v>1103</v>
      </c>
      <c r="D200" s="7" t="s">
        <v>1097</v>
      </c>
      <c r="E200" s="5" t="s">
        <v>207</v>
      </c>
      <c r="F200" s="7">
        <v>1</v>
      </c>
      <c r="G200" s="7">
        <v>1</v>
      </c>
      <c r="H200" s="7">
        <v>1</v>
      </c>
      <c r="I200" s="7">
        <v>1</v>
      </c>
      <c r="J200" s="7">
        <v>1</v>
      </c>
      <c r="K200" s="7">
        <v>1</v>
      </c>
      <c r="L200" s="7">
        <v>1</v>
      </c>
      <c r="M200" s="7">
        <v>1</v>
      </c>
      <c r="N200" s="7">
        <v>1</v>
      </c>
      <c r="O200" s="8">
        <v>1</v>
      </c>
      <c r="P200" s="8" t="str">
        <f t="shared" si="29"/>
        <v>ADEQUADA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f t="shared" si="30"/>
        <v>8</v>
      </c>
      <c r="Z200" s="8">
        <f t="shared" si="31"/>
        <v>1</v>
      </c>
      <c r="AA200" s="14" t="str">
        <f t="shared" si="32"/>
        <v>ADEQUADA</v>
      </c>
      <c r="AB200" s="15">
        <f t="shared" si="33"/>
        <v>16</v>
      </c>
      <c r="AC200" s="8">
        <f t="shared" si="34"/>
        <v>1</v>
      </c>
      <c r="AD200" s="4"/>
      <c r="AE200" s="4"/>
      <c r="AF200" s="4"/>
    </row>
    <row r="201" spans="1:32" ht="15.75" customHeight="1" x14ac:dyDescent="0.25">
      <c r="A201" s="5" t="s">
        <v>206</v>
      </c>
      <c r="B201" s="7" t="s">
        <v>24</v>
      </c>
      <c r="C201" s="7" t="s">
        <v>1103</v>
      </c>
      <c r="D201" s="7" t="s">
        <v>1097</v>
      </c>
      <c r="E201" s="5" t="s">
        <v>208</v>
      </c>
      <c r="F201" s="7">
        <v>1</v>
      </c>
      <c r="G201" s="7">
        <v>1</v>
      </c>
      <c r="H201" s="7">
        <v>1</v>
      </c>
      <c r="I201" s="7">
        <v>1</v>
      </c>
      <c r="J201" s="7">
        <v>1</v>
      </c>
      <c r="K201" s="7">
        <v>1</v>
      </c>
      <c r="L201" s="7">
        <v>1</v>
      </c>
      <c r="M201" s="7">
        <v>1</v>
      </c>
      <c r="N201" s="7">
        <f t="shared" ref="N201:N211" si="35">SUM(F201:M201)</f>
        <v>8</v>
      </c>
      <c r="O201" s="8">
        <f t="shared" ref="O201:O211" si="36">((N201*100)/8)/100</f>
        <v>1</v>
      </c>
      <c r="P201" s="8" t="str">
        <f t="shared" si="29"/>
        <v>ADEQUADA</v>
      </c>
      <c r="Q201" s="7">
        <v>0</v>
      </c>
      <c r="R201" s="7">
        <v>1</v>
      </c>
      <c r="S201" s="7">
        <v>1</v>
      </c>
      <c r="T201" s="7">
        <v>1</v>
      </c>
      <c r="U201" s="7">
        <v>0</v>
      </c>
      <c r="V201" s="7">
        <v>1</v>
      </c>
      <c r="W201" s="7">
        <v>0</v>
      </c>
      <c r="X201" s="7">
        <v>1</v>
      </c>
      <c r="Y201" s="7">
        <f t="shared" si="30"/>
        <v>5</v>
      </c>
      <c r="Z201" s="8">
        <f t="shared" si="31"/>
        <v>0.625</v>
      </c>
      <c r="AA201" s="14" t="str">
        <f t="shared" si="32"/>
        <v>INTERMEDIÁRIO</v>
      </c>
      <c r="AB201" s="15">
        <f t="shared" si="33"/>
        <v>13</v>
      </c>
      <c r="AC201" s="8">
        <f t="shared" si="34"/>
        <v>0.8125</v>
      </c>
      <c r="AD201" s="4"/>
      <c r="AE201" s="4"/>
      <c r="AF201" s="4"/>
    </row>
    <row r="202" spans="1:32" ht="15.75" customHeight="1" x14ac:dyDescent="0.25">
      <c r="A202" s="5" t="s">
        <v>209</v>
      </c>
      <c r="B202" s="7" t="s">
        <v>24</v>
      </c>
      <c r="C202" s="7" t="s">
        <v>1099</v>
      </c>
      <c r="D202" s="7" t="s">
        <v>1100</v>
      </c>
      <c r="E202" s="5" t="s">
        <v>1127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f t="shared" si="35"/>
        <v>0</v>
      </c>
      <c r="O202" s="8">
        <f t="shared" si="36"/>
        <v>0</v>
      </c>
      <c r="P202" s="8" t="str">
        <f t="shared" si="29"/>
        <v>DEFASAGEM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f t="shared" si="30"/>
        <v>0</v>
      </c>
      <c r="Z202" s="8">
        <f t="shared" si="31"/>
        <v>0</v>
      </c>
      <c r="AA202" s="14" t="str">
        <f t="shared" si="32"/>
        <v>DEFASAGEM</v>
      </c>
      <c r="AB202" s="15">
        <f t="shared" si="33"/>
        <v>0</v>
      </c>
      <c r="AC202" s="8">
        <f t="shared" si="34"/>
        <v>0</v>
      </c>
      <c r="AD202" s="4"/>
      <c r="AE202" s="4"/>
      <c r="AF202" s="4"/>
    </row>
    <row r="203" spans="1:32" ht="15.75" customHeight="1" x14ac:dyDescent="0.25">
      <c r="A203" s="5" t="s">
        <v>209</v>
      </c>
      <c r="B203" s="7" t="s">
        <v>24</v>
      </c>
      <c r="C203" s="7" t="s">
        <v>1096</v>
      </c>
      <c r="D203" s="7" t="s">
        <v>1097</v>
      </c>
      <c r="E203" s="5" t="s">
        <v>210</v>
      </c>
      <c r="F203" s="7">
        <v>1</v>
      </c>
      <c r="G203" s="7">
        <v>1</v>
      </c>
      <c r="H203" s="7">
        <v>1</v>
      </c>
      <c r="I203" s="7">
        <v>1</v>
      </c>
      <c r="J203" s="7">
        <v>1</v>
      </c>
      <c r="K203" s="7">
        <v>1</v>
      </c>
      <c r="L203" s="7">
        <v>1</v>
      </c>
      <c r="M203" s="7">
        <v>1</v>
      </c>
      <c r="N203" s="7">
        <f t="shared" si="35"/>
        <v>8</v>
      </c>
      <c r="O203" s="8">
        <f t="shared" si="36"/>
        <v>1</v>
      </c>
      <c r="P203" s="8" t="str">
        <f t="shared" si="29"/>
        <v>ADEQUADA</v>
      </c>
      <c r="Q203" s="7">
        <v>0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0</v>
      </c>
      <c r="X203" s="7">
        <v>1</v>
      </c>
      <c r="Y203" s="7">
        <f t="shared" si="30"/>
        <v>6</v>
      </c>
      <c r="Z203" s="8">
        <f t="shared" si="31"/>
        <v>0.75</v>
      </c>
      <c r="AA203" s="14" t="str">
        <f t="shared" si="32"/>
        <v>ADEQUADA</v>
      </c>
      <c r="AB203" s="15">
        <f t="shared" si="33"/>
        <v>14</v>
      </c>
      <c r="AC203" s="8">
        <f t="shared" si="34"/>
        <v>0.875</v>
      </c>
      <c r="AD203" s="4"/>
      <c r="AE203" s="4"/>
      <c r="AF203" s="4"/>
    </row>
    <row r="204" spans="1:32" ht="15.75" customHeight="1" x14ac:dyDescent="0.25">
      <c r="A204" s="5" t="s">
        <v>211</v>
      </c>
      <c r="B204" s="7" t="s">
        <v>24</v>
      </c>
      <c r="C204" s="7" t="s">
        <v>1103</v>
      </c>
      <c r="D204" s="7" t="s">
        <v>1097</v>
      </c>
      <c r="E204" s="5" t="s">
        <v>1128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f t="shared" si="35"/>
        <v>0</v>
      </c>
      <c r="O204" s="8">
        <f t="shared" si="36"/>
        <v>0</v>
      </c>
      <c r="P204" s="8" t="str">
        <f t="shared" si="29"/>
        <v>DEFASAGEM</v>
      </c>
      <c r="Q204" s="7">
        <v>0</v>
      </c>
      <c r="R204" s="7">
        <v>1</v>
      </c>
      <c r="S204" s="7">
        <v>0</v>
      </c>
      <c r="T204" s="7">
        <v>1</v>
      </c>
      <c r="U204" s="7">
        <v>0</v>
      </c>
      <c r="V204" s="7">
        <v>1</v>
      </c>
      <c r="W204" s="7">
        <v>0</v>
      </c>
      <c r="X204" s="7">
        <v>0</v>
      </c>
      <c r="Y204" s="7">
        <f t="shared" si="30"/>
        <v>3</v>
      </c>
      <c r="Z204" s="8">
        <f t="shared" si="31"/>
        <v>0.375</v>
      </c>
      <c r="AA204" s="14" t="str">
        <f t="shared" si="32"/>
        <v>DEFASAGEM</v>
      </c>
      <c r="AB204" s="15">
        <f t="shared" si="33"/>
        <v>3</v>
      </c>
      <c r="AC204" s="8">
        <f t="shared" si="34"/>
        <v>0.1875</v>
      </c>
      <c r="AD204" s="4"/>
      <c r="AE204" s="4"/>
      <c r="AF204" s="4"/>
    </row>
    <row r="205" spans="1:32" ht="15.75" customHeight="1" x14ac:dyDescent="0.25">
      <c r="A205" s="5" t="s">
        <v>211</v>
      </c>
      <c r="B205" s="7" t="s">
        <v>24</v>
      </c>
      <c r="C205" s="7" t="s">
        <v>1096</v>
      </c>
      <c r="D205" s="7" t="s">
        <v>1097</v>
      </c>
      <c r="E205" s="5" t="s">
        <v>1129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f t="shared" si="35"/>
        <v>0</v>
      </c>
      <c r="O205" s="8">
        <f t="shared" si="36"/>
        <v>0</v>
      </c>
      <c r="P205" s="8" t="str">
        <f t="shared" si="29"/>
        <v>DEFASAGEM</v>
      </c>
      <c r="Q205" s="7">
        <v>1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f t="shared" si="30"/>
        <v>1</v>
      </c>
      <c r="Z205" s="8">
        <f t="shared" si="31"/>
        <v>0.125</v>
      </c>
      <c r="AA205" s="14" t="str">
        <f t="shared" si="32"/>
        <v>DEFASAGEM</v>
      </c>
      <c r="AB205" s="15">
        <f t="shared" si="33"/>
        <v>1</v>
      </c>
      <c r="AC205" s="8">
        <f t="shared" si="34"/>
        <v>6.25E-2</v>
      </c>
      <c r="AD205" s="4"/>
      <c r="AE205" s="4"/>
      <c r="AF205" s="4"/>
    </row>
    <row r="206" spans="1:32" ht="15.75" customHeight="1" x14ac:dyDescent="0.25">
      <c r="A206" s="5" t="s">
        <v>211</v>
      </c>
      <c r="B206" s="7" t="s">
        <v>24</v>
      </c>
      <c r="C206" s="7" t="s">
        <v>1103</v>
      </c>
      <c r="D206" s="7" t="s">
        <v>1097</v>
      </c>
      <c r="E206" s="5" t="s">
        <v>212</v>
      </c>
      <c r="F206" s="7">
        <v>1</v>
      </c>
      <c r="G206" s="7">
        <v>0</v>
      </c>
      <c r="H206" s="7">
        <v>1</v>
      </c>
      <c r="I206" s="7">
        <v>1</v>
      </c>
      <c r="J206" s="7">
        <v>1</v>
      </c>
      <c r="K206" s="7">
        <v>1</v>
      </c>
      <c r="L206" s="7">
        <v>1</v>
      </c>
      <c r="M206" s="7">
        <v>0</v>
      </c>
      <c r="N206" s="7">
        <f t="shared" si="35"/>
        <v>6</v>
      </c>
      <c r="O206" s="8">
        <f t="shared" si="36"/>
        <v>0.75</v>
      </c>
      <c r="P206" s="8" t="str">
        <f t="shared" si="29"/>
        <v>ADEQUADA</v>
      </c>
      <c r="Q206" s="7">
        <v>1</v>
      </c>
      <c r="R206" s="7">
        <v>0</v>
      </c>
      <c r="S206" s="7">
        <v>0</v>
      </c>
      <c r="T206" s="7">
        <v>1</v>
      </c>
      <c r="U206" s="7">
        <v>0</v>
      </c>
      <c r="V206" s="7">
        <v>1</v>
      </c>
      <c r="W206" s="7">
        <v>0</v>
      </c>
      <c r="X206" s="7">
        <v>1</v>
      </c>
      <c r="Y206" s="7">
        <f t="shared" si="30"/>
        <v>4</v>
      </c>
      <c r="Z206" s="8">
        <f t="shared" si="31"/>
        <v>0.5</v>
      </c>
      <c r="AA206" s="14" t="str">
        <f t="shared" si="32"/>
        <v>INTERMEDIÁRIO</v>
      </c>
      <c r="AB206" s="15">
        <f t="shared" si="33"/>
        <v>10</v>
      </c>
      <c r="AC206" s="8">
        <f t="shared" si="34"/>
        <v>0.625</v>
      </c>
      <c r="AD206" s="4"/>
      <c r="AE206" s="4"/>
      <c r="AF206" s="4"/>
    </row>
    <row r="207" spans="1:32" ht="15.75" customHeight="1" x14ac:dyDescent="0.25">
      <c r="A207" s="5" t="s">
        <v>211</v>
      </c>
      <c r="B207" s="7" t="s">
        <v>24</v>
      </c>
      <c r="C207" s="7" t="s">
        <v>1103</v>
      </c>
      <c r="D207" s="7" t="s">
        <v>1097</v>
      </c>
      <c r="E207" s="5" t="s">
        <v>213</v>
      </c>
      <c r="F207" s="7">
        <v>1</v>
      </c>
      <c r="G207" s="7">
        <v>1</v>
      </c>
      <c r="H207" s="7">
        <v>1</v>
      </c>
      <c r="I207" s="7">
        <v>1</v>
      </c>
      <c r="J207" s="7">
        <v>1</v>
      </c>
      <c r="K207" s="7">
        <v>1</v>
      </c>
      <c r="L207" s="7">
        <v>1</v>
      </c>
      <c r="M207" s="7">
        <v>1</v>
      </c>
      <c r="N207" s="7">
        <f t="shared" si="35"/>
        <v>8</v>
      </c>
      <c r="O207" s="8">
        <f t="shared" si="36"/>
        <v>1</v>
      </c>
      <c r="P207" s="8" t="str">
        <f t="shared" si="29"/>
        <v>ADEQUADA</v>
      </c>
      <c r="Q207" s="7">
        <v>1</v>
      </c>
      <c r="R207" s="7">
        <v>1</v>
      </c>
      <c r="S207" s="7">
        <v>1</v>
      </c>
      <c r="T207" s="7">
        <v>1</v>
      </c>
      <c r="U207" s="7">
        <v>1</v>
      </c>
      <c r="V207" s="7">
        <v>1</v>
      </c>
      <c r="W207" s="7">
        <v>0</v>
      </c>
      <c r="X207" s="7">
        <v>1</v>
      </c>
      <c r="Y207" s="7">
        <f t="shared" si="30"/>
        <v>7</v>
      </c>
      <c r="Z207" s="8">
        <f t="shared" si="31"/>
        <v>0.875</v>
      </c>
      <c r="AA207" s="14" t="str">
        <f t="shared" si="32"/>
        <v>ADEQUADA</v>
      </c>
      <c r="AB207" s="15">
        <f t="shared" si="33"/>
        <v>15</v>
      </c>
      <c r="AC207" s="8">
        <f t="shared" si="34"/>
        <v>0.9375</v>
      </c>
      <c r="AD207" s="4"/>
      <c r="AE207" s="4"/>
      <c r="AF207" s="4"/>
    </row>
    <row r="208" spans="1:32" ht="15.75" customHeight="1" x14ac:dyDescent="0.25">
      <c r="A208" s="5" t="s">
        <v>211</v>
      </c>
      <c r="B208" s="7" t="s">
        <v>24</v>
      </c>
      <c r="C208" s="7" t="s">
        <v>1103</v>
      </c>
      <c r="D208" s="7" t="s">
        <v>1097</v>
      </c>
      <c r="E208" s="5" t="s">
        <v>214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  <c r="M208" s="7">
        <v>1</v>
      </c>
      <c r="N208" s="7">
        <f t="shared" si="35"/>
        <v>8</v>
      </c>
      <c r="O208" s="8">
        <f t="shared" si="36"/>
        <v>1</v>
      </c>
      <c r="P208" s="8" t="str">
        <f t="shared" si="29"/>
        <v>ADEQUADA</v>
      </c>
      <c r="Q208" s="7">
        <v>1</v>
      </c>
      <c r="R208" s="7">
        <v>1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1</v>
      </c>
      <c r="Y208" s="7">
        <f t="shared" si="30"/>
        <v>8</v>
      </c>
      <c r="Z208" s="8">
        <f t="shared" si="31"/>
        <v>1</v>
      </c>
      <c r="AA208" s="14" t="str">
        <f t="shared" si="32"/>
        <v>ADEQUADA</v>
      </c>
      <c r="AB208" s="15">
        <f t="shared" si="33"/>
        <v>16</v>
      </c>
      <c r="AC208" s="8">
        <f t="shared" si="34"/>
        <v>1</v>
      </c>
      <c r="AD208" s="4"/>
      <c r="AE208" s="4"/>
      <c r="AF208" s="4"/>
    </row>
    <row r="209" spans="1:32" ht="15.75" customHeight="1" x14ac:dyDescent="0.25">
      <c r="A209" s="5" t="s">
        <v>211</v>
      </c>
      <c r="B209" s="7" t="s">
        <v>24</v>
      </c>
      <c r="C209" s="7" t="s">
        <v>1103</v>
      </c>
      <c r="D209" s="7" t="s">
        <v>1097</v>
      </c>
      <c r="E209" s="5" t="s">
        <v>215</v>
      </c>
      <c r="F209" s="7">
        <v>1</v>
      </c>
      <c r="G209" s="7">
        <v>0</v>
      </c>
      <c r="H209" s="7">
        <v>1</v>
      </c>
      <c r="I209" s="7">
        <v>1</v>
      </c>
      <c r="J209" s="7">
        <v>1</v>
      </c>
      <c r="K209" s="7">
        <v>1</v>
      </c>
      <c r="L209" s="7">
        <v>1</v>
      </c>
      <c r="M209" s="7">
        <v>1</v>
      </c>
      <c r="N209" s="7">
        <f t="shared" si="35"/>
        <v>7</v>
      </c>
      <c r="O209" s="8">
        <f t="shared" si="36"/>
        <v>0.875</v>
      </c>
      <c r="P209" s="8" t="str">
        <f t="shared" ref="P209:P272" si="37">IF(O209&lt;0.4,"DEFASAGEM",IF(O209&lt;0.7,"INTERMEDIÁRIO","ADEQUADA"))</f>
        <v>ADEQUADA</v>
      </c>
      <c r="Q209" s="7">
        <v>0</v>
      </c>
      <c r="R209" s="7">
        <v>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1</v>
      </c>
      <c r="Y209" s="7">
        <f t="shared" ref="Y209:Y272" si="38">SUM(Q209:X209)</f>
        <v>7</v>
      </c>
      <c r="Z209" s="8">
        <f t="shared" ref="Z209:Z272" si="39">((Y209*100)/8)/100</f>
        <v>0.875</v>
      </c>
      <c r="AA209" s="14" t="str">
        <f t="shared" ref="AA209:AA272" si="40">IF(Z209&lt;0.4,"DEFASAGEM",IF(Z209&lt;0.7,"INTERMEDIÁRIO","ADEQUADA"))</f>
        <v>ADEQUADA</v>
      </c>
      <c r="AB209" s="15">
        <f t="shared" ref="AB209:AB272" si="41">SUM(F209:M209)+SUM(Q209:X209)</f>
        <v>14</v>
      </c>
      <c r="AC209" s="8">
        <f t="shared" ref="AC209:AC272" si="42">((AB209*100)/16)/100</f>
        <v>0.875</v>
      </c>
      <c r="AD209" s="4"/>
      <c r="AE209" s="4"/>
      <c r="AF209" s="4"/>
    </row>
    <row r="210" spans="1:32" ht="15.75" customHeight="1" x14ac:dyDescent="0.25">
      <c r="A210" s="5" t="s">
        <v>211</v>
      </c>
      <c r="B210" s="7" t="s">
        <v>24</v>
      </c>
      <c r="C210" s="7" t="s">
        <v>1103</v>
      </c>
      <c r="D210" s="7" t="s">
        <v>1097</v>
      </c>
      <c r="E210" s="5" t="s">
        <v>216</v>
      </c>
      <c r="F210" s="7">
        <v>1</v>
      </c>
      <c r="G210" s="7">
        <v>1</v>
      </c>
      <c r="H210" s="7">
        <v>0</v>
      </c>
      <c r="I210" s="7">
        <v>1</v>
      </c>
      <c r="J210" s="7">
        <v>1</v>
      </c>
      <c r="K210" s="7">
        <v>1</v>
      </c>
      <c r="L210" s="7">
        <v>1</v>
      </c>
      <c r="M210" s="7">
        <v>1</v>
      </c>
      <c r="N210" s="7">
        <f t="shared" si="35"/>
        <v>7</v>
      </c>
      <c r="O210" s="8">
        <f t="shared" si="36"/>
        <v>0.875</v>
      </c>
      <c r="P210" s="8" t="str">
        <f t="shared" si="37"/>
        <v>ADEQUADA</v>
      </c>
      <c r="Q210" s="7">
        <v>1</v>
      </c>
      <c r="R210" s="7">
        <v>1</v>
      </c>
      <c r="S210" s="7">
        <v>0</v>
      </c>
      <c r="T210" s="7">
        <v>1</v>
      </c>
      <c r="U210" s="7">
        <v>1</v>
      </c>
      <c r="V210" s="7">
        <v>1</v>
      </c>
      <c r="W210" s="7">
        <v>0</v>
      </c>
      <c r="X210" s="7">
        <v>1</v>
      </c>
      <c r="Y210" s="7">
        <f t="shared" si="38"/>
        <v>6</v>
      </c>
      <c r="Z210" s="8">
        <f t="shared" si="39"/>
        <v>0.75</v>
      </c>
      <c r="AA210" s="14" t="str">
        <f t="shared" si="40"/>
        <v>ADEQUADA</v>
      </c>
      <c r="AB210" s="15">
        <f t="shared" si="41"/>
        <v>13</v>
      </c>
      <c r="AC210" s="8">
        <f t="shared" si="42"/>
        <v>0.8125</v>
      </c>
      <c r="AD210" s="4"/>
      <c r="AE210" s="4"/>
      <c r="AF210" s="4"/>
    </row>
    <row r="211" spans="1:32" ht="15.75" customHeight="1" x14ac:dyDescent="0.25">
      <c r="A211" s="5" t="s">
        <v>211</v>
      </c>
      <c r="B211" s="7" t="s">
        <v>24</v>
      </c>
      <c r="C211" s="7" t="s">
        <v>1103</v>
      </c>
      <c r="D211" s="7" t="s">
        <v>1097</v>
      </c>
      <c r="E211" s="5" t="s">
        <v>217</v>
      </c>
      <c r="F211" s="7">
        <v>1</v>
      </c>
      <c r="G211" s="7">
        <v>1</v>
      </c>
      <c r="H211" s="7">
        <v>1</v>
      </c>
      <c r="I211" s="7">
        <v>1</v>
      </c>
      <c r="J211" s="7">
        <v>0</v>
      </c>
      <c r="K211" s="7">
        <v>1</v>
      </c>
      <c r="L211" s="7">
        <v>1</v>
      </c>
      <c r="M211" s="7">
        <v>1</v>
      </c>
      <c r="N211" s="7">
        <f t="shared" si="35"/>
        <v>7</v>
      </c>
      <c r="O211" s="8">
        <f t="shared" si="36"/>
        <v>0.875</v>
      </c>
      <c r="P211" s="8" t="str">
        <f t="shared" si="37"/>
        <v>ADEQUADA</v>
      </c>
      <c r="Q211" s="7">
        <v>1</v>
      </c>
      <c r="R211" s="7">
        <v>1</v>
      </c>
      <c r="S211" s="7">
        <v>0</v>
      </c>
      <c r="T211" s="7">
        <v>1</v>
      </c>
      <c r="U211" s="7">
        <v>1</v>
      </c>
      <c r="V211" s="7">
        <v>1</v>
      </c>
      <c r="W211" s="7">
        <v>0</v>
      </c>
      <c r="X211" s="7">
        <v>0</v>
      </c>
      <c r="Y211" s="7">
        <f t="shared" si="38"/>
        <v>5</v>
      </c>
      <c r="Z211" s="8">
        <f t="shared" si="39"/>
        <v>0.625</v>
      </c>
      <c r="AA211" s="14" t="str">
        <f t="shared" si="40"/>
        <v>INTERMEDIÁRIO</v>
      </c>
      <c r="AB211" s="15">
        <f t="shared" si="41"/>
        <v>12</v>
      </c>
      <c r="AC211" s="8">
        <f t="shared" si="42"/>
        <v>0.75</v>
      </c>
      <c r="AD211" s="4"/>
      <c r="AE211" s="4"/>
      <c r="AF211" s="4"/>
    </row>
    <row r="212" spans="1:32" ht="15.75" customHeight="1" x14ac:dyDescent="0.25">
      <c r="A212" s="5" t="s">
        <v>211</v>
      </c>
      <c r="B212" s="7" t="s">
        <v>24</v>
      </c>
      <c r="C212" s="7" t="s">
        <v>1099</v>
      </c>
      <c r="D212" s="7" t="s">
        <v>1100</v>
      </c>
      <c r="E212" s="5" t="s">
        <v>1130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8">
        <v>0</v>
      </c>
      <c r="P212" s="8" t="str">
        <f t="shared" si="37"/>
        <v>DEFASAGEM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f t="shared" si="38"/>
        <v>0</v>
      </c>
      <c r="Z212" s="8">
        <f t="shared" si="39"/>
        <v>0</v>
      </c>
      <c r="AA212" s="14" t="str">
        <f t="shared" si="40"/>
        <v>DEFASAGEM</v>
      </c>
      <c r="AB212" s="15">
        <f t="shared" si="41"/>
        <v>0</v>
      </c>
      <c r="AC212" s="8">
        <f t="shared" si="42"/>
        <v>0</v>
      </c>
      <c r="AD212" s="4"/>
      <c r="AE212" s="4"/>
      <c r="AF212" s="4"/>
    </row>
    <row r="213" spans="1:32" ht="15.75" customHeight="1" x14ac:dyDescent="0.25">
      <c r="A213" s="5" t="s">
        <v>218</v>
      </c>
      <c r="B213" s="7" t="s">
        <v>24</v>
      </c>
      <c r="C213" s="7" t="s">
        <v>1103</v>
      </c>
      <c r="D213" s="7" t="s">
        <v>1097</v>
      </c>
      <c r="E213" s="5" t="s">
        <v>219</v>
      </c>
      <c r="F213" s="7">
        <v>1</v>
      </c>
      <c r="G213" s="7">
        <v>0</v>
      </c>
      <c r="H213" s="7">
        <v>1</v>
      </c>
      <c r="I213" s="7">
        <v>1</v>
      </c>
      <c r="J213" s="7">
        <v>1</v>
      </c>
      <c r="K213" s="7">
        <v>1</v>
      </c>
      <c r="L213" s="7">
        <v>1</v>
      </c>
      <c r="M213" s="7">
        <v>1</v>
      </c>
      <c r="N213" s="7">
        <f t="shared" ref="N213:N276" si="43">SUM(F213:M213)</f>
        <v>7</v>
      </c>
      <c r="O213" s="8">
        <f t="shared" ref="O213:O276" si="44">((N213*100)/8)/100</f>
        <v>0.875</v>
      </c>
      <c r="P213" s="8" t="str">
        <f t="shared" si="37"/>
        <v>ADEQUADA</v>
      </c>
      <c r="Q213" s="7">
        <v>1</v>
      </c>
      <c r="R213" s="7">
        <v>1</v>
      </c>
      <c r="S213" s="7">
        <v>1</v>
      </c>
      <c r="T213" s="7">
        <v>1</v>
      </c>
      <c r="U213" s="7">
        <v>1</v>
      </c>
      <c r="V213" s="7">
        <v>1</v>
      </c>
      <c r="W213" s="7">
        <v>0</v>
      </c>
      <c r="X213" s="7">
        <v>1</v>
      </c>
      <c r="Y213" s="7">
        <f t="shared" si="38"/>
        <v>7</v>
      </c>
      <c r="Z213" s="8">
        <f t="shared" si="39"/>
        <v>0.875</v>
      </c>
      <c r="AA213" s="14" t="str">
        <f t="shared" si="40"/>
        <v>ADEQUADA</v>
      </c>
      <c r="AB213" s="15">
        <f t="shared" si="41"/>
        <v>14</v>
      </c>
      <c r="AC213" s="8">
        <f t="shared" si="42"/>
        <v>0.875</v>
      </c>
      <c r="AD213" s="4"/>
      <c r="AE213" s="4"/>
      <c r="AF213" s="4"/>
    </row>
    <row r="214" spans="1:32" ht="15.75" customHeight="1" x14ac:dyDescent="0.25">
      <c r="A214" s="5" t="s">
        <v>218</v>
      </c>
      <c r="B214" s="7" t="s">
        <v>24</v>
      </c>
      <c r="C214" s="7" t="s">
        <v>1099</v>
      </c>
      <c r="D214" s="7" t="s">
        <v>1100</v>
      </c>
      <c r="E214" s="5" t="s">
        <v>1131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f t="shared" si="43"/>
        <v>0</v>
      </c>
      <c r="O214" s="8">
        <f t="shared" si="44"/>
        <v>0</v>
      </c>
      <c r="P214" s="8" t="str">
        <f t="shared" si="37"/>
        <v>DEFASAGEM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f t="shared" si="38"/>
        <v>0</v>
      </c>
      <c r="Z214" s="8">
        <f t="shared" si="39"/>
        <v>0</v>
      </c>
      <c r="AA214" s="14" t="str">
        <f t="shared" si="40"/>
        <v>DEFASAGEM</v>
      </c>
      <c r="AB214" s="15">
        <f t="shared" si="41"/>
        <v>0</v>
      </c>
      <c r="AC214" s="8">
        <f t="shared" si="42"/>
        <v>0</v>
      </c>
      <c r="AD214" s="4"/>
      <c r="AE214" s="4"/>
      <c r="AF214" s="4"/>
    </row>
    <row r="215" spans="1:32" ht="15.75" customHeight="1" x14ac:dyDescent="0.25">
      <c r="A215" s="5" t="s">
        <v>218</v>
      </c>
      <c r="B215" s="7" t="s">
        <v>24</v>
      </c>
      <c r="C215" s="7" t="s">
        <v>1103</v>
      </c>
      <c r="D215" s="7" t="s">
        <v>1097</v>
      </c>
      <c r="E215" s="5" t="s">
        <v>220</v>
      </c>
      <c r="F215" s="7">
        <v>1</v>
      </c>
      <c r="G215" s="7">
        <v>0</v>
      </c>
      <c r="H215" s="7">
        <v>1</v>
      </c>
      <c r="I215" s="7">
        <v>0</v>
      </c>
      <c r="J215" s="7">
        <v>1</v>
      </c>
      <c r="K215" s="7">
        <v>1</v>
      </c>
      <c r="L215" s="7">
        <v>1</v>
      </c>
      <c r="M215" s="7">
        <v>0</v>
      </c>
      <c r="N215" s="7">
        <f t="shared" si="43"/>
        <v>5</v>
      </c>
      <c r="O215" s="8">
        <f t="shared" si="44"/>
        <v>0.625</v>
      </c>
      <c r="P215" s="8" t="str">
        <f t="shared" si="37"/>
        <v>INTERMEDIÁRIO</v>
      </c>
      <c r="Q215" s="7">
        <v>1</v>
      </c>
      <c r="R215" s="7">
        <v>1</v>
      </c>
      <c r="S215" s="7">
        <v>1</v>
      </c>
      <c r="T215" s="7">
        <v>1</v>
      </c>
      <c r="U215" s="7">
        <v>1</v>
      </c>
      <c r="V215" s="7">
        <v>1</v>
      </c>
      <c r="W215" s="7">
        <v>0</v>
      </c>
      <c r="X215" s="7">
        <v>1</v>
      </c>
      <c r="Y215" s="7">
        <f t="shared" si="38"/>
        <v>7</v>
      </c>
      <c r="Z215" s="8">
        <f t="shared" si="39"/>
        <v>0.875</v>
      </c>
      <c r="AA215" s="14" t="str">
        <f t="shared" si="40"/>
        <v>ADEQUADA</v>
      </c>
      <c r="AB215" s="15">
        <f t="shared" si="41"/>
        <v>12</v>
      </c>
      <c r="AC215" s="8">
        <f t="shared" si="42"/>
        <v>0.75</v>
      </c>
      <c r="AD215" s="4"/>
      <c r="AE215" s="4"/>
      <c r="AF215" s="4"/>
    </row>
    <row r="216" spans="1:32" ht="15.75" customHeight="1" x14ac:dyDescent="0.25">
      <c r="A216" s="5" t="s">
        <v>218</v>
      </c>
      <c r="B216" s="7" t="s">
        <v>24</v>
      </c>
      <c r="C216" s="7" t="s">
        <v>1103</v>
      </c>
      <c r="D216" s="7" t="s">
        <v>1097</v>
      </c>
      <c r="E216" s="5" t="s">
        <v>221</v>
      </c>
      <c r="F216" s="7">
        <v>1</v>
      </c>
      <c r="G216" s="7">
        <v>0</v>
      </c>
      <c r="H216" s="7">
        <v>1</v>
      </c>
      <c r="I216" s="7">
        <v>1</v>
      </c>
      <c r="J216" s="7">
        <v>1</v>
      </c>
      <c r="K216" s="7">
        <v>1</v>
      </c>
      <c r="L216" s="7">
        <v>1</v>
      </c>
      <c r="M216" s="7">
        <v>1</v>
      </c>
      <c r="N216" s="7">
        <f t="shared" si="43"/>
        <v>7</v>
      </c>
      <c r="O216" s="8">
        <f t="shared" si="44"/>
        <v>0.875</v>
      </c>
      <c r="P216" s="8" t="str">
        <f t="shared" si="37"/>
        <v>ADEQUADA</v>
      </c>
      <c r="Q216" s="7">
        <v>1</v>
      </c>
      <c r="R216" s="7">
        <v>1</v>
      </c>
      <c r="S216" s="7">
        <v>0</v>
      </c>
      <c r="T216" s="7">
        <v>1</v>
      </c>
      <c r="U216" s="7">
        <v>1</v>
      </c>
      <c r="V216" s="7">
        <v>1</v>
      </c>
      <c r="W216" s="7">
        <v>1</v>
      </c>
      <c r="X216" s="7">
        <v>1</v>
      </c>
      <c r="Y216" s="7">
        <f t="shared" si="38"/>
        <v>7</v>
      </c>
      <c r="Z216" s="8">
        <f t="shared" si="39"/>
        <v>0.875</v>
      </c>
      <c r="AA216" s="14" t="str">
        <f t="shared" si="40"/>
        <v>ADEQUADA</v>
      </c>
      <c r="AB216" s="15">
        <f t="shared" si="41"/>
        <v>14</v>
      </c>
      <c r="AC216" s="8">
        <f t="shared" si="42"/>
        <v>0.875</v>
      </c>
      <c r="AD216" s="4"/>
      <c r="AE216" s="4"/>
      <c r="AF216" s="4"/>
    </row>
    <row r="217" spans="1:32" ht="15.75" customHeight="1" x14ac:dyDescent="0.25">
      <c r="A217" s="5" t="s">
        <v>218</v>
      </c>
      <c r="B217" s="7" t="s">
        <v>24</v>
      </c>
      <c r="C217" s="7" t="s">
        <v>1104</v>
      </c>
      <c r="D217" s="7" t="s">
        <v>1097</v>
      </c>
      <c r="E217" s="5" t="s">
        <v>222</v>
      </c>
      <c r="F217" s="7">
        <v>1</v>
      </c>
      <c r="G217" s="7">
        <v>0</v>
      </c>
      <c r="H217" s="7">
        <v>1</v>
      </c>
      <c r="I217" s="7">
        <v>1</v>
      </c>
      <c r="J217" s="7">
        <v>1</v>
      </c>
      <c r="K217" s="7">
        <v>1</v>
      </c>
      <c r="L217" s="7">
        <v>1</v>
      </c>
      <c r="M217" s="7">
        <v>1</v>
      </c>
      <c r="N217" s="7">
        <f t="shared" si="43"/>
        <v>7</v>
      </c>
      <c r="O217" s="8">
        <f t="shared" si="44"/>
        <v>0.875</v>
      </c>
      <c r="P217" s="8" t="str">
        <f t="shared" si="37"/>
        <v>ADEQUADA</v>
      </c>
      <c r="Q217" s="7">
        <v>1</v>
      </c>
      <c r="R217" s="7">
        <v>1</v>
      </c>
      <c r="S217" s="7">
        <v>1</v>
      </c>
      <c r="T217" s="7">
        <v>1</v>
      </c>
      <c r="U217" s="7">
        <v>1</v>
      </c>
      <c r="V217" s="7">
        <v>1</v>
      </c>
      <c r="W217" s="7">
        <v>1</v>
      </c>
      <c r="X217" s="7">
        <v>1</v>
      </c>
      <c r="Y217" s="7">
        <f t="shared" si="38"/>
        <v>8</v>
      </c>
      <c r="Z217" s="8">
        <f t="shared" si="39"/>
        <v>1</v>
      </c>
      <c r="AA217" s="14" t="str">
        <f t="shared" si="40"/>
        <v>ADEQUADA</v>
      </c>
      <c r="AB217" s="15">
        <f t="shared" si="41"/>
        <v>15</v>
      </c>
      <c r="AC217" s="8">
        <f t="shared" si="42"/>
        <v>0.9375</v>
      </c>
      <c r="AD217" s="4"/>
      <c r="AE217" s="4"/>
      <c r="AF217" s="4"/>
    </row>
    <row r="218" spans="1:32" ht="15.75" customHeight="1" x14ac:dyDescent="0.25">
      <c r="A218" s="5" t="s">
        <v>218</v>
      </c>
      <c r="B218" s="7" t="s">
        <v>24</v>
      </c>
      <c r="C218" s="7" t="s">
        <v>1103</v>
      </c>
      <c r="D218" s="7" t="s">
        <v>1097</v>
      </c>
      <c r="E218" s="5" t="s">
        <v>223</v>
      </c>
      <c r="F218" s="7">
        <v>1</v>
      </c>
      <c r="G218" s="7">
        <v>0</v>
      </c>
      <c r="H218" s="7">
        <v>1</v>
      </c>
      <c r="I218" s="7">
        <v>1</v>
      </c>
      <c r="J218" s="7">
        <v>1</v>
      </c>
      <c r="K218" s="7">
        <v>0</v>
      </c>
      <c r="L218" s="7">
        <v>1</v>
      </c>
      <c r="M218" s="7">
        <v>1</v>
      </c>
      <c r="N218" s="7">
        <f t="shared" si="43"/>
        <v>6</v>
      </c>
      <c r="O218" s="8">
        <f t="shared" si="44"/>
        <v>0.75</v>
      </c>
      <c r="P218" s="8" t="str">
        <f t="shared" si="37"/>
        <v>ADEQUADA</v>
      </c>
      <c r="Q218" s="7">
        <v>1</v>
      </c>
      <c r="R218" s="7">
        <v>1</v>
      </c>
      <c r="S218" s="7">
        <v>1</v>
      </c>
      <c r="T218" s="7">
        <v>1</v>
      </c>
      <c r="U218" s="7">
        <v>1</v>
      </c>
      <c r="V218" s="7">
        <v>1</v>
      </c>
      <c r="W218" s="7">
        <v>0</v>
      </c>
      <c r="X218" s="7">
        <v>0</v>
      </c>
      <c r="Y218" s="7">
        <f t="shared" si="38"/>
        <v>6</v>
      </c>
      <c r="Z218" s="8">
        <f t="shared" si="39"/>
        <v>0.75</v>
      </c>
      <c r="AA218" s="14" t="str">
        <f t="shared" si="40"/>
        <v>ADEQUADA</v>
      </c>
      <c r="AB218" s="15">
        <f t="shared" si="41"/>
        <v>12</v>
      </c>
      <c r="AC218" s="8">
        <f t="shared" si="42"/>
        <v>0.75</v>
      </c>
      <c r="AD218" s="4"/>
      <c r="AE218" s="4"/>
      <c r="AF218" s="4"/>
    </row>
    <row r="219" spans="1:32" ht="15.75" customHeight="1" x14ac:dyDescent="0.25">
      <c r="A219" s="5" t="s">
        <v>224</v>
      </c>
      <c r="B219" s="7" t="s">
        <v>118</v>
      </c>
      <c r="C219" s="7" t="s">
        <v>1103</v>
      </c>
      <c r="D219" s="7" t="s">
        <v>1097</v>
      </c>
      <c r="E219" s="5" t="s">
        <v>225</v>
      </c>
      <c r="F219" s="7">
        <v>1</v>
      </c>
      <c r="G219" s="7">
        <v>1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1</v>
      </c>
      <c r="N219" s="7">
        <f t="shared" si="43"/>
        <v>8</v>
      </c>
      <c r="O219" s="8">
        <f t="shared" si="44"/>
        <v>1</v>
      </c>
      <c r="P219" s="8" t="str">
        <f t="shared" si="37"/>
        <v>ADEQUADA</v>
      </c>
      <c r="Q219" s="7">
        <v>1</v>
      </c>
      <c r="R219" s="7">
        <v>1</v>
      </c>
      <c r="S219" s="7">
        <v>1</v>
      </c>
      <c r="T219" s="7">
        <v>1</v>
      </c>
      <c r="U219" s="7">
        <v>0</v>
      </c>
      <c r="V219" s="7">
        <v>1</v>
      </c>
      <c r="W219" s="7">
        <v>1</v>
      </c>
      <c r="X219" s="7">
        <v>1</v>
      </c>
      <c r="Y219" s="7">
        <f t="shared" si="38"/>
        <v>7</v>
      </c>
      <c r="Z219" s="8">
        <f t="shared" si="39"/>
        <v>0.875</v>
      </c>
      <c r="AA219" s="14" t="str">
        <f t="shared" si="40"/>
        <v>ADEQUADA</v>
      </c>
      <c r="AB219" s="15">
        <f t="shared" si="41"/>
        <v>15</v>
      </c>
      <c r="AC219" s="8">
        <f t="shared" si="42"/>
        <v>0.9375</v>
      </c>
      <c r="AD219" s="4"/>
      <c r="AE219" s="4"/>
      <c r="AF219" s="4"/>
    </row>
    <row r="220" spans="1:32" ht="15.75" customHeight="1" x14ac:dyDescent="0.25">
      <c r="A220" s="5" t="s">
        <v>224</v>
      </c>
      <c r="B220" s="7" t="s">
        <v>118</v>
      </c>
      <c r="C220" s="7" t="s">
        <v>1103</v>
      </c>
      <c r="D220" s="7" t="s">
        <v>1097</v>
      </c>
      <c r="E220" s="5" t="s">
        <v>226</v>
      </c>
      <c r="F220" s="7">
        <v>1</v>
      </c>
      <c r="G220" s="7">
        <v>1</v>
      </c>
      <c r="H220" s="7">
        <v>1</v>
      </c>
      <c r="I220" s="7">
        <v>1</v>
      </c>
      <c r="J220" s="7">
        <v>1</v>
      </c>
      <c r="K220" s="7">
        <v>1</v>
      </c>
      <c r="L220" s="7">
        <v>1</v>
      </c>
      <c r="M220" s="7">
        <v>1</v>
      </c>
      <c r="N220" s="7">
        <f t="shared" si="43"/>
        <v>8</v>
      </c>
      <c r="O220" s="8">
        <f t="shared" si="44"/>
        <v>1</v>
      </c>
      <c r="P220" s="8" t="str">
        <f t="shared" si="37"/>
        <v>ADEQUADA</v>
      </c>
      <c r="Q220" s="7">
        <v>1</v>
      </c>
      <c r="R220" s="7">
        <v>1</v>
      </c>
      <c r="S220" s="7">
        <v>1</v>
      </c>
      <c r="T220" s="7">
        <v>1</v>
      </c>
      <c r="U220" s="7">
        <v>1</v>
      </c>
      <c r="V220" s="7">
        <v>1</v>
      </c>
      <c r="W220" s="7">
        <v>0</v>
      </c>
      <c r="X220" s="7">
        <v>0</v>
      </c>
      <c r="Y220" s="7">
        <f t="shared" si="38"/>
        <v>6</v>
      </c>
      <c r="Z220" s="8">
        <f t="shared" si="39"/>
        <v>0.75</v>
      </c>
      <c r="AA220" s="14" t="str">
        <f t="shared" si="40"/>
        <v>ADEQUADA</v>
      </c>
      <c r="AB220" s="15">
        <f t="shared" si="41"/>
        <v>14</v>
      </c>
      <c r="AC220" s="8">
        <f t="shared" si="42"/>
        <v>0.875</v>
      </c>
      <c r="AD220" s="4"/>
      <c r="AE220" s="4"/>
      <c r="AF220" s="4"/>
    </row>
    <row r="221" spans="1:32" ht="15.75" customHeight="1" x14ac:dyDescent="0.25">
      <c r="A221" s="5" t="s">
        <v>224</v>
      </c>
      <c r="B221" s="7" t="s">
        <v>118</v>
      </c>
      <c r="C221" s="7" t="s">
        <v>1104</v>
      </c>
      <c r="D221" s="7" t="s">
        <v>1097</v>
      </c>
      <c r="E221" s="5" t="s">
        <v>227</v>
      </c>
      <c r="F221" s="7">
        <v>0</v>
      </c>
      <c r="G221" s="7">
        <v>0</v>
      </c>
      <c r="H221" s="7">
        <v>1</v>
      </c>
      <c r="I221" s="7">
        <v>0</v>
      </c>
      <c r="J221" s="7">
        <v>1</v>
      </c>
      <c r="K221" s="7">
        <v>1</v>
      </c>
      <c r="L221" s="7">
        <v>1</v>
      </c>
      <c r="M221" s="7">
        <v>1</v>
      </c>
      <c r="N221" s="7">
        <f t="shared" si="43"/>
        <v>5</v>
      </c>
      <c r="O221" s="8">
        <f t="shared" si="44"/>
        <v>0.625</v>
      </c>
      <c r="P221" s="8" t="str">
        <f t="shared" si="37"/>
        <v>INTERMEDIÁRIO</v>
      </c>
      <c r="Q221" s="7">
        <v>1</v>
      </c>
      <c r="R221" s="7">
        <v>1</v>
      </c>
      <c r="S221" s="7">
        <v>1</v>
      </c>
      <c r="T221" s="7">
        <v>1</v>
      </c>
      <c r="U221" s="7">
        <v>1</v>
      </c>
      <c r="V221" s="7">
        <v>1</v>
      </c>
      <c r="W221" s="7">
        <v>0</v>
      </c>
      <c r="X221" s="7">
        <v>1</v>
      </c>
      <c r="Y221" s="7">
        <f t="shared" si="38"/>
        <v>7</v>
      </c>
      <c r="Z221" s="8">
        <f t="shared" si="39"/>
        <v>0.875</v>
      </c>
      <c r="AA221" s="14" t="str">
        <f t="shared" si="40"/>
        <v>ADEQUADA</v>
      </c>
      <c r="AB221" s="15">
        <f t="shared" si="41"/>
        <v>12</v>
      </c>
      <c r="AC221" s="8">
        <f t="shared" si="42"/>
        <v>0.75</v>
      </c>
      <c r="AD221" s="4"/>
      <c r="AE221" s="4"/>
      <c r="AF221" s="4"/>
    </row>
    <row r="222" spans="1:32" ht="15.75" customHeight="1" x14ac:dyDescent="0.25">
      <c r="A222" s="5" t="s">
        <v>224</v>
      </c>
      <c r="B222" s="7" t="s">
        <v>118</v>
      </c>
      <c r="C222" s="7" t="s">
        <v>1103</v>
      </c>
      <c r="D222" s="7" t="s">
        <v>1097</v>
      </c>
      <c r="E222" s="5" t="s">
        <v>228</v>
      </c>
      <c r="F222" s="7">
        <v>1</v>
      </c>
      <c r="G222" s="7">
        <v>1</v>
      </c>
      <c r="H222" s="7">
        <v>1</v>
      </c>
      <c r="I222" s="7">
        <v>1</v>
      </c>
      <c r="J222" s="7">
        <v>1</v>
      </c>
      <c r="K222" s="7">
        <v>1</v>
      </c>
      <c r="L222" s="7">
        <v>1</v>
      </c>
      <c r="M222" s="7">
        <v>1</v>
      </c>
      <c r="N222" s="7">
        <f t="shared" si="43"/>
        <v>8</v>
      </c>
      <c r="O222" s="8">
        <f t="shared" si="44"/>
        <v>1</v>
      </c>
      <c r="P222" s="8" t="str">
        <f t="shared" si="37"/>
        <v>ADEQUADA</v>
      </c>
      <c r="Q222" s="7">
        <v>1</v>
      </c>
      <c r="R222" s="7">
        <v>1</v>
      </c>
      <c r="S222" s="7">
        <v>1</v>
      </c>
      <c r="T222" s="7">
        <v>1</v>
      </c>
      <c r="U222" s="7">
        <v>1</v>
      </c>
      <c r="V222" s="7">
        <v>1</v>
      </c>
      <c r="W222" s="7">
        <v>1</v>
      </c>
      <c r="X222" s="7">
        <v>1</v>
      </c>
      <c r="Y222" s="7">
        <f t="shared" si="38"/>
        <v>8</v>
      </c>
      <c r="Z222" s="8">
        <f t="shared" si="39"/>
        <v>1</v>
      </c>
      <c r="AA222" s="14" t="str">
        <f t="shared" si="40"/>
        <v>ADEQUADA</v>
      </c>
      <c r="AB222" s="15">
        <f t="shared" si="41"/>
        <v>16</v>
      </c>
      <c r="AC222" s="8">
        <f t="shared" si="42"/>
        <v>1</v>
      </c>
      <c r="AD222" s="4"/>
      <c r="AE222" s="4"/>
      <c r="AF222" s="4"/>
    </row>
    <row r="223" spans="1:32" ht="15.75" customHeight="1" x14ac:dyDescent="0.25">
      <c r="A223" s="5" t="s">
        <v>224</v>
      </c>
      <c r="B223" s="7" t="s">
        <v>118</v>
      </c>
      <c r="C223" s="7" t="s">
        <v>1099</v>
      </c>
      <c r="D223" s="7" t="s">
        <v>1100</v>
      </c>
      <c r="E223" s="5" t="s">
        <v>1132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f t="shared" si="43"/>
        <v>0</v>
      </c>
      <c r="O223" s="8">
        <f t="shared" si="44"/>
        <v>0</v>
      </c>
      <c r="P223" s="8" t="str">
        <f t="shared" si="37"/>
        <v>DEFASAGEM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f t="shared" si="38"/>
        <v>0</v>
      </c>
      <c r="Z223" s="8">
        <f t="shared" si="39"/>
        <v>0</v>
      </c>
      <c r="AA223" s="14" t="str">
        <f t="shared" si="40"/>
        <v>DEFASAGEM</v>
      </c>
      <c r="AB223" s="15">
        <f t="shared" si="41"/>
        <v>0</v>
      </c>
      <c r="AC223" s="8">
        <f t="shared" si="42"/>
        <v>0</v>
      </c>
      <c r="AD223" s="4"/>
      <c r="AE223" s="4"/>
      <c r="AF223" s="4"/>
    </row>
    <row r="224" spans="1:32" ht="15.75" customHeight="1" x14ac:dyDescent="0.25">
      <c r="A224" s="5" t="s">
        <v>224</v>
      </c>
      <c r="B224" s="7" t="s">
        <v>118</v>
      </c>
      <c r="C224" s="7" t="s">
        <v>1103</v>
      </c>
      <c r="D224" s="7" t="s">
        <v>1097</v>
      </c>
      <c r="E224" s="5" t="s">
        <v>1133</v>
      </c>
      <c r="F224" s="7">
        <v>1</v>
      </c>
      <c r="G224" s="7">
        <v>0</v>
      </c>
      <c r="H224" s="7">
        <v>1</v>
      </c>
      <c r="I224" s="7">
        <v>1</v>
      </c>
      <c r="J224" s="7">
        <v>1</v>
      </c>
      <c r="K224" s="7">
        <v>0</v>
      </c>
      <c r="L224" s="7">
        <v>1</v>
      </c>
      <c r="M224" s="7">
        <v>1</v>
      </c>
      <c r="N224" s="7">
        <f t="shared" si="43"/>
        <v>6</v>
      </c>
      <c r="O224" s="8">
        <f t="shared" si="44"/>
        <v>0.75</v>
      </c>
      <c r="P224" s="8" t="str">
        <f t="shared" si="37"/>
        <v>ADEQUADA</v>
      </c>
      <c r="Q224" s="7">
        <v>0</v>
      </c>
      <c r="R224" s="7">
        <v>0</v>
      </c>
      <c r="S224" s="7">
        <v>0</v>
      </c>
      <c r="T224" s="7">
        <v>1</v>
      </c>
      <c r="U224" s="7">
        <v>0</v>
      </c>
      <c r="V224" s="7">
        <v>0</v>
      </c>
      <c r="W224" s="7">
        <v>1</v>
      </c>
      <c r="X224" s="7">
        <v>1</v>
      </c>
      <c r="Y224" s="7">
        <f t="shared" si="38"/>
        <v>3</v>
      </c>
      <c r="Z224" s="8">
        <f t="shared" si="39"/>
        <v>0.375</v>
      </c>
      <c r="AA224" s="14" t="str">
        <f t="shared" si="40"/>
        <v>DEFASAGEM</v>
      </c>
      <c r="AB224" s="15">
        <f t="shared" si="41"/>
        <v>9</v>
      </c>
      <c r="AC224" s="8">
        <f t="shared" si="42"/>
        <v>0.5625</v>
      </c>
      <c r="AD224" s="4"/>
      <c r="AE224" s="4"/>
      <c r="AF224" s="4"/>
    </row>
    <row r="225" spans="1:32" ht="15.75" customHeight="1" x14ac:dyDescent="0.25">
      <c r="A225" s="5" t="s">
        <v>224</v>
      </c>
      <c r="B225" s="7" t="s">
        <v>118</v>
      </c>
      <c r="C225" s="7" t="s">
        <v>1103</v>
      </c>
      <c r="D225" s="7" t="s">
        <v>1097</v>
      </c>
      <c r="E225" s="5" t="s">
        <v>229</v>
      </c>
      <c r="F225" s="7">
        <v>1</v>
      </c>
      <c r="G225" s="7">
        <v>0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  <c r="M225" s="7">
        <v>1</v>
      </c>
      <c r="N225" s="7">
        <f t="shared" si="43"/>
        <v>7</v>
      </c>
      <c r="O225" s="8">
        <f t="shared" si="44"/>
        <v>0.875</v>
      </c>
      <c r="P225" s="8" t="str">
        <f t="shared" si="37"/>
        <v>ADEQUADA</v>
      </c>
      <c r="Q225" s="7">
        <v>1</v>
      </c>
      <c r="R225" s="7">
        <v>1</v>
      </c>
      <c r="S225" s="7">
        <v>0</v>
      </c>
      <c r="T225" s="7">
        <v>1</v>
      </c>
      <c r="U225" s="7">
        <v>1</v>
      </c>
      <c r="V225" s="7">
        <v>1</v>
      </c>
      <c r="W225" s="7">
        <v>0</v>
      </c>
      <c r="X225" s="7">
        <v>1</v>
      </c>
      <c r="Y225" s="7">
        <f t="shared" si="38"/>
        <v>6</v>
      </c>
      <c r="Z225" s="8">
        <f t="shared" si="39"/>
        <v>0.75</v>
      </c>
      <c r="AA225" s="14" t="str">
        <f t="shared" si="40"/>
        <v>ADEQUADA</v>
      </c>
      <c r="AB225" s="15">
        <f t="shared" si="41"/>
        <v>13</v>
      </c>
      <c r="AC225" s="8">
        <f t="shared" si="42"/>
        <v>0.8125</v>
      </c>
      <c r="AD225" s="4"/>
      <c r="AE225" s="4"/>
      <c r="AF225" s="4"/>
    </row>
    <row r="226" spans="1:32" ht="15.75" customHeight="1" x14ac:dyDescent="0.25">
      <c r="A226" s="5" t="s">
        <v>224</v>
      </c>
      <c r="B226" s="7" t="s">
        <v>118</v>
      </c>
      <c r="C226" s="7" t="s">
        <v>1096</v>
      </c>
      <c r="D226" s="7" t="s">
        <v>1097</v>
      </c>
      <c r="E226" s="5" t="s">
        <v>230</v>
      </c>
      <c r="F226" s="7">
        <v>1</v>
      </c>
      <c r="G226" s="7">
        <v>1</v>
      </c>
      <c r="H226" s="7">
        <v>1</v>
      </c>
      <c r="I226" s="7">
        <v>1</v>
      </c>
      <c r="J226" s="7">
        <v>1</v>
      </c>
      <c r="K226" s="7">
        <v>1</v>
      </c>
      <c r="L226" s="7">
        <v>1</v>
      </c>
      <c r="M226" s="7">
        <v>1</v>
      </c>
      <c r="N226" s="7">
        <f t="shared" si="43"/>
        <v>8</v>
      </c>
      <c r="O226" s="8">
        <f t="shared" si="44"/>
        <v>1</v>
      </c>
      <c r="P226" s="8" t="str">
        <f t="shared" si="37"/>
        <v>ADEQUADA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1</v>
      </c>
      <c r="Y226" s="7">
        <f t="shared" si="38"/>
        <v>8</v>
      </c>
      <c r="Z226" s="8">
        <f t="shared" si="39"/>
        <v>1</v>
      </c>
      <c r="AA226" s="14" t="str">
        <f t="shared" si="40"/>
        <v>ADEQUADA</v>
      </c>
      <c r="AB226" s="15">
        <f t="shared" si="41"/>
        <v>16</v>
      </c>
      <c r="AC226" s="8">
        <f t="shared" si="42"/>
        <v>1</v>
      </c>
      <c r="AD226" s="4"/>
      <c r="AE226" s="4"/>
      <c r="AF226" s="4"/>
    </row>
    <row r="227" spans="1:32" ht="15.75" customHeight="1" x14ac:dyDescent="0.25">
      <c r="A227" s="5" t="s">
        <v>224</v>
      </c>
      <c r="B227" s="7" t="s">
        <v>118</v>
      </c>
      <c r="C227" s="7" t="s">
        <v>1096</v>
      </c>
      <c r="D227" s="7" t="s">
        <v>1097</v>
      </c>
      <c r="E227" s="5" t="s">
        <v>231</v>
      </c>
      <c r="F227" s="7">
        <v>1</v>
      </c>
      <c r="G227" s="7">
        <v>1</v>
      </c>
      <c r="H227" s="7">
        <v>1</v>
      </c>
      <c r="I227" s="7">
        <v>1</v>
      </c>
      <c r="J227" s="7">
        <v>1</v>
      </c>
      <c r="K227" s="7">
        <v>1</v>
      </c>
      <c r="L227" s="7">
        <v>1</v>
      </c>
      <c r="M227" s="7">
        <v>1</v>
      </c>
      <c r="N227" s="7">
        <f t="shared" si="43"/>
        <v>8</v>
      </c>
      <c r="O227" s="8">
        <f t="shared" si="44"/>
        <v>1</v>
      </c>
      <c r="P227" s="8" t="str">
        <f t="shared" si="37"/>
        <v>ADEQUADA</v>
      </c>
      <c r="Q227" s="7">
        <v>1</v>
      </c>
      <c r="R227" s="7">
        <v>1</v>
      </c>
      <c r="S227" s="7">
        <v>1</v>
      </c>
      <c r="T227" s="7">
        <v>1</v>
      </c>
      <c r="U227" s="7">
        <v>1</v>
      </c>
      <c r="V227" s="7">
        <v>1</v>
      </c>
      <c r="W227" s="7">
        <v>0</v>
      </c>
      <c r="X227" s="7">
        <v>1</v>
      </c>
      <c r="Y227" s="7">
        <f t="shared" si="38"/>
        <v>7</v>
      </c>
      <c r="Z227" s="8">
        <f t="shared" si="39"/>
        <v>0.875</v>
      </c>
      <c r="AA227" s="14" t="str">
        <f t="shared" si="40"/>
        <v>ADEQUADA</v>
      </c>
      <c r="AB227" s="15">
        <f t="shared" si="41"/>
        <v>15</v>
      </c>
      <c r="AC227" s="8">
        <f t="shared" si="42"/>
        <v>0.9375</v>
      </c>
      <c r="AD227" s="4"/>
      <c r="AE227" s="4"/>
      <c r="AF227" s="4"/>
    </row>
    <row r="228" spans="1:32" ht="15.75" customHeight="1" x14ac:dyDescent="0.25">
      <c r="A228" s="5" t="s">
        <v>224</v>
      </c>
      <c r="B228" s="7" t="s">
        <v>118</v>
      </c>
      <c r="C228" s="7" t="s">
        <v>1096</v>
      </c>
      <c r="D228" s="7" t="s">
        <v>1097</v>
      </c>
      <c r="E228" s="5" t="s">
        <v>232</v>
      </c>
      <c r="F228" s="7">
        <v>1</v>
      </c>
      <c r="G228" s="7">
        <v>0</v>
      </c>
      <c r="H228" s="7">
        <v>1</v>
      </c>
      <c r="I228" s="7">
        <v>0</v>
      </c>
      <c r="J228" s="7">
        <v>1</v>
      </c>
      <c r="K228" s="7">
        <v>1</v>
      </c>
      <c r="L228" s="7">
        <v>0</v>
      </c>
      <c r="M228" s="7">
        <v>1</v>
      </c>
      <c r="N228" s="7">
        <f t="shared" si="43"/>
        <v>5</v>
      </c>
      <c r="O228" s="8">
        <f t="shared" si="44"/>
        <v>0.625</v>
      </c>
      <c r="P228" s="8" t="str">
        <f t="shared" si="37"/>
        <v>INTERMEDIÁRIO</v>
      </c>
      <c r="Q228" s="7">
        <v>0</v>
      </c>
      <c r="R228" s="7">
        <v>1</v>
      </c>
      <c r="S228" s="7">
        <v>1</v>
      </c>
      <c r="T228" s="7">
        <v>1</v>
      </c>
      <c r="U228" s="7">
        <v>0</v>
      </c>
      <c r="V228" s="7">
        <v>1</v>
      </c>
      <c r="W228" s="7">
        <v>0</v>
      </c>
      <c r="X228" s="7">
        <v>1</v>
      </c>
      <c r="Y228" s="7">
        <f t="shared" si="38"/>
        <v>5</v>
      </c>
      <c r="Z228" s="8">
        <f t="shared" si="39"/>
        <v>0.625</v>
      </c>
      <c r="AA228" s="14" t="str">
        <f t="shared" si="40"/>
        <v>INTERMEDIÁRIO</v>
      </c>
      <c r="AB228" s="15">
        <f t="shared" si="41"/>
        <v>10</v>
      </c>
      <c r="AC228" s="8">
        <f t="shared" si="42"/>
        <v>0.625</v>
      </c>
      <c r="AD228" s="4"/>
      <c r="AE228" s="4"/>
      <c r="AF228" s="4"/>
    </row>
    <row r="229" spans="1:32" ht="15.75" customHeight="1" x14ac:dyDescent="0.25">
      <c r="A229" s="9" t="s">
        <v>224</v>
      </c>
      <c r="B229" s="7" t="s">
        <v>118</v>
      </c>
      <c r="C229" s="7" t="s">
        <v>1096</v>
      </c>
      <c r="D229" s="7" t="s">
        <v>1097</v>
      </c>
      <c r="E229" s="9" t="s">
        <v>233</v>
      </c>
      <c r="F229" s="10">
        <v>1</v>
      </c>
      <c r="G229" s="10">
        <v>0</v>
      </c>
      <c r="H229" s="10">
        <v>0</v>
      </c>
      <c r="I229" s="10">
        <v>0</v>
      </c>
      <c r="J229" s="10">
        <v>1</v>
      </c>
      <c r="K229" s="10">
        <v>0</v>
      </c>
      <c r="L229" s="10">
        <v>0</v>
      </c>
      <c r="M229" s="10">
        <v>1</v>
      </c>
      <c r="N229" s="7">
        <f t="shared" si="43"/>
        <v>3</v>
      </c>
      <c r="O229" s="8">
        <f t="shared" si="44"/>
        <v>0.375</v>
      </c>
      <c r="P229" s="8" t="str">
        <f t="shared" si="37"/>
        <v>DEFASAGEM</v>
      </c>
      <c r="Q229" s="10">
        <v>1</v>
      </c>
      <c r="R229" s="10">
        <v>0</v>
      </c>
      <c r="S229" s="10">
        <v>0</v>
      </c>
      <c r="T229" s="10">
        <v>1</v>
      </c>
      <c r="U229" s="10">
        <v>0</v>
      </c>
      <c r="V229" s="10">
        <v>0</v>
      </c>
      <c r="W229" s="10">
        <v>0</v>
      </c>
      <c r="X229" s="10">
        <v>1</v>
      </c>
      <c r="Y229" s="7">
        <f t="shared" si="38"/>
        <v>3</v>
      </c>
      <c r="Z229" s="8">
        <f t="shared" si="39"/>
        <v>0.375</v>
      </c>
      <c r="AA229" s="14" t="str">
        <f t="shared" si="40"/>
        <v>DEFASAGEM</v>
      </c>
      <c r="AB229" s="15">
        <f t="shared" si="41"/>
        <v>6</v>
      </c>
      <c r="AC229" s="8">
        <f t="shared" si="42"/>
        <v>0.375</v>
      </c>
      <c r="AD229" s="4"/>
      <c r="AE229" s="4"/>
      <c r="AF229" s="4"/>
    </row>
    <row r="230" spans="1:32" ht="15.75" customHeight="1" x14ac:dyDescent="0.25">
      <c r="A230" s="5" t="s">
        <v>224</v>
      </c>
      <c r="B230" s="7" t="s">
        <v>118</v>
      </c>
      <c r="C230" s="7" t="s">
        <v>1103</v>
      </c>
      <c r="D230" s="7" t="s">
        <v>1097</v>
      </c>
      <c r="E230" s="5" t="s">
        <v>234</v>
      </c>
      <c r="F230" s="7">
        <v>1</v>
      </c>
      <c r="G230" s="7">
        <v>0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  <c r="M230" s="7">
        <v>0</v>
      </c>
      <c r="N230" s="7">
        <f t="shared" si="43"/>
        <v>6</v>
      </c>
      <c r="O230" s="8">
        <f t="shared" si="44"/>
        <v>0.75</v>
      </c>
      <c r="P230" s="8" t="str">
        <f t="shared" si="37"/>
        <v>ADEQUADA</v>
      </c>
      <c r="Q230" s="7">
        <v>1</v>
      </c>
      <c r="R230" s="7">
        <v>1</v>
      </c>
      <c r="S230" s="7">
        <v>1</v>
      </c>
      <c r="T230" s="7">
        <v>1</v>
      </c>
      <c r="U230" s="7">
        <v>0</v>
      </c>
      <c r="V230" s="7">
        <v>1</v>
      </c>
      <c r="W230" s="7">
        <v>1</v>
      </c>
      <c r="X230" s="7">
        <v>1</v>
      </c>
      <c r="Y230" s="7">
        <f t="shared" si="38"/>
        <v>7</v>
      </c>
      <c r="Z230" s="8">
        <f t="shared" si="39"/>
        <v>0.875</v>
      </c>
      <c r="AA230" s="14" t="str">
        <f t="shared" si="40"/>
        <v>ADEQUADA</v>
      </c>
      <c r="AB230" s="15">
        <f t="shared" si="41"/>
        <v>13</v>
      </c>
      <c r="AC230" s="8">
        <f t="shared" si="42"/>
        <v>0.8125</v>
      </c>
      <c r="AD230" s="4"/>
      <c r="AE230" s="4"/>
      <c r="AF230" s="4"/>
    </row>
    <row r="231" spans="1:32" ht="15.75" customHeight="1" x14ac:dyDescent="0.25">
      <c r="A231" s="5" t="s">
        <v>224</v>
      </c>
      <c r="B231" s="7" t="s">
        <v>84</v>
      </c>
      <c r="C231" s="7" t="s">
        <v>1103</v>
      </c>
      <c r="D231" s="7" t="s">
        <v>1097</v>
      </c>
      <c r="E231" s="5" t="s">
        <v>235</v>
      </c>
      <c r="F231" s="7">
        <v>1</v>
      </c>
      <c r="G231" s="7">
        <v>0</v>
      </c>
      <c r="H231" s="7">
        <v>1</v>
      </c>
      <c r="I231" s="7">
        <v>1</v>
      </c>
      <c r="J231" s="7">
        <v>1</v>
      </c>
      <c r="K231" s="7">
        <v>1</v>
      </c>
      <c r="L231" s="7">
        <v>1</v>
      </c>
      <c r="M231" s="7">
        <v>1</v>
      </c>
      <c r="N231" s="7">
        <f t="shared" si="43"/>
        <v>7</v>
      </c>
      <c r="O231" s="8">
        <f t="shared" si="44"/>
        <v>0.875</v>
      </c>
      <c r="P231" s="8" t="str">
        <f t="shared" si="37"/>
        <v>ADEQUADA</v>
      </c>
      <c r="Q231" s="7">
        <v>1</v>
      </c>
      <c r="R231" s="7">
        <v>1</v>
      </c>
      <c r="S231" s="7">
        <v>1</v>
      </c>
      <c r="T231" s="7">
        <v>1</v>
      </c>
      <c r="U231" s="7">
        <v>0</v>
      </c>
      <c r="V231" s="7">
        <v>0</v>
      </c>
      <c r="W231" s="7">
        <v>0</v>
      </c>
      <c r="X231" s="7">
        <v>0</v>
      </c>
      <c r="Y231" s="7">
        <f t="shared" si="38"/>
        <v>4</v>
      </c>
      <c r="Z231" s="8">
        <f t="shared" si="39"/>
        <v>0.5</v>
      </c>
      <c r="AA231" s="14" t="str">
        <f t="shared" si="40"/>
        <v>INTERMEDIÁRIO</v>
      </c>
      <c r="AB231" s="15">
        <f t="shared" si="41"/>
        <v>11</v>
      </c>
      <c r="AC231" s="8">
        <f t="shared" si="42"/>
        <v>0.6875</v>
      </c>
      <c r="AD231" s="4"/>
      <c r="AE231" s="4"/>
      <c r="AF231" s="4"/>
    </row>
    <row r="232" spans="1:32" ht="15.75" customHeight="1" x14ac:dyDescent="0.25">
      <c r="A232" s="5" t="s">
        <v>224</v>
      </c>
      <c r="B232" s="7" t="s">
        <v>84</v>
      </c>
      <c r="C232" s="7" t="s">
        <v>1096</v>
      </c>
      <c r="D232" s="7" t="s">
        <v>1097</v>
      </c>
      <c r="E232" s="5" t="s">
        <v>236</v>
      </c>
      <c r="F232" s="7">
        <v>1</v>
      </c>
      <c r="G232" s="7">
        <v>0</v>
      </c>
      <c r="H232" s="7">
        <v>1</v>
      </c>
      <c r="I232" s="7">
        <v>0</v>
      </c>
      <c r="J232" s="7">
        <v>1</v>
      </c>
      <c r="K232" s="7">
        <v>0</v>
      </c>
      <c r="L232" s="7">
        <v>0</v>
      </c>
      <c r="M232" s="7">
        <v>1</v>
      </c>
      <c r="N232" s="7">
        <f t="shared" si="43"/>
        <v>4</v>
      </c>
      <c r="O232" s="8">
        <f t="shared" si="44"/>
        <v>0.5</v>
      </c>
      <c r="P232" s="8" t="str">
        <f t="shared" si="37"/>
        <v>INTERMEDIÁRIO</v>
      </c>
      <c r="Q232" s="7">
        <v>0</v>
      </c>
      <c r="R232" s="7">
        <v>0</v>
      </c>
      <c r="S232" s="7">
        <v>0</v>
      </c>
      <c r="T232" s="7">
        <v>1</v>
      </c>
      <c r="U232" s="7">
        <v>0</v>
      </c>
      <c r="V232" s="7">
        <v>1</v>
      </c>
      <c r="W232" s="7">
        <v>0</v>
      </c>
      <c r="X232" s="7">
        <v>0</v>
      </c>
      <c r="Y232" s="7">
        <f t="shared" si="38"/>
        <v>2</v>
      </c>
      <c r="Z232" s="8">
        <f t="shared" si="39"/>
        <v>0.25</v>
      </c>
      <c r="AA232" s="14" t="str">
        <f t="shared" si="40"/>
        <v>DEFASAGEM</v>
      </c>
      <c r="AB232" s="15">
        <f t="shared" si="41"/>
        <v>6</v>
      </c>
      <c r="AC232" s="8">
        <f t="shared" si="42"/>
        <v>0.375</v>
      </c>
      <c r="AD232" s="4"/>
      <c r="AE232" s="4"/>
      <c r="AF232" s="4"/>
    </row>
    <row r="233" spans="1:32" ht="15.75" customHeight="1" x14ac:dyDescent="0.25">
      <c r="A233" s="5" t="s">
        <v>224</v>
      </c>
      <c r="B233" s="7" t="s">
        <v>84</v>
      </c>
      <c r="C233" s="7" t="s">
        <v>1103</v>
      </c>
      <c r="D233" s="7" t="s">
        <v>1097</v>
      </c>
      <c r="E233" s="5" t="s">
        <v>237</v>
      </c>
      <c r="F233" s="7">
        <v>1</v>
      </c>
      <c r="G233" s="7">
        <v>1</v>
      </c>
      <c r="H233" s="7">
        <v>1</v>
      </c>
      <c r="I233" s="7">
        <v>1</v>
      </c>
      <c r="J233" s="7">
        <v>1</v>
      </c>
      <c r="K233" s="7">
        <v>0</v>
      </c>
      <c r="L233" s="7">
        <v>1</v>
      </c>
      <c r="M233" s="7">
        <v>1</v>
      </c>
      <c r="N233" s="7">
        <f t="shared" si="43"/>
        <v>7</v>
      </c>
      <c r="O233" s="8">
        <f t="shared" si="44"/>
        <v>0.875</v>
      </c>
      <c r="P233" s="8" t="str">
        <f t="shared" si="37"/>
        <v>ADEQUADA</v>
      </c>
      <c r="Q233" s="7">
        <v>1</v>
      </c>
      <c r="R233" s="7">
        <v>1</v>
      </c>
      <c r="S233" s="7">
        <v>1</v>
      </c>
      <c r="T233" s="7">
        <v>1</v>
      </c>
      <c r="U233" s="7">
        <v>1</v>
      </c>
      <c r="V233" s="7">
        <v>1</v>
      </c>
      <c r="W233" s="7">
        <v>0</v>
      </c>
      <c r="X233" s="7">
        <v>1</v>
      </c>
      <c r="Y233" s="7">
        <f t="shared" si="38"/>
        <v>7</v>
      </c>
      <c r="Z233" s="8">
        <f t="shared" si="39"/>
        <v>0.875</v>
      </c>
      <c r="AA233" s="14" t="str">
        <f t="shared" si="40"/>
        <v>ADEQUADA</v>
      </c>
      <c r="AB233" s="15">
        <f t="shared" si="41"/>
        <v>14</v>
      </c>
      <c r="AC233" s="8">
        <f t="shared" si="42"/>
        <v>0.875</v>
      </c>
      <c r="AD233" s="4"/>
      <c r="AE233" s="4"/>
      <c r="AF233" s="4"/>
    </row>
    <row r="234" spans="1:32" ht="15.75" customHeight="1" x14ac:dyDescent="0.25">
      <c r="A234" s="5" t="s">
        <v>224</v>
      </c>
      <c r="B234" s="7" t="s">
        <v>84</v>
      </c>
      <c r="C234" s="7" t="s">
        <v>1103</v>
      </c>
      <c r="D234" s="7" t="s">
        <v>1097</v>
      </c>
      <c r="E234" s="5" t="s">
        <v>238</v>
      </c>
      <c r="F234" s="7">
        <v>0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  <c r="M234" s="7">
        <v>1</v>
      </c>
      <c r="N234" s="7">
        <f t="shared" si="43"/>
        <v>7</v>
      </c>
      <c r="O234" s="8">
        <f t="shared" si="44"/>
        <v>0.875</v>
      </c>
      <c r="P234" s="8" t="str">
        <f t="shared" si="37"/>
        <v>ADEQUADA</v>
      </c>
      <c r="Q234" s="7">
        <v>1</v>
      </c>
      <c r="R234" s="7">
        <v>1</v>
      </c>
      <c r="S234" s="7">
        <v>1</v>
      </c>
      <c r="T234" s="7">
        <v>1</v>
      </c>
      <c r="U234" s="7">
        <v>0</v>
      </c>
      <c r="V234" s="7">
        <v>0</v>
      </c>
      <c r="W234" s="7">
        <v>0</v>
      </c>
      <c r="X234" s="7">
        <v>1</v>
      </c>
      <c r="Y234" s="7">
        <f t="shared" si="38"/>
        <v>5</v>
      </c>
      <c r="Z234" s="8">
        <f t="shared" si="39"/>
        <v>0.625</v>
      </c>
      <c r="AA234" s="14" t="str">
        <f t="shared" si="40"/>
        <v>INTERMEDIÁRIO</v>
      </c>
      <c r="AB234" s="15">
        <f t="shared" si="41"/>
        <v>12</v>
      </c>
      <c r="AC234" s="8">
        <f t="shared" si="42"/>
        <v>0.75</v>
      </c>
      <c r="AD234" s="4"/>
      <c r="AE234" s="4"/>
      <c r="AF234" s="4"/>
    </row>
    <row r="235" spans="1:32" ht="15.75" customHeight="1" x14ac:dyDescent="0.25">
      <c r="A235" s="5" t="s">
        <v>224</v>
      </c>
      <c r="B235" s="7" t="s">
        <v>84</v>
      </c>
      <c r="C235" s="7" t="s">
        <v>1134</v>
      </c>
      <c r="D235" s="7" t="s">
        <v>1097</v>
      </c>
      <c r="E235" s="5" t="s">
        <v>1135</v>
      </c>
      <c r="F235" s="7">
        <v>0</v>
      </c>
      <c r="G235" s="7">
        <v>1</v>
      </c>
      <c r="H235" s="7">
        <v>1</v>
      </c>
      <c r="I235" s="7">
        <v>0</v>
      </c>
      <c r="J235" s="7">
        <v>0</v>
      </c>
      <c r="K235" s="7">
        <v>1</v>
      </c>
      <c r="L235" s="7">
        <v>0</v>
      </c>
      <c r="M235" s="7">
        <v>0</v>
      </c>
      <c r="N235" s="7">
        <f t="shared" si="43"/>
        <v>3</v>
      </c>
      <c r="O235" s="8">
        <f t="shared" si="44"/>
        <v>0.375</v>
      </c>
      <c r="P235" s="8" t="str">
        <f t="shared" si="37"/>
        <v>DEFASAGEM</v>
      </c>
      <c r="Q235" s="7">
        <v>0</v>
      </c>
      <c r="R235" s="7">
        <v>1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f t="shared" si="38"/>
        <v>1</v>
      </c>
      <c r="Z235" s="8">
        <f t="shared" si="39"/>
        <v>0.125</v>
      </c>
      <c r="AA235" s="14" t="str">
        <f t="shared" si="40"/>
        <v>DEFASAGEM</v>
      </c>
      <c r="AB235" s="15">
        <f t="shared" si="41"/>
        <v>4</v>
      </c>
      <c r="AC235" s="8">
        <f t="shared" si="42"/>
        <v>0.25</v>
      </c>
      <c r="AD235" s="4"/>
      <c r="AE235" s="4"/>
      <c r="AF235" s="4"/>
    </row>
    <row r="236" spans="1:32" ht="15.75" customHeight="1" x14ac:dyDescent="0.25">
      <c r="A236" s="5" t="s">
        <v>224</v>
      </c>
      <c r="B236" s="7" t="s">
        <v>84</v>
      </c>
      <c r="C236" s="7" t="s">
        <v>1103</v>
      </c>
      <c r="D236" s="7" t="s">
        <v>1097</v>
      </c>
      <c r="E236" s="5" t="s">
        <v>239</v>
      </c>
      <c r="F236" s="7">
        <v>1</v>
      </c>
      <c r="G236" s="7">
        <v>0</v>
      </c>
      <c r="H236" s="7">
        <v>1</v>
      </c>
      <c r="I236" s="7">
        <v>1</v>
      </c>
      <c r="J236" s="7">
        <v>1</v>
      </c>
      <c r="K236" s="7">
        <v>0</v>
      </c>
      <c r="L236" s="7">
        <v>1</v>
      </c>
      <c r="M236" s="7">
        <v>1</v>
      </c>
      <c r="N236" s="7">
        <f t="shared" si="43"/>
        <v>6</v>
      </c>
      <c r="O236" s="8">
        <f t="shared" si="44"/>
        <v>0.75</v>
      </c>
      <c r="P236" s="8" t="str">
        <f t="shared" si="37"/>
        <v>ADEQUADA</v>
      </c>
      <c r="Q236" s="7">
        <v>1</v>
      </c>
      <c r="R236" s="7">
        <v>1</v>
      </c>
      <c r="S236" s="7">
        <v>0</v>
      </c>
      <c r="T236" s="7">
        <v>1</v>
      </c>
      <c r="U236" s="7">
        <v>1</v>
      </c>
      <c r="V236" s="7">
        <v>1</v>
      </c>
      <c r="W236" s="7">
        <v>0</v>
      </c>
      <c r="X236" s="7">
        <v>1</v>
      </c>
      <c r="Y236" s="7">
        <f t="shared" si="38"/>
        <v>6</v>
      </c>
      <c r="Z236" s="8">
        <f t="shared" si="39"/>
        <v>0.75</v>
      </c>
      <c r="AA236" s="14" t="str">
        <f t="shared" si="40"/>
        <v>ADEQUADA</v>
      </c>
      <c r="AB236" s="15">
        <f t="shared" si="41"/>
        <v>12</v>
      </c>
      <c r="AC236" s="8">
        <f t="shared" si="42"/>
        <v>0.75</v>
      </c>
      <c r="AD236" s="4"/>
      <c r="AE236" s="4"/>
      <c r="AF236" s="4"/>
    </row>
    <row r="237" spans="1:32" ht="15.75" customHeight="1" x14ac:dyDescent="0.25">
      <c r="A237" s="5" t="s">
        <v>224</v>
      </c>
      <c r="B237" s="7" t="s">
        <v>84</v>
      </c>
      <c r="C237" s="7" t="s">
        <v>1103</v>
      </c>
      <c r="D237" s="7" t="s">
        <v>1097</v>
      </c>
      <c r="E237" s="5" t="s">
        <v>240</v>
      </c>
      <c r="F237" s="7">
        <v>1</v>
      </c>
      <c r="G237" s="7">
        <v>1</v>
      </c>
      <c r="H237" s="7">
        <v>1</v>
      </c>
      <c r="I237" s="7">
        <v>0</v>
      </c>
      <c r="J237" s="7">
        <v>1</v>
      </c>
      <c r="K237" s="7">
        <v>0</v>
      </c>
      <c r="L237" s="7">
        <v>1</v>
      </c>
      <c r="M237" s="7">
        <v>1</v>
      </c>
      <c r="N237" s="7">
        <f t="shared" si="43"/>
        <v>6</v>
      </c>
      <c r="O237" s="8">
        <f t="shared" si="44"/>
        <v>0.75</v>
      </c>
      <c r="P237" s="8" t="str">
        <f t="shared" si="37"/>
        <v>ADEQUADA</v>
      </c>
      <c r="Q237" s="7">
        <v>0</v>
      </c>
      <c r="R237" s="7">
        <v>1</v>
      </c>
      <c r="S237" s="7">
        <v>0</v>
      </c>
      <c r="T237" s="7">
        <v>1</v>
      </c>
      <c r="U237" s="7">
        <v>0</v>
      </c>
      <c r="V237" s="7">
        <v>1</v>
      </c>
      <c r="W237" s="7">
        <v>0</v>
      </c>
      <c r="X237" s="7">
        <v>1</v>
      </c>
      <c r="Y237" s="7">
        <f t="shared" si="38"/>
        <v>4</v>
      </c>
      <c r="Z237" s="8">
        <f t="shared" si="39"/>
        <v>0.5</v>
      </c>
      <c r="AA237" s="14" t="str">
        <f t="shared" si="40"/>
        <v>INTERMEDIÁRIO</v>
      </c>
      <c r="AB237" s="15">
        <f t="shared" si="41"/>
        <v>10</v>
      </c>
      <c r="AC237" s="8">
        <f t="shared" si="42"/>
        <v>0.625</v>
      </c>
      <c r="AD237" s="4"/>
      <c r="AE237" s="4"/>
      <c r="AF237" s="4"/>
    </row>
    <row r="238" spans="1:32" ht="15.75" customHeight="1" x14ac:dyDescent="0.25">
      <c r="A238" s="5" t="s">
        <v>224</v>
      </c>
      <c r="B238" s="7" t="s">
        <v>84</v>
      </c>
      <c r="C238" s="7" t="s">
        <v>1104</v>
      </c>
      <c r="D238" s="7" t="s">
        <v>1097</v>
      </c>
      <c r="E238" s="5" t="s">
        <v>1136</v>
      </c>
      <c r="F238" s="7">
        <v>1</v>
      </c>
      <c r="G238" s="7">
        <v>1</v>
      </c>
      <c r="H238" s="7">
        <v>0</v>
      </c>
      <c r="I238" s="7">
        <v>0</v>
      </c>
      <c r="J238" s="7">
        <v>1</v>
      </c>
      <c r="K238" s="7">
        <v>0</v>
      </c>
      <c r="L238" s="7">
        <v>0</v>
      </c>
      <c r="M238" s="7">
        <v>0</v>
      </c>
      <c r="N238" s="7">
        <f t="shared" si="43"/>
        <v>3</v>
      </c>
      <c r="O238" s="8">
        <f t="shared" si="44"/>
        <v>0.375</v>
      </c>
      <c r="P238" s="8" t="str">
        <f t="shared" si="37"/>
        <v>DEFASAGEM</v>
      </c>
      <c r="Q238" s="7">
        <v>0</v>
      </c>
      <c r="R238" s="7">
        <v>0</v>
      </c>
      <c r="S238" s="7">
        <v>0</v>
      </c>
      <c r="T238" s="7">
        <v>0</v>
      </c>
      <c r="U238" s="7">
        <v>1</v>
      </c>
      <c r="V238" s="7">
        <v>0</v>
      </c>
      <c r="W238" s="7">
        <v>0</v>
      </c>
      <c r="X238" s="7">
        <v>0</v>
      </c>
      <c r="Y238" s="7">
        <f t="shared" si="38"/>
        <v>1</v>
      </c>
      <c r="Z238" s="8">
        <f t="shared" si="39"/>
        <v>0.125</v>
      </c>
      <c r="AA238" s="14" t="str">
        <f t="shared" si="40"/>
        <v>DEFASAGEM</v>
      </c>
      <c r="AB238" s="15">
        <f t="shared" si="41"/>
        <v>4</v>
      </c>
      <c r="AC238" s="8">
        <f t="shared" si="42"/>
        <v>0.25</v>
      </c>
      <c r="AD238" s="4"/>
      <c r="AE238" s="4"/>
      <c r="AF238" s="4"/>
    </row>
    <row r="239" spans="1:32" ht="15.75" customHeight="1" x14ac:dyDescent="0.25">
      <c r="A239" s="5" t="s">
        <v>224</v>
      </c>
      <c r="B239" s="7" t="s">
        <v>84</v>
      </c>
      <c r="C239" s="7" t="s">
        <v>1103</v>
      </c>
      <c r="D239" s="7" t="s">
        <v>1097</v>
      </c>
      <c r="E239" s="5" t="s">
        <v>241</v>
      </c>
      <c r="F239" s="7">
        <v>1</v>
      </c>
      <c r="G239" s="7">
        <v>0</v>
      </c>
      <c r="H239" s="7">
        <v>1</v>
      </c>
      <c r="I239" s="7">
        <v>1</v>
      </c>
      <c r="J239" s="7">
        <v>1</v>
      </c>
      <c r="K239" s="7">
        <v>0</v>
      </c>
      <c r="L239" s="7">
        <v>1</v>
      </c>
      <c r="M239" s="7">
        <v>1</v>
      </c>
      <c r="N239" s="7">
        <f t="shared" si="43"/>
        <v>6</v>
      </c>
      <c r="O239" s="8">
        <f t="shared" si="44"/>
        <v>0.75</v>
      </c>
      <c r="P239" s="8" t="str">
        <f t="shared" si="37"/>
        <v>ADEQUADA</v>
      </c>
      <c r="Q239" s="7">
        <v>1</v>
      </c>
      <c r="R239" s="7">
        <v>1</v>
      </c>
      <c r="S239" s="7">
        <v>1</v>
      </c>
      <c r="T239" s="7">
        <v>1</v>
      </c>
      <c r="U239" s="7">
        <v>1</v>
      </c>
      <c r="V239" s="7">
        <v>1</v>
      </c>
      <c r="W239" s="7">
        <v>0</v>
      </c>
      <c r="X239" s="7">
        <v>0</v>
      </c>
      <c r="Y239" s="7">
        <f t="shared" si="38"/>
        <v>6</v>
      </c>
      <c r="Z239" s="8">
        <f t="shared" si="39"/>
        <v>0.75</v>
      </c>
      <c r="AA239" s="14" t="str">
        <f t="shared" si="40"/>
        <v>ADEQUADA</v>
      </c>
      <c r="AB239" s="15">
        <f t="shared" si="41"/>
        <v>12</v>
      </c>
      <c r="AC239" s="8">
        <f t="shared" si="42"/>
        <v>0.75</v>
      </c>
      <c r="AD239" s="4"/>
      <c r="AE239" s="4"/>
      <c r="AF239" s="4"/>
    </row>
    <row r="240" spans="1:32" ht="15.75" customHeight="1" x14ac:dyDescent="0.25">
      <c r="A240" s="5" t="s">
        <v>224</v>
      </c>
      <c r="B240" s="7" t="s">
        <v>84</v>
      </c>
      <c r="C240" s="7" t="s">
        <v>1104</v>
      </c>
      <c r="D240" s="7" t="s">
        <v>1097</v>
      </c>
      <c r="E240" s="5" t="s">
        <v>242</v>
      </c>
      <c r="F240" s="7">
        <v>1</v>
      </c>
      <c r="G240" s="7">
        <v>1</v>
      </c>
      <c r="H240" s="7">
        <v>1</v>
      </c>
      <c r="I240" s="7">
        <v>1</v>
      </c>
      <c r="J240" s="7">
        <v>1</v>
      </c>
      <c r="K240" s="7">
        <v>1</v>
      </c>
      <c r="L240" s="7">
        <v>1</v>
      </c>
      <c r="M240" s="7">
        <v>1</v>
      </c>
      <c r="N240" s="7">
        <f t="shared" si="43"/>
        <v>8</v>
      </c>
      <c r="O240" s="8">
        <f t="shared" si="44"/>
        <v>1</v>
      </c>
      <c r="P240" s="8" t="str">
        <f t="shared" si="37"/>
        <v>ADEQUADA</v>
      </c>
      <c r="Q240" s="7">
        <v>1</v>
      </c>
      <c r="R240" s="7">
        <v>1</v>
      </c>
      <c r="S240" s="7">
        <v>0</v>
      </c>
      <c r="T240" s="7">
        <v>1</v>
      </c>
      <c r="U240" s="7">
        <v>1</v>
      </c>
      <c r="V240" s="7">
        <v>1</v>
      </c>
      <c r="W240" s="7">
        <v>0</v>
      </c>
      <c r="X240" s="7">
        <v>1</v>
      </c>
      <c r="Y240" s="7">
        <f t="shared" si="38"/>
        <v>6</v>
      </c>
      <c r="Z240" s="8">
        <f t="shared" si="39"/>
        <v>0.75</v>
      </c>
      <c r="AA240" s="14" t="str">
        <f t="shared" si="40"/>
        <v>ADEQUADA</v>
      </c>
      <c r="AB240" s="15">
        <f t="shared" si="41"/>
        <v>14</v>
      </c>
      <c r="AC240" s="8">
        <f t="shared" si="42"/>
        <v>0.875</v>
      </c>
      <c r="AD240" s="4"/>
      <c r="AE240" s="4"/>
      <c r="AF240" s="4"/>
    </row>
    <row r="241" spans="1:32" ht="15.75" customHeight="1" x14ac:dyDescent="0.25">
      <c r="A241" s="5" t="s">
        <v>224</v>
      </c>
      <c r="B241" s="7" t="s">
        <v>84</v>
      </c>
      <c r="C241" s="7" t="s">
        <v>1105</v>
      </c>
      <c r="D241" s="7" t="s">
        <v>1097</v>
      </c>
      <c r="E241" s="5" t="s">
        <v>243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  <c r="M241" s="7">
        <v>1</v>
      </c>
      <c r="N241" s="7">
        <f t="shared" si="43"/>
        <v>8</v>
      </c>
      <c r="O241" s="8">
        <f t="shared" si="44"/>
        <v>1</v>
      </c>
      <c r="P241" s="8" t="str">
        <f t="shared" si="37"/>
        <v>ADEQUADA</v>
      </c>
      <c r="Q241" s="7">
        <v>1</v>
      </c>
      <c r="R241" s="7">
        <v>1</v>
      </c>
      <c r="S241" s="7">
        <v>0</v>
      </c>
      <c r="T241" s="7">
        <v>1</v>
      </c>
      <c r="U241" s="7">
        <v>0</v>
      </c>
      <c r="V241" s="7">
        <v>1</v>
      </c>
      <c r="W241" s="7">
        <v>0</v>
      </c>
      <c r="X241" s="7">
        <v>1</v>
      </c>
      <c r="Y241" s="7">
        <f t="shared" si="38"/>
        <v>5</v>
      </c>
      <c r="Z241" s="8">
        <f t="shared" si="39"/>
        <v>0.625</v>
      </c>
      <c r="AA241" s="14" t="str">
        <f t="shared" si="40"/>
        <v>INTERMEDIÁRIO</v>
      </c>
      <c r="AB241" s="15">
        <f t="shared" si="41"/>
        <v>13</v>
      </c>
      <c r="AC241" s="8">
        <f t="shared" si="42"/>
        <v>0.8125</v>
      </c>
      <c r="AD241" s="4"/>
      <c r="AE241" s="4"/>
      <c r="AF241" s="4"/>
    </row>
    <row r="242" spans="1:32" ht="15.75" customHeight="1" x14ac:dyDescent="0.25">
      <c r="A242" s="5" t="s">
        <v>224</v>
      </c>
      <c r="B242" s="7" t="s">
        <v>84</v>
      </c>
      <c r="C242" s="7" t="s">
        <v>1105</v>
      </c>
      <c r="D242" s="7" t="s">
        <v>1097</v>
      </c>
      <c r="E242" s="5" t="s">
        <v>244</v>
      </c>
      <c r="F242" s="7">
        <v>1</v>
      </c>
      <c r="G242" s="7">
        <v>0</v>
      </c>
      <c r="H242" s="7">
        <v>1</v>
      </c>
      <c r="I242" s="7">
        <v>1</v>
      </c>
      <c r="J242" s="7">
        <v>1</v>
      </c>
      <c r="K242" s="7">
        <v>1</v>
      </c>
      <c r="L242" s="7">
        <v>1</v>
      </c>
      <c r="M242" s="7">
        <v>1</v>
      </c>
      <c r="N242" s="7">
        <f t="shared" si="43"/>
        <v>7</v>
      </c>
      <c r="O242" s="8">
        <f t="shared" si="44"/>
        <v>0.875</v>
      </c>
      <c r="P242" s="8" t="str">
        <f t="shared" si="37"/>
        <v>ADEQUADA</v>
      </c>
      <c r="Q242" s="7">
        <v>1</v>
      </c>
      <c r="R242" s="7">
        <v>1</v>
      </c>
      <c r="S242" s="7">
        <v>1</v>
      </c>
      <c r="T242" s="7">
        <v>1</v>
      </c>
      <c r="U242" s="7">
        <v>0</v>
      </c>
      <c r="V242" s="7">
        <v>1</v>
      </c>
      <c r="W242" s="7">
        <v>1</v>
      </c>
      <c r="X242" s="7">
        <v>1</v>
      </c>
      <c r="Y242" s="7">
        <f t="shared" si="38"/>
        <v>7</v>
      </c>
      <c r="Z242" s="8">
        <f t="shared" si="39"/>
        <v>0.875</v>
      </c>
      <c r="AA242" s="14" t="str">
        <f t="shared" si="40"/>
        <v>ADEQUADA</v>
      </c>
      <c r="AB242" s="15">
        <f t="shared" si="41"/>
        <v>14</v>
      </c>
      <c r="AC242" s="8">
        <f t="shared" si="42"/>
        <v>0.875</v>
      </c>
      <c r="AD242" s="4"/>
      <c r="AE242" s="4"/>
      <c r="AF242" s="4"/>
    </row>
    <row r="243" spans="1:32" ht="15.75" customHeight="1" x14ac:dyDescent="0.25">
      <c r="A243" s="5" t="s">
        <v>224</v>
      </c>
      <c r="B243" s="7" t="s">
        <v>84</v>
      </c>
      <c r="C243" s="7" t="s">
        <v>1103</v>
      </c>
      <c r="D243" s="7" t="s">
        <v>1097</v>
      </c>
      <c r="E243" s="5" t="s">
        <v>245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0</v>
      </c>
      <c r="L243" s="7">
        <v>0</v>
      </c>
      <c r="M243" s="7">
        <v>1</v>
      </c>
      <c r="N243" s="7">
        <f t="shared" si="43"/>
        <v>6</v>
      </c>
      <c r="O243" s="8">
        <f t="shared" si="44"/>
        <v>0.75</v>
      </c>
      <c r="P243" s="8" t="str">
        <f t="shared" si="37"/>
        <v>ADEQUADA</v>
      </c>
      <c r="Q243" s="7">
        <v>1</v>
      </c>
      <c r="R243" s="7">
        <v>1</v>
      </c>
      <c r="S243" s="7">
        <v>1</v>
      </c>
      <c r="T243" s="7">
        <v>1</v>
      </c>
      <c r="U243" s="7">
        <v>1</v>
      </c>
      <c r="V243" s="7">
        <v>1</v>
      </c>
      <c r="W243" s="7">
        <v>0</v>
      </c>
      <c r="X243" s="7">
        <v>1</v>
      </c>
      <c r="Y243" s="7">
        <f t="shared" si="38"/>
        <v>7</v>
      </c>
      <c r="Z243" s="8">
        <f t="shared" si="39"/>
        <v>0.875</v>
      </c>
      <c r="AA243" s="14" t="str">
        <f t="shared" si="40"/>
        <v>ADEQUADA</v>
      </c>
      <c r="AB243" s="15">
        <f t="shared" si="41"/>
        <v>13</v>
      </c>
      <c r="AC243" s="8">
        <f t="shared" si="42"/>
        <v>0.8125</v>
      </c>
      <c r="AD243" s="4"/>
      <c r="AE243" s="4"/>
      <c r="AF243" s="4"/>
    </row>
    <row r="244" spans="1:32" ht="15.75" customHeight="1" x14ac:dyDescent="0.25">
      <c r="A244" s="5" t="s">
        <v>224</v>
      </c>
      <c r="B244" s="7" t="s">
        <v>84</v>
      </c>
      <c r="C244" s="7" t="s">
        <v>1103</v>
      </c>
      <c r="D244" s="7" t="s">
        <v>1097</v>
      </c>
      <c r="E244" s="5" t="s">
        <v>246</v>
      </c>
      <c r="F244" s="7">
        <v>1</v>
      </c>
      <c r="G244" s="7">
        <v>0</v>
      </c>
      <c r="H244" s="7">
        <v>0</v>
      </c>
      <c r="I244" s="7">
        <v>0</v>
      </c>
      <c r="J244" s="7">
        <v>1</v>
      </c>
      <c r="K244" s="7">
        <v>0</v>
      </c>
      <c r="L244" s="7">
        <v>0</v>
      </c>
      <c r="M244" s="7">
        <v>1</v>
      </c>
      <c r="N244" s="7">
        <f t="shared" si="43"/>
        <v>3</v>
      </c>
      <c r="O244" s="8">
        <f t="shared" si="44"/>
        <v>0.375</v>
      </c>
      <c r="P244" s="8" t="str">
        <f t="shared" si="37"/>
        <v>DEFASAGEM</v>
      </c>
      <c r="Q244" s="7">
        <v>1</v>
      </c>
      <c r="R244" s="7">
        <v>0</v>
      </c>
      <c r="S244" s="7">
        <v>0</v>
      </c>
      <c r="T244" s="7">
        <v>0</v>
      </c>
      <c r="U244" s="7">
        <v>1</v>
      </c>
      <c r="V244" s="7">
        <v>0</v>
      </c>
      <c r="W244" s="7">
        <v>0</v>
      </c>
      <c r="X244" s="7">
        <v>0</v>
      </c>
      <c r="Y244" s="7">
        <f t="shared" si="38"/>
        <v>2</v>
      </c>
      <c r="Z244" s="8">
        <f t="shared" si="39"/>
        <v>0.25</v>
      </c>
      <c r="AA244" s="14" t="str">
        <f t="shared" si="40"/>
        <v>DEFASAGEM</v>
      </c>
      <c r="AB244" s="15">
        <f t="shared" si="41"/>
        <v>5</v>
      </c>
      <c r="AC244" s="8">
        <f t="shared" si="42"/>
        <v>0.3125</v>
      </c>
      <c r="AD244" s="4"/>
      <c r="AE244" s="4"/>
      <c r="AF244" s="4"/>
    </row>
    <row r="245" spans="1:32" ht="15.75" customHeight="1" x14ac:dyDescent="0.25">
      <c r="A245" s="5" t="s">
        <v>224</v>
      </c>
      <c r="B245" s="7" t="s">
        <v>84</v>
      </c>
      <c r="C245" s="7" t="s">
        <v>1104</v>
      </c>
      <c r="D245" s="7" t="s">
        <v>1097</v>
      </c>
      <c r="E245" s="5" t="s">
        <v>247</v>
      </c>
      <c r="F245" s="7">
        <v>1</v>
      </c>
      <c r="G245" s="7">
        <v>1</v>
      </c>
      <c r="H245" s="7">
        <v>1</v>
      </c>
      <c r="I245" s="7">
        <v>0</v>
      </c>
      <c r="J245" s="7">
        <v>1</v>
      </c>
      <c r="K245" s="7">
        <v>0</v>
      </c>
      <c r="L245" s="7">
        <v>1</v>
      </c>
      <c r="M245" s="7">
        <v>1</v>
      </c>
      <c r="N245" s="7">
        <f t="shared" si="43"/>
        <v>6</v>
      </c>
      <c r="O245" s="8">
        <f t="shared" si="44"/>
        <v>0.75</v>
      </c>
      <c r="P245" s="8" t="str">
        <f t="shared" si="37"/>
        <v>ADEQUADA</v>
      </c>
      <c r="Q245" s="7">
        <v>1</v>
      </c>
      <c r="R245" s="7">
        <v>0</v>
      </c>
      <c r="S245" s="7">
        <v>0</v>
      </c>
      <c r="T245" s="7">
        <v>1</v>
      </c>
      <c r="U245" s="7">
        <v>0</v>
      </c>
      <c r="V245" s="7">
        <v>1</v>
      </c>
      <c r="W245" s="7">
        <v>0</v>
      </c>
      <c r="X245" s="7">
        <v>0</v>
      </c>
      <c r="Y245" s="7">
        <f t="shared" si="38"/>
        <v>3</v>
      </c>
      <c r="Z245" s="8">
        <f t="shared" si="39"/>
        <v>0.375</v>
      </c>
      <c r="AA245" s="14" t="str">
        <f t="shared" si="40"/>
        <v>DEFASAGEM</v>
      </c>
      <c r="AB245" s="15">
        <f t="shared" si="41"/>
        <v>9</v>
      </c>
      <c r="AC245" s="8">
        <f t="shared" si="42"/>
        <v>0.5625</v>
      </c>
      <c r="AD245" s="4"/>
      <c r="AE245" s="4"/>
      <c r="AF245" s="4"/>
    </row>
    <row r="246" spans="1:32" ht="15.75" customHeight="1" x14ac:dyDescent="0.25">
      <c r="A246" s="5" t="s">
        <v>250</v>
      </c>
      <c r="B246" s="7" t="s">
        <v>84</v>
      </c>
      <c r="C246" s="7" t="s">
        <v>1096</v>
      </c>
      <c r="D246" s="7" t="s">
        <v>1097</v>
      </c>
      <c r="E246" s="5" t="s">
        <v>248</v>
      </c>
      <c r="F246" s="7">
        <v>1</v>
      </c>
      <c r="G246" s="7">
        <v>1</v>
      </c>
      <c r="H246" s="7">
        <v>1</v>
      </c>
      <c r="I246" s="7">
        <v>1</v>
      </c>
      <c r="J246" s="7">
        <v>1</v>
      </c>
      <c r="K246" s="7">
        <v>0</v>
      </c>
      <c r="L246" s="7">
        <v>1</v>
      </c>
      <c r="M246" s="7">
        <v>1</v>
      </c>
      <c r="N246" s="7">
        <f t="shared" si="43"/>
        <v>7</v>
      </c>
      <c r="O246" s="8">
        <f t="shared" si="44"/>
        <v>0.875</v>
      </c>
      <c r="P246" s="8" t="str">
        <f t="shared" si="37"/>
        <v>ADEQUADA</v>
      </c>
      <c r="Q246" s="7">
        <v>1</v>
      </c>
      <c r="R246" s="7">
        <v>1</v>
      </c>
      <c r="S246" s="7">
        <v>0</v>
      </c>
      <c r="T246" s="7">
        <v>1</v>
      </c>
      <c r="U246" s="7">
        <v>1</v>
      </c>
      <c r="V246" s="7">
        <v>1</v>
      </c>
      <c r="W246" s="7">
        <v>0</v>
      </c>
      <c r="X246" s="7">
        <v>1</v>
      </c>
      <c r="Y246" s="7">
        <f t="shared" si="38"/>
        <v>6</v>
      </c>
      <c r="Z246" s="8">
        <f t="shared" si="39"/>
        <v>0.75</v>
      </c>
      <c r="AA246" s="14" t="str">
        <f t="shared" si="40"/>
        <v>ADEQUADA</v>
      </c>
      <c r="AB246" s="15">
        <f t="shared" si="41"/>
        <v>13</v>
      </c>
      <c r="AC246" s="8">
        <f t="shared" si="42"/>
        <v>0.8125</v>
      </c>
      <c r="AD246" s="4"/>
      <c r="AE246" s="4"/>
      <c r="AF246" s="4"/>
    </row>
    <row r="247" spans="1:32" ht="15.75" customHeight="1" x14ac:dyDescent="0.25">
      <c r="A247" s="5" t="s">
        <v>250</v>
      </c>
      <c r="B247" s="7" t="s">
        <v>84</v>
      </c>
      <c r="C247" s="7" t="s">
        <v>1103</v>
      </c>
      <c r="D247" s="7" t="s">
        <v>1097</v>
      </c>
      <c r="E247" s="5" t="s">
        <v>249</v>
      </c>
      <c r="F247" s="7">
        <v>1</v>
      </c>
      <c r="G247" s="7">
        <v>1</v>
      </c>
      <c r="H247" s="7">
        <v>1</v>
      </c>
      <c r="I247" s="7">
        <v>1</v>
      </c>
      <c r="J247" s="7">
        <v>1</v>
      </c>
      <c r="K247" s="7">
        <v>1</v>
      </c>
      <c r="L247" s="7">
        <v>1</v>
      </c>
      <c r="M247" s="7">
        <v>1</v>
      </c>
      <c r="N247" s="7">
        <f t="shared" si="43"/>
        <v>8</v>
      </c>
      <c r="O247" s="8">
        <f t="shared" si="44"/>
        <v>1</v>
      </c>
      <c r="P247" s="8" t="str">
        <f t="shared" si="37"/>
        <v>ADEQUADA</v>
      </c>
      <c r="Q247" s="7">
        <v>0</v>
      </c>
      <c r="R247" s="7">
        <v>1</v>
      </c>
      <c r="S247" s="7">
        <v>1</v>
      </c>
      <c r="T247" s="7">
        <v>1</v>
      </c>
      <c r="U247" s="7">
        <v>1</v>
      </c>
      <c r="V247" s="7">
        <v>1</v>
      </c>
      <c r="W247" s="7">
        <v>0</v>
      </c>
      <c r="X247" s="7">
        <v>0</v>
      </c>
      <c r="Y247" s="7">
        <f t="shared" si="38"/>
        <v>5</v>
      </c>
      <c r="Z247" s="8">
        <f t="shared" si="39"/>
        <v>0.625</v>
      </c>
      <c r="AA247" s="14" t="str">
        <f t="shared" si="40"/>
        <v>INTERMEDIÁRIO</v>
      </c>
      <c r="AB247" s="15">
        <f t="shared" si="41"/>
        <v>13</v>
      </c>
      <c r="AC247" s="8">
        <f t="shared" si="42"/>
        <v>0.8125</v>
      </c>
      <c r="AD247" s="4"/>
      <c r="AE247" s="4"/>
      <c r="AF247" s="4"/>
    </row>
    <row r="248" spans="1:32" ht="15.75" customHeight="1" x14ac:dyDescent="0.25">
      <c r="A248" s="5" t="s">
        <v>250</v>
      </c>
      <c r="B248" s="7" t="s">
        <v>84</v>
      </c>
      <c r="C248" s="7" t="s">
        <v>1099</v>
      </c>
      <c r="D248" s="7" t="s">
        <v>1100</v>
      </c>
      <c r="E248" s="5" t="s">
        <v>1137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f t="shared" si="43"/>
        <v>0</v>
      </c>
      <c r="O248" s="8">
        <f t="shared" si="44"/>
        <v>0</v>
      </c>
      <c r="P248" s="8" t="str">
        <f t="shared" si="37"/>
        <v>DEFASAGEM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f t="shared" si="38"/>
        <v>0</v>
      </c>
      <c r="Z248" s="8">
        <f t="shared" si="39"/>
        <v>0</v>
      </c>
      <c r="AA248" s="14" t="str">
        <f t="shared" si="40"/>
        <v>DEFASAGEM</v>
      </c>
      <c r="AB248" s="15">
        <f t="shared" si="41"/>
        <v>0</v>
      </c>
      <c r="AC248" s="8">
        <f t="shared" si="42"/>
        <v>0</v>
      </c>
      <c r="AD248" s="4"/>
      <c r="AE248" s="4"/>
      <c r="AF248" s="4"/>
    </row>
    <row r="249" spans="1:32" ht="15.75" customHeight="1" x14ac:dyDescent="0.25">
      <c r="A249" s="5" t="s">
        <v>250</v>
      </c>
      <c r="B249" s="7" t="s">
        <v>84</v>
      </c>
      <c r="C249" s="7" t="s">
        <v>1096</v>
      </c>
      <c r="D249" s="7" t="s">
        <v>1097</v>
      </c>
      <c r="E249" s="5" t="s">
        <v>251</v>
      </c>
      <c r="F249" s="7">
        <v>1</v>
      </c>
      <c r="G249" s="7">
        <v>1</v>
      </c>
      <c r="H249" s="7">
        <v>1</v>
      </c>
      <c r="I249" s="7">
        <v>1</v>
      </c>
      <c r="J249" s="7">
        <v>1</v>
      </c>
      <c r="K249" s="7">
        <v>1</v>
      </c>
      <c r="L249" s="7">
        <v>1</v>
      </c>
      <c r="M249" s="7">
        <v>1</v>
      </c>
      <c r="N249" s="7">
        <f t="shared" si="43"/>
        <v>8</v>
      </c>
      <c r="O249" s="8">
        <f t="shared" si="44"/>
        <v>1</v>
      </c>
      <c r="P249" s="8" t="str">
        <f t="shared" si="37"/>
        <v>ADEQUADA</v>
      </c>
      <c r="Q249" s="7">
        <v>1</v>
      </c>
      <c r="R249" s="7">
        <v>1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1</v>
      </c>
      <c r="Y249" s="7">
        <f t="shared" si="38"/>
        <v>8</v>
      </c>
      <c r="Z249" s="8">
        <f t="shared" si="39"/>
        <v>1</v>
      </c>
      <c r="AA249" s="14" t="str">
        <f t="shared" si="40"/>
        <v>ADEQUADA</v>
      </c>
      <c r="AB249" s="15">
        <f t="shared" si="41"/>
        <v>16</v>
      </c>
      <c r="AC249" s="8">
        <f t="shared" si="42"/>
        <v>1</v>
      </c>
      <c r="AD249" s="4"/>
      <c r="AE249" s="4"/>
      <c r="AF249" s="4"/>
    </row>
    <row r="250" spans="1:32" ht="15.75" customHeight="1" x14ac:dyDescent="0.25">
      <c r="A250" s="5" t="s">
        <v>250</v>
      </c>
      <c r="B250" s="7" t="s">
        <v>84</v>
      </c>
      <c r="C250" s="7" t="s">
        <v>1103</v>
      </c>
      <c r="D250" s="7" t="s">
        <v>1097</v>
      </c>
      <c r="E250" s="5" t="s">
        <v>252</v>
      </c>
      <c r="F250" s="7">
        <v>1</v>
      </c>
      <c r="G250" s="7">
        <v>1</v>
      </c>
      <c r="H250" s="7">
        <v>1</v>
      </c>
      <c r="I250" s="7">
        <v>1</v>
      </c>
      <c r="J250" s="7">
        <v>1</v>
      </c>
      <c r="K250" s="7">
        <v>1</v>
      </c>
      <c r="L250" s="7">
        <v>1</v>
      </c>
      <c r="M250" s="7">
        <v>1</v>
      </c>
      <c r="N250" s="7">
        <f t="shared" si="43"/>
        <v>8</v>
      </c>
      <c r="O250" s="8">
        <f t="shared" si="44"/>
        <v>1</v>
      </c>
      <c r="P250" s="8" t="str">
        <f t="shared" si="37"/>
        <v>ADEQUADA</v>
      </c>
      <c r="Q250" s="7">
        <v>0</v>
      </c>
      <c r="R250" s="7">
        <v>1</v>
      </c>
      <c r="S250" s="7">
        <v>1</v>
      </c>
      <c r="T250" s="7">
        <v>1</v>
      </c>
      <c r="U250" s="7">
        <v>1</v>
      </c>
      <c r="V250" s="7">
        <v>1</v>
      </c>
      <c r="W250" s="7">
        <v>0</v>
      </c>
      <c r="X250" s="7">
        <v>1</v>
      </c>
      <c r="Y250" s="7">
        <f t="shared" si="38"/>
        <v>6</v>
      </c>
      <c r="Z250" s="8">
        <f t="shared" si="39"/>
        <v>0.75</v>
      </c>
      <c r="AA250" s="14" t="str">
        <f t="shared" si="40"/>
        <v>ADEQUADA</v>
      </c>
      <c r="AB250" s="15">
        <f t="shared" si="41"/>
        <v>14</v>
      </c>
      <c r="AC250" s="8">
        <f t="shared" si="42"/>
        <v>0.875</v>
      </c>
      <c r="AD250" s="4"/>
      <c r="AE250" s="4"/>
      <c r="AF250" s="4"/>
    </row>
    <row r="251" spans="1:32" ht="15.75" customHeight="1" x14ac:dyDescent="0.25">
      <c r="A251" s="5" t="s">
        <v>250</v>
      </c>
      <c r="B251" s="7" t="s">
        <v>84</v>
      </c>
      <c r="C251" s="7" t="s">
        <v>1103</v>
      </c>
      <c r="D251" s="7" t="s">
        <v>1097</v>
      </c>
      <c r="E251" s="5" t="s">
        <v>253</v>
      </c>
      <c r="F251" s="7">
        <v>0</v>
      </c>
      <c r="G251" s="7">
        <v>1</v>
      </c>
      <c r="H251" s="7">
        <v>1</v>
      </c>
      <c r="I251" s="7">
        <v>1</v>
      </c>
      <c r="J251" s="7">
        <v>1</v>
      </c>
      <c r="K251" s="7">
        <v>0</v>
      </c>
      <c r="L251" s="7">
        <v>1</v>
      </c>
      <c r="M251" s="7">
        <v>1</v>
      </c>
      <c r="N251" s="7">
        <f t="shared" si="43"/>
        <v>6</v>
      </c>
      <c r="O251" s="8">
        <f t="shared" si="44"/>
        <v>0.75</v>
      </c>
      <c r="P251" s="8" t="str">
        <f t="shared" si="37"/>
        <v>ADEQUADA</v>
      </c>
      <c r="Q251" s="7">
        <v>1</v>
      </c>
      <c r="R251" s="7">
        <v>1</v>
      </c>
      <c r="S251" s="7">
        <v>1</v>
      </c>
      <c r="T251" s="7">
        <v>1</v>
      </c>
      <c r="U251" s="7">
        <v>1</v>
      </c>
      <c r="V251" s="7">
        <v>1</v>
      </c>
      <c r="W251" s="7">
        <v>0</v>
      </c>
      <c r="X251" s="7">
        <v>1</v>
      </c>
      <c r="Y251" s="7">
        <f t="shared" si="38"/>
        <v>7</v>
      </c>
      <c r="Z251" s="8">
        <f t="shared" si="39"/>
        <v>0.875</v>
      </c>
      <c r="AA251" s="14" t="str">
        <f t="shared" si="40"/>
        <v>ADEQUADA</v>
      </c>
      <c r="AB251" s="15">
        <f t="shared" si="41"/>
        <v>13</v>
      </c>
      <c r="AC251" s="8">
        <f t="shared" si="42"/>
        <v>0.8125</v>
      </c>
      <c r="AD251" s="4"/>
      <c r="AE251" s="4"/>
      <c r="AF251" s="4"/>
    </row>
    <row r="252" spans="1:32" ht="15.75" customHeight="1" x14ac:dyDescent="0.25">
      <c r="A252" s="5" t="s">
        <v>250</v>
      </c>
      <c r="B252" s="7" t="s">
        <v>84</v>
      </c>
      <c r="C252" s="7" t="s">
        <v>1104</v>
      </c>
      <c r="D252" s="7" t="s">
        <v>1097</v>
      </c>
      <c r="E252" s="5" t="s">
        <v>254</v>
      </c>
      <c r="F252" s="7">
        <v>1</v>
      </c>
      <c r="G252" s="7">
        <v>1</v>
      </c>
      <c r="H252" s="7">
        <v>1</v>
      </c>
      <c r="I252" s="7">
        <v>1</v>
      </c>
      <c r="J252" s="7">
        <v>1</v>
      </c>
      <c r="K252" s="7">
        <v>1</v>
      </c>
      <c r="L252" s="7">
        <v>1</v>
      </c>
      <c r="M252" s="7">
        <v>1</v>
      </c>
      <c r="N252" s="7">
        <f t="shared" si="43"/>
        <v>8</v>
      </c>
      <c r="O252" s="8">
        <f t="shared" si="44"/>
        <v>1</v>
      </c>
      <c r="P252" s="8" t="str">
        <f t="shared" si="37"/>
        <v>ADEQUADA</v>
      </c>
      <c r="Q252" s="7">
        <v>1</v>
      </c>
      <c r="R252" s="7">
        <v>1</v>
      </c>
      <c r="S252" s="7">
        <v>0</v>
      </c>
      <c r="T252" s="7">
        <v>1</v>
      </c>
      <c r="U252" s="7">
        <v>1</v>
      </c>
      <c r="V252" s="7">
        <v>1</v>
      </c>
      <c r="W252" s="7">
        <v>1</v>
      </c>
      <c r="X252" s="7">
        <v>1</v>
      </c>
      <c r="Y252" s="7">
        <f t="shared" si="38"/>
        <v>7</v>
      </c>
      <c r="Z252" s="8">
        <f t="shared" si="39"/>
        <v>0.875</v>
      </c>
      <c r="AA252" s="14" t="str">
        <f t="shared" si="40"/>
        <v>ADEQUADA</v>
      </c>
      <c r="AB252" s="15">
        <f t="shared" si="41"/>
        <v>15</v>
      </c>
      <c r="AC252" s="8">
        <f t="shared" si="42"/>
        <v>0.9375</v>
      </c>
      <c r="AD252" s="4"/>
      <c r="AE252" s="4"/>
      <c r="AF252" s="4"/>
    </row>
    <row r="253" spans="1:32" ht="15.75" customHeight="1" x14ac:dyDescent="0.25">
      <c r="A253" s="5" t="s">
        <v>250</v>
      </c>
      <c r="B253" s="7" t="s">
        <v>255</v>
      </c>
      <c r="C253" s="7" t="s">
        <v>1103</v>
      </c>
      <c r="D253" s="7" t="s">
        <v>1097</v>
      </c>
      <c r="E253" s="5" t="s">
        <v>1138</v>
      </c>
      <c r="F253" s="7">
        <v>1</v>
      </c>
      <c r="G253" s="7">
        <v>1</v>
      </c>
      <c r="H253" s="7">
        <v>1</v>
      </c>
      <c r="I253" s="7">
        <v>1</v>
      </c>
      <c r="J253" s="7">
        <v>1</v>
      </c>
      <c r="K253" s="7">
        <v>1</v>
      </c>
      <c r="L253" s="7">
        <v>1</v>
      </c>
      <c r="M253" s="7">
        <v>1</v>
      </c>
      <c r="N253" s="7">
        <f t="shared" si="43"/>
        <v>8</v>
      </c>
      <c r="O253" s="8">
        <f t="shared" si="44"/>
        <v>1</v>
      </c>
      <c r="P253" s="8" t="str">
        <f t="shared" si="37"/>
        <v>ADEQUADA</v>
      </c>
      <c r="Q253" s="7">
        <v>1</v>
      </c>
      <c r="R253" s="7">
        <v>1</v>
      </c>
      <c r="S253" s="7">
        <v>1</v>
      </c>
      <c r="T253" s="7">
        <v>1</v>
      </c>
      <c r="U253" s="7">
        <v>1</v>
      </c>
      <c r="V253" s="7">
        <v>0</v>
      </c>
      <c r="W253" s="7">
        <v>1</v>
      </c>
      <c r="X253" s="7">
        <v>1</v>
      </c>
      <c r="Y253" s="7">
        <f t="shared" si="38"/>
        <v>7</v>
      </c>
      <c r="Z253" s="8">
        <f t="shared" si="39"/>
        <v>0.875</v>
      </c>
      <c r="AA253" s="14" t="str">
        <f t="shared" si="40"/>
        <v>ADEQUADA</v>
      </c>
      <c r="AB253" s="15">
        <f t="shared" si="41"/>
        <v>15</v>
      </c>
      <c r="AC253" s="8">
        <f t="shared" si="42"/>
        <v>0.9375</v>
      </c>
      <c r="AD253" s="4"/>
      <c r="AE253" s="4"/>
      <c r="AF253" s="4"/>
    </row>
    <row r="254" spans="1:32" ht="15.75" customHeight="1" x14ac:dyDescent="0.25">
      <c r="A254" s="5" t="s">
        <v>250</v>
      </c>
      <c r="B254" s="7" t="s">
        <v>84</v>
      </c>
      <c r="C254" s="7" t="s">
        <v>1103</v>
      </c>
      <c r="D254" s="7" t="s">
        <v>1097</v>
      </c>
      <c r="E254" s="5" t="s">
        <v>256</v>
      </c>
      <c r="F254" s="7">
        <v>1</v>
      </c>
      <c r="G254" s="7">
        <v>1</v>
      </c>
      <c r="H254" s="7">
        <v>1</v>
      </c>
      <c r="I254" s="7">
        <v>1</v>
      </c>
      <c r="J254" s="7">
        <v>1</v>
      </c>
      <c r="K254" s="7">
        <v>1</v>
      </c>
      <c r="L254" s="7">
        <v>1</v>
      </c>
      <c r="M254" s="7">
        <v>1</v>
      </c>
      <c r="N254" s="7">
        <f t="shared" si="43"/>
        <v>8</v>
      </c>
      <c r="O254" s="8">
        <f t="shared" si="44"/>
        <v>1</v>
      </c>
      <c r="P254" s="8" t="str">
        <f t="shared" si="37"/>
        <v>ADEQUADA</v>
      </c>
      <c r="Q254" s="7">
        <v>1</v>
      </c>
      <c r="R254" s="7">
        <v>1</v>
      </c>
      <c r="S254" s="7">
        <v>0</v>
      </c>
      <c r="T254" s="7">
        <v>1</v>
      </c>
      <c r="U254" s="7">
        <v>1</v>
      </c>
      <c r="V254" s="7">
        <v>1</v>
      </c>
      <c r="W254" s="7">
        <v>1</v>
      </c>
      <c r="X254" s="7">
        <v>1</v>
      </c>
      <c r="Y254" s="7">
        <f t="shared" si="38"/>
        <v>7</v>
      </c>
      <c r="Z254" s="8">
        <f t="shared" si="39"/>
        <v>0.875</v>
      </c>
      <c r="AA254" s="14" t="str">
        <f t="shared" si="40"/>
        <v>ADEQUADA</v>
      </c>
      <c r="AB254" s="15">
        <f t="shared" si="41"/>
        <v>15</v>
      </c>
      <c r="AC254" s="8">
        <f t="shared" si="42"/>
        <v>0.9375</v>
      </c>
      <c r="AD254" s="4"/>
      <c r="AE254" s="4"/>
      <c r="AF254" s="4"/>
    </row>
    <row r="255" spans="1:32" ht="15.75" customHeight="1" x14ac:dyDescent="0.25">
      <c r="A255" s="5" t="s">
        <v>250</v>
      </c>
      <c r="B255" s="7" t="s">
        <v>84</v>
      </c>
      <c r="C255" s="7" t="s">
        <v>1103</v>
      </c>
      <c r="D255" s="7" t="s">
        <v>1097</v>
      </c>
      <c r="E255" s="5" t="s">
        <v>257</v>
      </c>
      <c r="F255" s="7">
        <v>1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  <c r="M255" s="7">
        <v>1</v>
      </c>
      <c r="N255" s="7">
        <f t="shared" si="43"/>
        <v>8</v>
      </c>
      <c r="O255" s="8">
        <f t="shared" si="44"/>
        <v>1</v>
      </c>
      <c r="P255" s="8" t="str">
        <f t="shared" si="37"/>
        <v>ADEQUADA</v>
      </c>
      <c r="Q255" s="7">
        <v>1</v>
      </c>
      <c r="R255" s="7">
        <v>1</v>
      </c>
      <c r="S255" s="7">
        <v>1</v>
      </c>
      <c r="T255" s="7">
        <v>1</v>
      </c>
      <c r="U255" s="7">
        <v>0</v>
      </c>
      <c r="V255" s="7">
        <v>1</v>
      </c>
      <c r="W255" s="7">
        <v>0</v>
      </c>
      <c r="X255" s="7">
        <v>1</v>
      </c>
      <c r="Y255" s="7">
        <f t="shared" si="38"/>
        <v>6</v>
      </c>
      <c r="Z255" s="8">
        <f t="shared" si="39"/>
        <v>0.75</v>
      </c>
      <c r="AA255" s="14" t="str">
        <f t="shared" si="40"/>
        <v>ADEQUADA</v>
      </c>
      <c r="AB255" s="15">
        <f t="shared" si="41"/>
        <v>14</v>
      </c>
      <c r="AC255" s="8">
        <f t="shared" si="42"/>
        <v>0.875</v>
      </c>
      <c r="AD255" s="4"/>
      <c r="AE255" s="4"/>
      <c r="AF255" s="4"/>
    </row>
    <row r="256" spans="1:32" ht="15.75" customHeight="1" x14ac:dyDescent="0.25">
      <c r="A256" s="5" t="s">
        <v>250</v>
      </c>
      <c r="B256" s="7" t="s">
        <v>84</v>
      </c>
      <c r="C256" s="7" t="s">
        <v>1103</v>
      </c>
      <c r="D256" s="7" t="s">
        <v>1097</v>
      </c>
      <c r="E256" s="5" t="s">
        <v>258</v>
      </c>
      <c r="F256" s="7">
        <v>1</v>
      </c>
      <c r="G256" s="7">
        <v>0</v>
      </c>
      <c r="H256" s="7">
        <v>1</v>
      </c>
      <c r="I256" s="7">
        <v>0</v>
      </c>
      <c r="J256" s="7">
        <v>1</v>
      </c>
      <c r="K256" s="7">
        <v>1</v>
      </c>
      <c r="L256" s="7">
        <v>0</v>
      </c>
      <c r="M256" s="7">
        <v>1</v>
      </c>
      <c r="N256" s="7">
        <f t="shared" si="43"/>
        <v>5</v>
      </c>
      <c r="O256" s="8">
        <f t="shared" si="44"/>
        <v>0.625</v>
      </c>
      <c r="P256" s="8" t="str">
        <f t="shared" si="37"/>
        <v>INTERMEDIÁRIO</v>
      </c>
      <c r="Q256" s="7">
        <v>1</v>
      </c>
      <c r="R256" s="7">
        <v>1</v>
      </c>
      <c r="S256" s="7">
        <v>1</v>
      </c>
      <c r="T256" s="7">
        <v>1</v>
      </c>
      <c r="U256" s="7">
        <v>1</v>
      </c>
      <c r="V256" s="7">
        <v>1</v>
      </c>
      <c r="W256" s="7">
        <v>1</v>
      </c>
      <c r="X256" s="7">
        <v>1</v>
      </c>
      <c r="Y256" s="7">
        <f t="shared" si="38"/>
        <v>8</v>
      </c>
      <c r="Z256" s="8">
        <f t="shared" si="39"/>
        <v>1</v>
      </c>
      <c r="AA256" s="14" t="str">
        <f t="shared" si="40"/>
        <v>ADEQUADA</v>
      </c>
      <c r="AB256" s="15">
        <f t="shared" si="41"/>
        <v>13</v>
      </c>
      <c r="AC256" s="8">
        <f t="shared" si="42"/>
        <v>0.8125</v>
      </c>
      <c r="AD256" s="4"/>
      <c r="AE256" s="4"/>
      <c r="AF256" s="4"/>
    </row>
    <row r="257" spans="1:32" ht="15.75" customHeight="1" x14ac:dyDescent="0.25">
      <c r="A257" s="5" t="s">
        <v>250</v>
      </c>
      <c r="B257" s="7" t="s">
        <v>84</v>
      </c>
      <c r="C257" s="7" t="s">
        <v>1096</v>
      </c>
      <c r="D257" s="7" t="s">
        <v>1097</v>
      </c>
      <c r="E257" s="5" t="s">
        <v>259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7">
        <v>1</v>
      </c>
      <c r="L257" s="7">
        <v>0</v>
      </c>
      <c r="M257" s="7">
        <v>0</v>
      </c>
      <c r="N257" s="7">
        <f t="shared" si="43"/>
        <v>2</v>
      </c>
      <c r="O257" s="8">
        <f t="shared" si="44"/>
        <v>0.25</v>
      </c>
      <c r="P257" s="8" t="str">
        <f t="shared" si="37"/>
        <v>DEFASAGEM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1</v>
      </c>
      <c r="W257" s="7">
        <v>0</v>
      </c>
      <c r="X257" s="7">
        <v>1</v>
      </c>
      <c r="Y257" s="7">
        <f t="shared" si="38"/>
        <v>2</v>
      </c>
      <c r="Z257" s="8">
        <f t="shared" si="39"/>
        <v>0.25</v>
      </c>
      <c r="AA257" s="14" t="str">
        <f t="shared" si="40"/>
        <v>DEFASAGEM</v>
      </c>
      <c r="AB257" s="15">
        <f t="shared" si="41"/>
        <v>4</v>
      </c>
      <c r="AC257" s="8">
        <f t="shared" si="42"/>
        <v>0.25</v>
      </c>
      <c r="AD257" s="4"/>
      <c r="AE257" s="4"/>
      <c r="AF257" s="4"/>
    </row>
    <row r="258" spans="1:32" ht="15.75" customHeight="1" x14ac:dyDescent="0.25">
      <c r="A258" s="5" t="s">
        <v>250</v>
      </c>
      <c r="B258" s="7" t="s">
        <v>84</v>
      </c>
      <c r="C258" s="7" t="s">
        <v>1103</v>
      </c>
      <c r="D258" s="7" t="s">
        <v>1097</v>
      </c>
      <c r="E258" s="5" t="s">
        <v>260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7">
        <v>1</v>
      </c>
      <c r="L258" s="7">
        <v>1</v>
      </c>
      <c r="M258" s="7">
        <v>1</v>
      </c>
      <c r="N258" s="7">
        <f t="shared" si="43"/>
        <v>4</v>
      </c>
      <c r="O258" s="8">
        <f t="shared" si="44"/>
        <v>0.5</v>
      </c>
      <c r="P258" s="8" t="str">
        <f t="shared" si="37"/>
        <v>INTERMEDIÁRIO</v>
      </c>
      <c r="Q258" s="7">
        <v>0</v>
      </c>
      <c r="R258" s="7">
        <v>1</v>
      </c>
      <c r="S258" s="7">
        <v>0</v>
      </c>
      <c r="T258" s="7">
        <v>1</v>
      </c>
      <c r="U258" s="7">
        <v>1</v>
      </c>
      <c r="V258" s="7">
        <v>1</v>
      </c>
      <c r="W258" s="7">
        <v>0</v>
      </c>
      <c r="X258" s="7">
        <v>1</v>
      </c>
      <c r="Y258" s="7">
        <f t="shared" si="38"/>
        <v>5</v>
      </c>
      <c r="Z258" s="8">
        <f t="shared" si="39"/>
        <v>0.625</v>
      </c>
      <c r="AA258" s="14" t="str">
        <f t="shared" si="40"/>
        <v>INTERMEDIÁRIO</v>
      </c>
      <c r="AB258" s="15">
        <f t="shared" si="41"/>
        <v>9</v>
      </c>
      <c r="AC258" s="8">
        <f t="shared" si="42"/>
        <v>0.5625</v>
      </c>
      <c r="AD258" s="4"/>
      <c r="AE258" s="4"/>
      <c r="AF258" s="4"/>
    </row>
    <row r="259" spans="1:32" ht="15.75" customHeight="1" x14ac:dyDescent="0.25">
      <c r="A259" s="5" t="s">
        <v>250</v>
      </c>
      <c r="B259" s="7" t="s">
        <v>84</v>
      </c>
      <c r="C259" s="7" t="s">
        <v>1096</v>
      </c>
      <c r="D259" s="7" t="s">
        <v>1097</v>
      </c>
      <c r="E259" s="5" t="s">
        <v>261</v>
      </c>
      <c r="F259" s="7">
        <v>1</v>
      </c>
      <c r="G259" s="7">
        <v>0</v>
      </c>
      <c r="H259" s="7">
        <v>1</v>
      </c>
      <c r="I259" s="7">
        <v>1</v>
      </c>
      <c r="J259" s="7">
        <v>1</v>
      </c>
      <c r="K259" s="7">
        <v>1</v>
      </c>
      <c r="L259" s="7">
        <v>0</v>
      </c>
      <c r="M259" s="7">
        <v>1</v>
      </c>
      <c r="N259" s="7">
        <f t="shared" si="43"/>
        <v>6</v>
      </c>
      <c r="O259" s="8">
        <f t="shared" si="44"/>
        <v>0.75</v>
      </c>
      <c r="P259" s="8" t="str">
        <f t="shared" si="37"/>
        <v>ADEQUADA</v>
      </c>
      <c r="Q259" s="7">
        <v>1</v>
      </c>
      <c r="R259" s="7">
        <v>1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</v>
      </c>
      <c r="Y259" s="7">
        <f t="shared" si="38"/>
        <v>8</v>
      </c>
      <c r="Z259" s="8">
        <f t="shared" si="39"/>
        <v>1</v>
      </c>
      <c r="AA259" s="14" t="str">
        <f t="shared" si="40"/>
        <v>ADEQUADA</v>
      </c>
      <c r="AB259" s="15">
        <f t="shared" si="41"/>
        <v>14</v>
      </c>
      <c r="AC259" s="8">
        <f t="shared" si="42"/>
        <v>0.875</v>
      </c>
      <c r="AD259" s="4"/>
      <c r="AE259" s="4"/>
      <c r="AF259" s="4"/>
    </row>
    <row r="260" spans="1:32" ht="15.75" customHeight="1" x14ac:dyDescent="0.25">
      <c r="A260" s="5" t="s">
        <v>250</v>
      </c>
      <c r="B260" s="7" t="s">
        <v>84</v>
      </c>
      <c r="C260" s="7" t="s">
        <v>1103</v>
      </c>
      <c r="D260" s="7" t="s">
        <v>1097</v>
      </c>
      <c r="E260" s="5" t="s">
        <v>262</v>
      </c>
      <c r="F260" s="7">
        <v>1</v>
      </c>
      <c r="G260" s="7">
        <v>1</v>
      </c>
      <c r="H260" s="7">
        <v>1</v>
      </c>
      <c r="I260" s="7">
        <v>1</v>
      </c>
      <c r="J260" s="7">
        <v>1</v>
      </c>
      <c r="K260" s="7">
        <v>0</v>
      </c>
      <c r="L260" s="7">
        <v>1</v>
      </c>
      <c r="M260" s="7">
        <v>1</v>
      </c>
      <c r="N260" s="7">
        <f t="shared" si="43"/>
        <v>7</v>
      </c>
      <c r="O260" s="8">
        <f t="shared" si="44"/>
        <v>0.875</v>
      </c>
      <c r="P260" s="8" t="str">
        <f t="shared" si="37"/>
        <v>ADEQUADA</v>
      </c>
      <c r="Q260" s="7">
        <v>1</v>
      </c>
      <c r="R260" s="7">
        <v>1</v>
      </c>
      <c r="S260" s="7">
        <v>0</v>
      </c>
      <c r="T260" s="7">
        <v>1</v>
      </c>
      <c r="U260" s="7">
        <v>1</v>
      </c>
      <c r="V260" s="7">
        <v>1</v>
      </c>
      <c r="W260" s="7">
        <v>1</v>
      </c>
      <c r="X260" s="7">
        <v>1</v>
      </c>
      <c r="Y260" s="7">
        <f t="shared" si="38"/>
        <v>7</v>
      </c>
      <c r="Z260" s="8">
        <f t="shared" si="39"/>
        <v>0.875</v>
      </c>
      <c r="AA260" s="14" t="str">
        <f t="shared" si="40"/>
        <v>ADEQUADA</v>
      </c>
      <c r="AB260" s="15">
        <f t="shared" si="41"/>
        <v>14</v>
      </c>
      <c r="AC260" s="8">
        <f t="shared" si="42"/>
        <v>0.875</v>
      </c>
      <c r="AD260" s="4"/>
      <c r="AE260" s="4"/>
      <c r="AF260" s="4"/>
    </row>
    <row r="261" spans="1:32" ht="15.75" customHeight="1" x14ac:dyDescent="0.25">
      <c r="A261" s="5" t="s">
        <v>250</v>
      </c>
      <c r="B261" s="7" t="s">
        <v>84</v>
      </c>
      <c r="C261" s="7" t="s">
        <v>1103</v>
      </c>
      <c r="D261" s="7" t="s">
        <v>1097</v>
      </c>
      <c r="E261" s="5" t="s">
        <v>263</v>
      </c>
      <c r="F261" s="7">
        <v>1</v>
      </c>
      <c r="G261" s="7">
        <v>1</v>
      </c>
      <c r="H261" s="7">
        <v>1</v>
      </c>
      <c r="I261" s="7">
        <v>1</v>
      </c>
      <c r="J261" s="7">
        <v>1</v>
      </c>
      <c r="K261" s="7">
        <v>1</v>
      </c>
      <c r="L261" s="7">
        <v>1</v>
      </c>
      <c r="M261" s="7">
        <v>1</v>
      </c>
      <c r="N261" s="7">
        <f t="shared" si="43"/>
        <v>8</v>
      </c>
      <c r="O261" s="8">
        <f t="shared" si="44"/>
        <v>1</v>
      </c>
      <c r="P261" s="8" t="str">
        <f t="shared" si="37"/>
        <v>ADEQUADA</v>
      </c>
      <c r="Q261" s="7">
        <v>1</v>
      </c>
      <c r="R261" s="7">
        <v>1</v>
      </c>
      <c r="S261" s="7">
        <v>1</v>
      </c>
      <c r="T261" s="7">
        <v>1</v>
      </c>
      <c r="U261" s="7">
        <v>1</v>
      </c>
      <c r="V261" s="7">
        <v>1</v>
      </c>
      <c r="W261" s="7">
        <v>1</v>
      </c>
      <c r="X261" s="7">
        <v>1</v>
      </c>
      <c r="Y261" s="7">
        <f t="shared" si="38"/>
        <v>8</v>
      </c>
      <c r="Z261" s="8">
        <f t="shared" si="39"/>
        <v>1</v>
      </c>
      <c r="AA261" s="14" t="str">
        <f t="shared" si="40"/>
        <v>ADEQUADA</v>
      </c>
      <c r="AB261" s="15">
        <f t="shared" si="41"/>
        <v>16</v>
      </c>
      <c r="AC261" s="8">
        <f t="shared" si="42"/>
        <v>1</v>
      </c>
      <c r="AD261" s="4"/>
      <c r="AE261" s="4"/>
      <c r="AF261" s="4"/>
    </row>
    <row r="262" spans="1:32" ht="15.75" customHeight="1" x14ac:dyDescent="0.25">
      <c r="A262" s="5" t="s">
        <v>250</v>
      </c>
      <c r="B262" s="7" t="s">
        <v>84</v>
      </c>
      <c r="C262" s="7" t="s">
        <v>1103</v>
      </c>
      <c r="D262" s="7" t="s">
        <v>1097</v>
      </c>
      <c r="E262" s="5" t="s">
        <v>264</v>
      </c>
      <c r="F262" s="7">
        <v>1</v>
      </c>
      <c r="G262" s="7">
        <v>0</v>
      </c>
      <c r="H262" s="7">
        <v>1</v>
      </c>
      <c r="I262" s="7">
        <v>0</v>
      </c>
      <c r="J262" s="7">
        <v>1</v>
      </c>
      <c r="K262" s="7">
        <v>0</v>
      </c>
      <c r="L262" s="7">
        <v>1</v>
      </c>
      <c r="M262" s="7">
        <v>1</v>
      </c>
      <c r="N262" s="7">
        <f t="shared" si="43"/>
        <v>5</v>
      </c>
      <c r="O262" s="8">
        <f t="shared" si="44"/>
        <v>0.625</v>
      </c>
      <c r="P262" s="8" t="str">
        <f t="shared" si="37"/>
        <v>INTERMEDIÁRIO</v>
      </c>
      <c r="Q262" s="7">
        <v>1</v>
      </c>
      <c r="R262" s="7">
        <v>1</v>
      </c>
      <c r="S262" s="7">
        <v>0</v>
      </c>
      <c r="T262" s="7">
        <v>0</v>
      </c>
      <c r="U262" s="7">
        <v>1</v>
      </c>
      <c r="V262" s="7">
        <v>1</v>
      </c>
      <c r="W262" s="7">
        <v>1</v>
      </c>
      <c r="X262" s="7">
        <v>1</v>
      </c>
      <c r="Y262" s="7">
        <f t="shared" si="38"/>
        <v>6</v>
      </c>
      <c r="Z262" s="8">
        <f t="shared" si="39"/>
        <v>0.75</v>
      </c>
      <c r="AA262" s="14" t="str">
        <f t="shared" si="40"/>
        <v>ADEQUADA</v>
      </c>
      <c r="AB262" s="15">
        <f t="shared" si="41"/>
        <v>11</v>
      </c>
      <c r="AC262" s="8">
        <f t="shared" si="42"/>
        <v>0.6875</v>
      </c>
      <c r="AD262" s="4"/>
      <c r="AE262" s="4"/>
      <c r="AF262" s="4"/>
    </row>
    <row r="263" spans="1:32" ht="15.75" customHeight="1" x14ac:dyDescent="0.25">
      <c r="A263" s="5" t="s">
        <v>250</v>
      </c>
      <c r="B263" s="7" t="s">
        <v>84</v>
      </c>
      <c r="C263" s="7" t="s">
        <v>1103</v>
      </c>
      <c r="D263" s="7" t="s">
        <v>1097</v>
      </c>
      <c r="E263" s="5" t="s">
        <v>265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0</v>
      </c>
      <c r="M263" s="7">
        <v>1</v>
      </c>
      <c r="N263" s="7">
        <f t="shared" si="43"/>
        <v>7</v>
      </c>
      <c r="O263" s="8">
        <f t="shared" si="44"/>
        <v>0.875</v>
      </c>
      <c r="P263" s="8" t="str">
        <f t="shared" si="37"/>
        <v>ADEQUADA</v>
      </c>
      <c r="Q263" s="7">
        <v>1</v>
      </c>
      <c r="R263" s="7">
        <v>1</v>
      </c>
      <c r="S263" s="7">
        <v>1</v>
      </c>
      <c r="T263" s="7">
        <v>1</v>
      </c>
      <c r="U263" s="7">
        <v>1</v>
      </c>
      <c r="V263" s="7">
        <v>1</v>
      </c>
      <c r="W263" s="7">
        <v>1</v>
      </c>
      <c r="X263" s="7">
        <v>1</v>
      </c>
      <c r="Y263" s="7">
        <f t="shared" si="38"/>
        <v>8</v>
      </c>
      <c r="Z263" s="8">
        <f t="shared" si="39"/>
        <v>1</v>
      </c>
      <c r="AA263" s="14" t="str">
        <f t="shared" si="40"/>
        <v>ADEQUADA</v>
      </c>
      <c r="AB263" s="15">
        <f t="shared" si="41"/>
        <v>15</v>
      </c>
      <c r="AC263" s="8">
        <f t="shared" si="42"/>
        <v>0.9375</v>
      </c>
      <c r="AD263" s="4"/>
      <c r="AE263" s="4"/>
      <c r="AF263" s="4"/>
    </row>
    <row r="264" spans="1:32" ht="15.75" customHeight="1" x14ac:dyDescent="0.25">
      <c r="A264" s="5" t="s">
        <v>250</v>
      </c>
      <c r="B264" s="7" t="s">
        <v>84</v>
      </c>
      <c r="C264" s="7" t="s">
        <v>1103</v>
      </c>
      <c r="D264" s="7" t="s">
        <v>1097</v>
      </c>
      <c r="E264" s="5" t="s">
        <v>266</v>
      </c>
      <c r="F264" s="7">
        <v>1</v>
      </c>
      <c r="G264" s="7">
        <v>0</v>
      </c>
      <c r="H264" s="7">
        <v>1</v>
      </c>
      <c r="I264" s="7">
        <v>0</v>
      </c>
      <c r="J264" s="7">
        <v>1</v>
      </c>
      <c r="K264" s="7">
        <v>0</v>
      </c>
      <c r="L264" s="7">
        <v>1</v>
      </c>
      <c r="M264" s="7">
        <v>1</v>
      </c>
      <c r="N264" s="7">
        <f t="shared" si="43"/>
        <v>5</v>
      </c>
      <c r="O264" s="8">
        <f t="shared" si="44"/>
        <v>0.625</v>
      </c>
      <c r="P264" s="8" t="str">
        <f t="shared" si="37"/>
        <v>INTERMEDIÁRIO</v>
      </c>
      <c r="Q264" s="7">
        <v>1</v>
      </c>
      <c r="R264" s="7">
        <v>1</v>
      </c>
      <c r="S264" s="7">
        <v>0</v>
      </c>
      <c r="T264" s="7">
        <v>1</v>
      </c>
      <c r="U264" s="7">
        <v>1</v>
      </c>
      <c r="V264" s="7">
        <v>0</v>
      </c>
      <c r="W264" s="7">
        <v>0</v>
      </c>
      <c r="X264" s="7">
        <v>1</v>
      </c>
      <c r="Y264" s="7">
        <f t="shared" si="38"/>
        <v>5</v>
      </c>
      <c r="Z264" s="8">
        <f t="shared" si="39"/>
        <v>0.625</v>
      </c>
      <c r="AA264" s="14" t="str">
        <f t="shared" si="40"/>
        <v>INTERMEDIÁRIO</v>
      </c>
      <c r="AB264" s="15">
        <f t="shared" si="41"/>
        <v>10</v>
      </c>
      <c r="AC264" s="8">
        <f t="shared" si="42"/>
        <v>0.625</v>
      </c>
      <c r="AD264" s="4"/>
      <c r="AE264" s="4"/>
      <c r="AF264" s="4"/>
    </row>
    <row r="265" spans="1:32" ht="15.75" customHeight="1" x14ac:dyDescent="0.25">
      <c r="A265" s="5" t="s">
        <v>250</v>
      </c>
      <c r="B265" s="7" t="s">
        <v>84</v>
      </c>
      <c r="C265" s="7" t="s">
        <v>1099</v>
      </c>
      <c r="D265" s="7" t="s">
        <v>1100</v>
      </c>
      <c r="E265" s="5" t="s">
        <v>267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f t="shared" si="43"/>
        <v>0</v>
      </c>
      <c r="O265" s="8">
        <f t="shared" si="44"/>
        <v>0</v>
      </c>
      <c r="P265" s="8" t="str">
        <f t="shared" si="37"/>
        <v>DEFASAGEM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f t="shared" si="38"/>
        <v>0</v>
      </c>
      <c r="Z265" s="8">
        <f t="shared" si="39"/>
        <v>0</v>
      </c>
      <c r="AA265" s="14" t="str">
        <f t="shared" si="40"/>
        <v>DEFASAGEM</v>
      </c>
      <c r="AB265" s="15">
        <f t="shared" si="41"/>
        <v>0</v>
      </c>
      <c r="AC265" s="8">
        <f t="shared" si="42"/>
        <v>0</v>
      </c>
      <c r="AD265" s="4"/>
      <c r="AE265" s="4"/>
      <c r="AF265" s="4"/>
    </row>
    <row r="266" spans="1:32" ht="15.75" customHeight="1" x14ac:dyDescent="0.25">
      <c r="A266" s="5" t="s">
        <v>250</v>
      </c>
      <c r="B266" s="7" t="s">
        <v>84</v>
      </c>
      <c r="C266" s="7" t="s">
        <v>1103</v>
      </c>
      <c r="D266" s="7" t="s">
        <v>1097</v>
      </c>
      <c r="E266" s="5" t="s">
        <v>268</v>
      </c>
      <c r="F266" s="7">
        <v>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f t="shared" si="43"/>
        <v>8</v>
      </c>
      <c r="O266" s="8">
        <f t="shared" si="44"/>
        <v>1</v>
      </c>
      <c r="P266" s="8" t="str">
        <f t="shared" si="37"/>
        <v>ADEQUADA</v>
      </c>
      <c r="Q266" s="7">
        <v>1</v>
      </c>
      <c r="R266" s="7">
        <v>1</v>
      </c>
      <c r="S266" s="7">
        <v>1</v>
      </c>
      <c r="T266" s="7">
        <v>1</v>
      </c>
      <c r="U266" s="7">
        <v>1</v>
      </c>
      <c r="V266" s="7">
        <v>0</v>
      </c>
      <c r="W266" s="7">
        <v>1</v>
      </c>
      <c r="X266" s="7">
        <v>1</v>
      </c>
      <c r="Y266" s="7">
        <f t="shared" si="38"/>
        <v>7</v>
      </c>
      <c r="Z266" s="8">
        <f t="shared" si="39"/>
        <v>0.875</v>
      </c>
      <c r="AA266" s="14" t="str">
        <f t="shared" si="40"/>
        <v>ADEQUADA</v>
      </c>
      <c r="AB266" s="15">
        <f t="shared" si="41"/>
        <v>15</v>
      </c>
      <c r="AC266" s="8">
        <f t="shared" si="42"/>
        <v>0.9375</v>
      </c>
      <c r="AD266" s="4"/>
      <c r="AE266" s="4"/>
      <c r="AF266" s="4"/>
    </row>
    <row r="267" spans="1:32" ht="15.75" customHeight="1" x14ac:dyDescent="0.25">
      <c r="A267" s="5" t="s">
        <v>250</v>
      </c>
      <c r="B267" s="7" t="s">
        <v>118</v>
      </c>
      <c r="C267" s="7" t="s">
        <v>1103</v>
      </c>
      <c r="D267" s="7" t="s">
        <v>1097</v>
      </c>
      <c r="E267" s="5" t="s">
        <v>269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0</v>
      </c>
      <c r="M267" s="7">
        <v>1</v>
      </c>
      <c r="N267" s="7">
        <f t="shared" si="43"/>
        <v>7</v>
      </c>
      <c r="O267" s="8">
        <f t="shared" si="44"/>
        <v>0.875</v>
      </c>
      <c r="P267" s="8" t="str">
        <f t="shared" si="37"/>
        <v>ADEQUADA</v>
      </c>
      <c r="Q267" s="7">
        <v>0</v>
      </c>
      <c r="R267" s="7">
        <v>1</v>
      </c>
      <c r="S267" s="7">
        <v>1</v>
      </c>
      <c r="T267" s="7">
        <v>1</v>
      </c>
      <c r="U267" s="7">
        <v>1</v>
      </c>
      <c r="V267" s="7">
        <v>1</v>
      </c>
      <c r="W267" s="7">
        <v>0</v>
      </c>
      <c r="X267" s="7">
        <v>0</v>
      </c>
      <c r="Y267" s="7">
        <f t="shared" si="38"/>
        <v>5</v>
      </c>
      <c r="Z267" s="8">
        <f t="shared" si="39"/>
        <v>0.625</v>
      </c>
      <c r="AA267" s="14" t="str">
        <f t="shared" si="40"/>
        <v>INTERMEDIÁRIO</v>
      </c>
      <c r="AB267" s="15">
        <f t="shared" si="41"/>
        <v>12</v>
      </c>
      <c r="AC267" s="8">
        <f t="shared" si="42"/>
        <v>0.75</v>
      </c>
      <c r="AD267" s="4"/>
      <c r="AE267" s="4"/>
      <c r="AF267" s="4"/>
    </row>
    <row r="268" spans="1:32" ht="15.75" customHeight="1" x14ac:dyDescent="0.25">
      <c r="A268" s="5" t="s">
        <v>250</v>
      </c>
      <c r="B268" s="7" t="s">
        <v>118</v>
      </c>
      <c r="C268" s="7" t="s">
        <v>1103</v>
      </c>
      <c r="D268" s="7" t="s">
        <v>1097</v>
      </c>
      <c r="E268" s="5" t="s">
        <v>270</v>
      </c>
      <c r="F268" s="7">
        <v>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1</v>
      </c>
      <c r="N268" s="7">
        <f t="shared" si="43"/>
        <v>8</v>
      </c>
      <c r="O268" s="8">
        <f t="shared" si="44"/>
        <v>1</v>
      </c>
      <c r="P268" s="8" t="str">
        <f t="shared" si="37"/>
        <v>ADEQUADA</v>
      </c>
      <c r="Q268" s="7">
        <v>1</v>
      </c>
      <c r="R268" s="7">
        <v>1</v>
      </c>
      <c r="S268" s="7">
        <v>1</v>
      </c>
      <c r="T268" s="7">
        <v>1</v>
      </c>
      <c r="U268" s="7">
        <v>0</v>
      </c>
      <c r="V268" s="7">
        <v>1</v>
      </c>
      <c r="W268" s="7">
        <v>1</v>
      </c>
      <c r="X268" s="7">
        <v>1</v>
      </c>
      <c r="Y268" s="7">
        <f t="shared" si="38"/>
        <v>7</v>
      </c>
      <c r="Z268" s="8">
        <f t="shared" si="39"/>
        <v>0.875</v>
      </c>
      <c r="AA268" s="14" t="str">
        <f t="shared" si="40"/>
        <v>ADEQUADA</v>
      </c>
      <c r="AB268" s="15">
        <f t="shared" si="41"/>
        <v>15</v>
      </c>
      <c r="AC268" s="8">
        <f t="shared" si="42"/>
        <v>0.9375</v>
      </c>
      <c r="AD268" s="4"/>
      <c r="AE268" s="4"/>
      <c r="AF268" s="4"/>
    </row>
    <row r="269" spans="1:32" ht="15.75" customHeight="1" x14ac:dyDescent="0.25">
      <c r="A269" s="5" t="s">
        <v>250</v>
      </c>
      <c r="B269" s="7" t="s">
        <v>118</v>
      </c>
      <c r="C269" s="7" t="s">
        <v>1104</v>
      </c>
      <c r="D269" s="7" t="s">
        <v>1097</v>
      </c>
      <c r="E269" s="5" t="s">
        <v>271</v>
      </c>
      <c r="F269" s="7">
        <v>0</v>
      </c>
      <c r="G269" s="7">
        <v>1</v>
      </c>
      <c r="H269" s="7">
        <v>1</v>
      </c>
      <c r="I269" s="7">
        <v>0</v>
      </c>
      <c r="J269" s="7">
        <v>1</v>
      </c>
      <c r="K269" s="7">
        <v>1</v>
      </c>
      <c r="L269" s="7">
        <v>1</v>
      </c>
      <c r="M269" s="7">
        <v>1</v>
      </c>
      <c r="N269" s="7">
        <f t="shared" si="43"/>
        <v>6</v>
      </c>
      <c r="O269" s="8">
        <f t="shared" si="44"/>
        <v>0.75</v>
      </c>
      <c r="P269" s="8" t="str">
        <f t="shared" si="37"/>
        <v>ADEQUADA</v>
      </c>
      <c r="Q269" s="7">
        <v>1</v>
      </c>
      <c r="R269" s="7">
        <v>1</v>
      </c>
      <c r="S269" s="7">
        <v>1</v>
      </c>
      <c r="T269" s="7">
        <v>1</v>
      </c>
      <c r="U269" s="7">
        <v>1</v>
      </c>
      <c r="V269" s="7">
        <v>1</v>
      </c>
      <c r="W269" s="7">
        <v>0</v>
      </c>
      <c r="X269" s="7">
        <v>1</v>
      </c>
      <c r="Y269" s="7">
        <f t="shared" si="38"/>
        <v>7</v>
      </c>
      <c r="Z269" s="8">
        <f t="shared" si="39"/>
        <v>0.875</v>
      </c>
      <c r="AA269" s="14" t="str">
        <f t="shared" si="40"/>
        <v>ADEQUADA</v>
      </c>
      <c r="AB269" s="15">
        <f t="shared" si="41"/>
        <v>13</v>
      </c>
      <c r="AC269" s="8">
        <f t="shared" si="42"/>
        <v>0.8125</v>
      </c>
      <c r="AD269" s="4"/>
      <c r="AE269" s="4"/>
      <c r="AF269" s="4"/>
    </row>
    <row r="270" spans="1:32" ht="15.75" customHeight="1" x14ac:dyDescent="0.25">
      <c r="A270" s="5" t="s">
        <v>250</v>
      </c>
      <c r="B270" s="7" t="s">
        <v>118</v>
      </c>
      <c r="C270" s="7" t="s">
        <v>1099</v>
      </c>
      <c r="D270" s="7" t="s">
        <v>1100</v>
      </c>
      <c r="E270" s="5" t="s">
        <v>1139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f t="shared" si="43"/>
        <v>0</v>
      </c>
      <c r="O270" s="8">
        <f t="shared" si="44"/>
        <v>0</v>
      </c>
      <c r="P270" s="8" t="str">
        <f t="shared" si="37"/>
        <v>DEFASAGEM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f t="shared" si="38"/>
        <v>0</v>
      </c>
      <c r="Z270" s="8">
        <f t="shared" si="39"/>
        <v>0</v>
      </c>
      <c r="AA270" s="14" t="str">
        <f t="shared" si="40"/>
        <v>DEFASAGEM</v>
      </c>
      <c r="AB270" s="15">
        <f t="shared" si="41"/>
        <v>0</v>
      </c>
      <c r="AC270" s="8">
        <f t="shared" si="42"/>
        <v>0</v>
      </c>
      <c r="AD270" s="4"/>
      <c r="AE270" s="4"/>
      <c r="AF270" s="4"/>
    </row>
    <row r="271" spans="1:32" ht="15.75" customHeight="1" x14ac:dyDescent="0.25">
      <c r="A271" s="5" t="s">
        <v>250</v>
      </c>
      <c r="B271" s="7" t="s">
        <v>118</v>
      </c>
      <c r="C271" s="7" t="s">
        <v>1103</v>
      </c>
      <c r="D271" s="7" t="s">
        <v>1097</v>
      </c>
      <c r="E271" s="5" t="s">
        <v>272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f t="shared" si="43"/>
        <v>8</v>
      </c>
      <c r="O271" s="8">
        <f t="shared" si="44"/>
        <v>1</v>
      </c>
      <c r="P271" s="8" t="str">
        <f t="shared" si="37"/>
        <v>ADEQUADA</v>
      </c>
      <c r="Q271" s="7">
        <v>1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1</v>
      </c>
      <c r="Y271" s="7">
        <f t="shared" si="38"/>
        <v>8</v>
      </c>
      <c r="Z271" s="8">
        <f t="shared" si="39"/>
        <v>1</v>
      </c>
      <c r="AA271" s="14" t="str">
        <f t="shared" si="40"/>
        <v>ADEQUADA</v>
      </c>
      <c r="AB271" s="15">
        <f t="shared" si="41"/>
        <v>16</v>
      </c>
      <c r="AC271" s="8">
        <f t="shared" si="42"/>
        <v>1</v>
      </c>
      <c r="AD271" s="4"/>
      <c r="AE271" s="4"/>
      <c r="AF271" s="4"/>
    </row>
    <row r="272" spans="1:32" ht="15.75" customHeight="1" x14ac:dyDescent="0.25">
      <c r="A272" s="5" t="s">
        <v>250</v>
      </c>
      <c r="B272" s="7" t="s">
        <v>118</v>
      </c>
      <c r="C272" s="7" t="s">
        <v>1103</v>
      </c>
      <c r="D272" s="7" t="s">
        <v>1097</v>
      </c>
      <c r="E272" s="5" t="s">
        <v>273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1</v>
      </c>
      <c r="N272" s="7">
        <f t="shared" si="43"/>
        <v>8</v>
      </c>
      <c r="O272" s="8">
        <f t="shared" si="44"/>
        <v>1</v>
      </c>
      <c r="P272" s="8" t="str">
        <f t="shared" si="37"/>
        <v>ADEQUADA</v>
      </c>
      <c r="Q272" s="7">
        <v>1</v>
      </c>
      <c r="R272" s="7">
        <v>1</v>
      </c>
      <c r="S272" s="7">
        <v>1</v>
      </c>
      <c r="T272" s="7">
        <v>1</v>
      </c>
      <c r="U272" s="7">
        <v>1</v>
      </c>
      <c r="V272" s="7">
        <v>1</v>
      </c>
      <c r="W272" s="7">
        <v>0</v>
      </c>
      <c r="X272" s="7">
        <v>1</v>
      </c>
      <c r="Y272" s="7">
        <f t="shared" si="38"/>
        <v>7</v>
      </c>
      <c r="Z272" s="8">
        <f t="shared" si="39"/>
        <v>0.875</v>
      </c>
      <c r="AA272" s="14" t="str">
        <f t="shared" si="40"/>
        <v>ADEQUADA</v>
      </c>
      <c r="AB272" s="15">
        <f t="shared" si="41"/>
        <v>15</v>
      </c>
      <c r="AC272" s="8">
        <f t="shared" si="42"/>
        <v>0.9375</v>
      </c>
      <c r="AD272" s="4"/>
      <c r="AE272" s="4"/>
      <c r="AF272" s="4"/>
    </row>
    <row r="273" spans="1:32" ht="15.75" customHeight="1" x14ac:dyDescent="0.25">
      <c r="A273" s="5" t="s">
        <v>250</v>
      </c>
      <c r="B273" s="7" t="s">
        <v>118</v>
      </c>
      <c r="C273" s="7" t="s">
        <v>1104</v>
      </c>
      <c r="D273" s="7" t="s">
        <v>1097</v>
      </c>
      <c r="E273" s="5" t="s">
        <v>274</v>
      </c>
      <c r="F273" s="7">
        <v>1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f t="shared" si="43"/>
        <v>8</v>
      </c>
      <c r="O273" s="8">
        <f t="shared" si="44"/>
        <v>1</v>
      </c>
      <c r="P273" s="8" t="str">
        <f t="shared" ref="P273:P310" si="45">IF(O273&lt;0.4,"DEFASAGEM",IF(O273&lt;0.7,"INTERMEDIÁRIO","ADEQUADA"))</f>
        <v>ADEQUADA</v>
      </c>
      <c r="Q273" s="7">
        <v>1</v>
      </c>
      <c r="R273" s="7">
        <v>1</v>
      </c>
      <c r="S273" s="7">
        <v>0</v>
      </c>
      <c r="T273" s="7">
        <v>1</v>
      </c>
      <c r="U273" s="7">
        <v>1</v>
      </c>
      <c r="V273" s="7">
        <v>0</v>
      </c>
      <c r="W273" s="7">
        <v>0</v>
      </c>
      <c r="X273" s="7">
        <v>1</v>
      </c>
      <c r="Y273" s="7">
        <f t="shared" ref="Y273:Y310" si="46">SUM(Q273:X273)</f>
        <v>5</v>
      </c>
      <c r="Z273" s="8">
        <f t="shared" ref="Z273:Z310" si="47">((Y273*100)/8)/100</f>
        <v>0.625</v>
      </c>
      <c r="AA273" s="14" t="str">
        <f t="shared" ref="AA273:AA310" si="48">IF(Z273&lt;0.4,"DEFASAGEM",IF(Z273&lt;0.7,"INTERMEDIÁRIO","ADEQUADA"))</f>
        <v>INTERMEDIÁRIO</v>
      </c>
      <c r="AB273" s="15">
        <f t="shared" ref="AB273:AB310" si="49">SUM(F273:M273)+SUM(Q273:X273)</f>
        <v>13</v>
      </c>
      <c r="AC273" s="8">
        <f t="shared" ref="AC273:AC310" si="50">((AB273*100)/16)/100</f>
        <v>0.8125</v>
      </c>
      <c r="AD273" s="4"/>
      <c r="AE273" s="4"/>
      <c r="AF273" s="4"/>
    </row>
    <row r="274" spans="1:32" ht="15.75" customHeight="1" x14ac:dyDescent="0.25">
      <c r="A274" s="5" t="s">
        <v>250</v>
      </c>
      <c r="B274" s="7" t="s">
        <v>118</v>
      </c>
      <c r="C274" s="7" t="s">
        <v>1104</v>
      </c>
      <c r="D274" s="7" t="s">
        <v>1097</v>
      </c>
      <c r="E274" s="5" t="s">
        <v>275</v>
      </c>
      <c r="F274" s="7">
        <v>1</v>
      </c>
      <c r="G274" s="7">
        <v>0</v>
      </c>
      <c r="H274" s="7">
        <v>1</v>
      </c>
      <c r="I274" s="7">
        <v>1</v>
      </c>
      <c r="J274" s="7">
        <v>0</v>
      </c>
      <c r="K274" s="7">
        <v>1</v>
      </c>
      <c r="L274" s="7">
        <v>1</v>
      </c>
      <c r="M274" s="7">
        <v>1</v>
      </c>
      <c r="N274" s="7">
        <f t="shared" si="43"/>
        <v>6</v>
      </c>
      <c r="O274" s="8">
        <f t="shared" si="44"/>
        <v>0.75</v>
      </c>
      <c r="P274" s="8" t="str">
        <f t="shared" si="45"/>
        <v>ADEQUADA</v>
      </c>
      <c r="Q274" s="7">
        <v>0</v>
      </c>
      <c r="R274" s="7">
        <v>0</v>
      </c>
      <c r="S274" s="7">
        <v>0</v>
      </c>
      <c r="T274" s="7">
        <v>0</v>
      </c>
      <c r="U274" s="7">
        <v>1</v>
      </c>
      <c r="V274" s="7">
        <v>1</v>
      </c>
      <c r="W274" s="7">
        <v>0</v>
      </c>
      <c r="X274" s="7">
        <v>0</v>
      </c>
      <c r="Y274" s="7">
        <f t="shared" si="46"/>
        <v>2</v>
      </c>
      <c r="Z274" s="8">
        <f t="shared" si="47"/>
        <v>0.25</v>
      </c>
      <c r="AA274" s="14" t="str">
        <f t="shared" si="48"/>
        <v>DEFASAGEM</v>
      </c>
      <c r="AB274" s="15">
        <f t="shared" si="49"/>
        <v>8</v>
      </c>
      <c r="AC274" s="8">
        <f t="shared" si="50"/>
        <v>0.5</v>
      </c>
      <c r="AD274" s="4"/>
      <c r="AE274" s="4"/>
      <c r="AF274" s="4"/>
    </row>
    <row r="275" spans="1:32" ht="15.75" customHeight="1" x14ac:dyDescent="0.25">
      <c r="A275" s="5" t="s">
        <v>250</v>
      </c>
      <c r="B275" s="7" t="s">
        <v>118</v>
      </c>
      <c r="C275" s="7" t="s">
        <v>1103</v>
      </c>
      <c r="D275" s="7" t="s">
        <v>1097</v>
      </c>
      <c r="E275" s="5" t="s">
        <v>276</v>
      </c>
      <c r="F275" s="7">
        <v>1</v>
      </c>
      <c r="G275" s="7">
        <v>1</v>
      </c>
      <c r="H275" s="7">
        <v>1</v>
      </c>
      <c r="I275" s="7">
        <v>1</v>
      </c>
      <c r="J275" s="7">
        <v>1</v>
      </c>
      <c r="K275" s="7">
        <v>0</v>
      </c>
      <c r="L275" s="7">
        <v>1</v>
      </c>
      <c r="M275" s="7">
        <v>1</v>
      </c>
      <c r="N275" s="7">
        <f t="shared" si="43"/>
        <v>7</v>
      </c>
      <c r="O275" s="8">
        <f t="shared" si="44"/>
        <v>0.875</v>
      </c>
      <c r="P275" s="8" t="str">
        <f t="shared" si="45"/>
        <v>ADEQUADA</v>
      </c>
      <c r="Q275" s="7">
        <v>1</v>
      </c>
      <c r="R275" s="7">
        <v>1</v>
      </c>
      <c r="S275" s="7">
        <v>1</v>
      </c>
      <c r="T275" s="7">
        <v>1</v>
      </c>
      <c r="U275" s="7">
        <v>1</v>
      </c>
      <c r="V275" s="7">
        <v>1</v>
      </c>
      <c r="W275" s="7">
        <v>0</v>
      </c>
      <c r="X275" s="7">
        <v>1</v>
      </c>
      <c r="Y275" s="7">
        <f t="shared" si="46"/>
        <v>7</v>
      </c>
      <c r="Z275" s="8">
        <f t="shared" si="47"/>
        <v>0.875</v>
      </c>
      <c r="AA275" s="14" t="str">
        <f t="shared" si="48"/>
        <v>ADEQUADA</v>
      </c>
      <c r="AB275" s="15">
        <f t="shared" si="49"/>
        <v>14</v>
      </c>
      <c r="AC275" s="8">
        <f t="shared" si="50"/>
        <v>0.875</v>
      </c>
      <c r="AD275" s="4"/>
      <c r="AE275" s="4"/>
      <c r="AF275" s="4"/>
    </row>
    <row r="276" spans="1:32" ht="15.75" customHeight="1" x14ac:dyDescent="0.25">
      <c r="A276" s="5" t="s">
        <v>250</v>
      </c>
      <c r="B276" s="7" t="s">
        <v>118</v>
      </c>
      <c r="C276" s="7" t="s">
        <v>1103</v>
      </c>
      <c r="D276" s="7" t="s">
        <v>1097</v>
      </c>
      <c r="E276" s="5" t="s">
        <v>277</v>
      </c>
      <c r="F276" s="7">
        <v>1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f t="shared" si="43"/>
        <v>8</v>
      </c>
      <c r="O276" s="8">
        <f t="shared" si="44"/>
        <v>1</v>
      </c>
      <c r="P276" s="8" t="str">
        <f t="shared" si="45"/>
        <v>ADEQUADA</v>
      </c>
      <c r="Q276" s="7">
        <v>1</v>
      </c>
      <c r="R276" s="7">
        <v>1</v>
      </c>
      <c r="S276" s="7">
        <v>1</v>
      </c>
      <c r="T276" s="7">
        <v>1</v>
      </c>
      <c r="U276" s="7">
        <v>1</v>
      </c>
      <c r="V276" s="7">
        <v>1</v>
      </c>
      <c r="W276" s="7">
        <v>1</v>
      </c>
      <c r="X276" s="7">
        <v>1</v>
      </c>
      <c r="Y276" s="7">
        <f t="shared" si="46"/>
        <v>8</v>
      </c>
      <c r="Z276" s="8">
        <f t="shared" si="47"/>
        <v>1</v>
      </c>
      <c r="AA276" s="14" t="str">
        <f t="shared" si="48"/>
        <v>ADEQUADA</v>
      </c>
      <c r="AB276" s="15">
        <f t="shared" si="49"/>
        <v>16</v>
      </c>
      <c r="AC276" s="8">
        <f t="shared" si="50"/>
        <v>1</v>
      </c>
      <c r="AD276" s="4"/>
      <c r="AE276" s="4"/>
      <c r="AF276" s="4"/>
    </row>
    <row r="277" spans="1:32" ht="15.75" customHeight="1" x14ac:dyDescent="0.25">
      <c r="A277" s="5" t="s">
        <v>250</v>
      </c>
      <c r="B277" s="7" t="s">
        <v>118</v>
      </c>
      <c r="C277" s="7" t="s">
        <v>1104</v>
      </c>
      <c r="D277" s="7" t="s">
        <v>1097</v>
      </c>
      <c r="E277" s="5" t="s">
        <v>278</v>
      </c>
      <c r="F277" s="7">
        <v>1</v>
      </c>
      <c r="G277" s="7">
        <v>0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f t="shared" ref="N277:N310" si="51">SUM(F277:M277)</f>
        <v>7</v>
      </c>
      <c r="O277" s="8">
        <f t="shared" ref="O277:O310" si="52">((N277*100)/8)/100</f>
        <v>0.875</v>
      </c>
      <c r="P277" s="8" t="str">
        <f t="shared" si="45"/>
        <v>ADEQUADA</v>
      </c>
      <c r="Q277" s="7">
        <v>1</v>
      </c>
      <c r="R277" s="7">
        <v>1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1</v>
      </c>
      <c r="Y277" s="7">
        <f t="shared" si="46"/>
        <v>8</v>
      </c>
      <c r="Z277" s="8">
        <f t="shared" si="47"/>
        <v>1</v>
      </c>
      <c r="AA277" s="14" t="str">
        <f t="shared" si="48"/>
        <v>ADEQUADA</v>
      </c>
      <c r="AB277" s="15">
        <f t="shared" si="49"/>
        <v>15</v>
      </c>
      <c r="AC277" s="8">
        <f t="shared" si="50"/>
        <v>0.9375</v>
      </c>
      <c r="AD277" s="4"/>
      <c r="AE277" s="4"/>
      <c r="AF277" s="4"/>
    </row>
    <row r="278" spans="1:32" ht="15.75" customHeight="1" x14ac:dyDescent="0.25">
      <c r="A278" s="5" t="s">
        <v>250</v>
      </c>
      <c r="B278" s="7" t="s">
        <v>118</v>
      </c>
      <c r="C278" s="7" t="s">
        <v>1103</v>
      </c>
      <c r="D278" s="7" t="s">
        <v>1097</v>
      </c>
      <c r="E278" s="5" t="s">
        <v>279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f t="shared" si="51"/>
        <v>8</v>
      </c>
      <c r="O278" s="8">
        <f t="shared" si="52"/>
        <v>1</v>
      </c>
      <c r="P278" s="8" t="str">
        <f t="shared" si="45"/>
        <v>ADEQUADA</v>
      </c>
      <c r="Q278" s="7">
        <v>1</v>
      </c>
      <c r="R278" s="7">
        <v>1</v>
      </c>
      <c r="S278" s="7">
        <v>0</v>
      </c>
      <c r="T278" s="7">
        <v>1</v>
      </c>
      <c r="U278" s="7">
        <v>1</v>
      </c>
      <c r="V278" s="7">
        <v>1</v>
      </c>
      <c r="W278" s="7">
        <v>1</v>
      </c>
      <c r="X278" s="7">
        <v>1</v>
      </c>
      <c r="Y278" s="7">
        <f t="shared" si="46"/>
        <v>7</v>
      </c>
      <c r="Z278" s="8">
        <f t="shared" si="47"/>
        <v>0.875</v>
      </c>
      <c r="AA278" s="14" t="str">
        <f t="shared" si="48"/>
        <v>ADEQUADA</v>
      </c>
      <c r="AB278" s="15">
        <f t="shared" si="49"/>
        <v>15</v>
      </c>
      <c r="AC278" s="8">
        <f t="shared" si="50"/>
        <v>0.9375</v>
      </c>
      <c r="AD278" s="4"/>
      <c r="AE278" s="4"/>
      <c r="AF278" s="4"/>
    </row>
    <row r="279" spans="1:32" ht="15.75" customHeight="1" x14ac:dyDescent="0.25">
      <c r="A279" s="5" t="s">
        <v>250</v>
      </c>
      <c r="B279" s="7" t="s">
        <v>118</v>
      </c>
      <c r="C279" s="7" t="s">
        <v>1103</v>
      </c>
      <c r="D279" s="7" t="s">
        <v>1097</v>
      </c>
      <c r="E279" s="5" t="s">
        <v>280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f t="shared" si="51"/>
        <v>8</v>
      </c>
      <c r="O279" s="8">
        <f t="shared" si="52"/>
        <v>1</v>
      </c>
      <c r="P279" s="8" t="str">
        <f t="shared" si="45"/>
        <v>ADEQUADA</v>
      </c>
      <c r="Q279" s="7">
        <v>1</v>
      </c>
      <c r="R279" s="7">
        <v>1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1</v>
      </c>
      <c r="Y279" s="7">
        <f t="shared" si="46"/>
        <v>8</v>
      </c>
      <c r="Z279" s="8">
        <f t="shared" si="47"/>
        <v>1</v>
      </c>
      <c r="AA279" s="14" t="str">
        <f t="shared" si="48"/>
        <v>ADEQUADA</v>
      </c>
      <c r="AB279" s="15">
        <f t="shared" si="49"/>
        <v>16</v>
      </c>
      <c r="AC279" s="8">
        <f t="shared" si="50"/>
        <v>1</v>
      </c>
      <c r="AD279" s="4"/>
      <c r="AE279" s="4"/>
      <c r="AF279" s="4"/>
    </row>
    <row r="280" spans="1:32" ht="15.75" customHeight="1" x14ac:dyDescent="0.25">
      <c r="A280" s="5" t="s">
        <v>250</v>
      </c>
      <c r="B280" s="7" t="s">
        <v>118</v>
      </c>
      <c r="C280" s="7" t="s">
        <v>1096</v>
      </c>
      <c r="D280" s="7" t="s">
        <v>1097</v>
      </c>
      <c r="E280" s="5" t="s">
        <v>281</v>
      </c>
      <c r="F280" s="7">
        <v>1</v>
      </c>
      <c r="G280" s="7">
        <v>0</v>
      </c>
      <c r="H280" s="7">
        <v>0</v>
      </c>
      <c r="I280" s="7">
        <v>1</v>
      </c>
      <c r="J280" s="7">
        <v>0</v>
      </c>
      <c r="K280" s="7">
        <v>1</v>
      </c>
      <c r="L280" s="7">
        <v>1</v>
      </c>
      <c r="M280" s="7">
        <v>1</v>
      </c>
      <c r="N280" s="7">
        <f t="shared" si="51"/>
        <v>5</v>
      </c>
      <c r="O280" s="8">
        <f t="shared" si="52"/>
        <v>0.625</v>
      </c>
      <c r="P280" s="8" t="str">
        <f t="shared" si="45"/>
        <v>INTERMEDIÁRIO</v>
      </c>
      <c r="Q280" s="7">
        <v>0</v>
      </c>
      <c r="R280" s="7">
        <v>1</v>
      </c>
      <c r="S280" s="7">
        <v>0</v>
      </c>
      <c r="T280" s="7">
        <v>1</v>
      </c>
      <c r="U280" s="7">
        <v>1</v>
      </c>
      <c r="V280" s="7">
        <v>1</v>
      </c>
      <c r="W280" s="7">
        <v>1</v>
      </c>
      <c r="X280" s="7">
        <v>0</v>
      </c>
      <c r="Y280" s="7">
        <f t="shared" si="46"/>
        <v>5</v>
      </c>
      <c r="Z280" s="8">
        <f t="shared" si="47"/>
        <v>0.625</v>
      </c>
      <c r="AA280" s="14" t="str">
        <f t="shared" si="48"/>
        <v>INTERMEDIÁRIO</v>
      </c>
      <c r="AB280" s="15">
        <f t="shared" si="49"/>
        <v>10</v>
      </c>
      <c r="AC280" s="8">
        <f t="shared" si="50"/>
        <v>0.625</v>
      </c>
      <c r="AD280" s="4"/>
      <c r="AE280" s="4"/>
      <c r="AF280" s="4"/>
    </row>
    <row r="281" spans="1:32" ht="15.75" customHeight="1" x14ac:dyDescent="0.25">
      <c r="A281" s="5" t="s">
        <v>250</v>
      </c>
      <c r="B281" s="7" t="s">
        <v>118</v>
      </c>
      <c r="C281" s="7" t="s">
        <v>1104</v>
      </c>
      <c r="D281" s="7" t="s">
        <v>1097</v>
      </c>
      <c r="E281" s="5" t="s">
        <v>282</v>
      </c>
      <c r="F281" s="7">
        <v>1</v>
      </c>
      <c r="G281" s="7">
        <v>0</v>
      </c>
      <c r="H281" s="7">
        <v>1</v>
      </c>
      <c r="I281" s="7">
        <v>0</v>
      </c>
      <c r="J281" s="7">
        <v>1</v>
      </c>
      <c r="K281" s="7">
        <v>1</v>
      </c>
      <c r="L281" s="7">
        <v>1</v>
      </c>
      <c r="M281" s="7">
        <v>1</v>
      </c>
      <c r="N281" s="7">
        <f t="shared" si="51"/>
        <v>6</v>
      </c>
      <c r="O281" s="8">
        <f t="shared" si="52"/>
        <v>0.75</v>
      </c>
      <c r="P281" s="8" t="str">
        <f t="shared" si="45"/>
        <v>ADEQUADA</v>
      </c>
      <c r="Q281" s="7">
        <v>1</v>
      </c>
      <c r="R281" s="7">
        <v>1</v>
      </c>
      <c r="S281" s="7">
        <v>0</v>
      </c>
      <c r="T281" s="7">
        <v>1</v>
      </c>
      <c r="U281" s="7">
        <v>1</v>
      </c>
      <c r="V281" s="7">
        <v>1</v>
      </c>
      <c r="W281" s="7">
        <v>0</v>
      </c>
      <c r="X281" s="7">
        <v>0</v>
      </c>
      <c r="Y281" s="7">
        <f t="shared" si="46"/>
        <v>5</v>
      </c>
      <c r="Z281" s="8">
        <f t="shared" si="47"/>
        <v>0.625</v>
      </c>
      <c r="AA281" s="14" t="str">
        <f t="shared" si="48"/>
        <v>INTERMEDIÁRIO</v>
      </c>
      <c r="AB281" s="15">
        <f t="shared" si="49"/>
        <v>11</v>
      </c>
      <c r="AC281" s="8">
        <f t="shared" si="50"/>
        <v>0.6875</v>
      </c>
      <c r="AD281" s="4"/>
      <c r="AE281" s="4"/>
      <c r="AF281" s="4"/>
    </row>
    <row r="282" spans="1:32" ht="15.75" customHeight="1" x14ac:dyDescent="0.25">
      <c r="A282" s="5" t="s">
        <v>250</v>
      </c>
      <c r="B282" s="7" t="s">
        <v>118</v>
      </c>
      <c r="C282" s="7" t="s">
        <v>1104</v>
      </c>
      <c r="D282" s="7" t="s">
        <v>1097</v>
      </c>
      <c r="E282" s="5" t="s">
        <v>283</v>
      </c>
      <c r="F282" s="7">
        <v>1</v>
      </c>
      <c r="G282" s="7">
        <v>1</v>
      </c>
      <c r="H282" s="7">
        <v>1</v>
      </c>
      <c r="I282" s="7">
        <v>0</v>
      </c>
      <c r="J282" s="7">
        <v>0</v>
      </c>
      <c r="K282" s="7">
        <v>1</v>
      </c>
      <c r="L282" s="7">
        <v>1</v>
      </c>
      <c r="M282" s="7">
        <v>1</v>
      </c>
      <c r="N282" s="7">
        <f t="shared" si="51"/>
        <v>6</v>
      </c>
      <c r="O282" s="8">
        <f t="shared" si="52"/>
        <v>0.75</v>
      </c>
      <c r="P282" s="8" t="str">
        <f t="shared" si="45"/>
        <v>ADEQUADA</v>
      </c>
      <c r="Q282" s="7">
        <v>1</v>
      </c>
      <c r="R282" s="7">
        <v>1</v>
      </c>
      <c r="S282" s="7">
        <v>0</v>
      </c>
      <c r="T282" s="7">
        <v>1</v>
      </c>
      <c r="U282" s="7">
        <v>1</v>
      </c>
      <c r="V282" s="7">
        <v>1</v>
      </c>
      <c r="W282" s="7">
        <v>0</v>
      </c>
      <c r="X282" s="7">
        <v>1</v>
      </c>
      <c r="Y282" s="7">
        <f t="shared" si="46"/>
        <v>6</v>
      </c>
      <c r="Z282" s="8">
        <f t="shared" si="47"/>
        <v>0.75</v>
      </c>
      <c r="AA282" s="14" t="str">
        <f t="shared" si="48"/>
        <v>ADEQUADA</v>
      </c>
      <c r="AB282" s="15">
        <f t="shared" si="49"/>
        <v>12</v>
      </c>
      <c r="AC282" s="8">
        <f t="shared" si="50"/>
        <v>0.75</v>
      </c>
      <c r="AD282" s="4"/>
      <c r="AE282" s="4"/>
      <c r="AF282" s="4"/>
    </row>
    <row r="283" spans="1:32" ht="15.75" customHeight="1" x14ac:dyDescent="0.25">
      <c r="A283" s="5" t="s">
        <v>250</v>
      </c>
      <c r="B283" s="7" t="s">
        <v>118</v>
      </c>
      <c r="C283" s="7" t="s">
        <v>1096</v>
      </c>
      <c r="D283" s="7" t="s">
        <v>1097</v>
      </c>
      <c r="E283" s="5" t="s">
        <v>1140</v>
      </c>
      <c r="F283" s="7">
        <v>1</v>
      </c>
      <c r="G283" s="7">
        <v>1</v>
      </c>
      <c r="H283" s="7">
        <v>1</v>
      </c>
      <c r="I283" s="7">
        <v>0</v>
      </c>
      <c r="J283" s="7">
        <v>1</v>
      </c>
      <c r="K283" s="7">
        <v>1</v>
      </c>
      <c r="L283" s="7">
        <v>1</v>
      </c>
      <c r="M283" s="7">
        <v>1</v>
      </c>
      <c r="N283" s="7">
        <f t="shared" si="51"/>
        <v>7</v>
      </c>
      <c r="O283" s="8">
        <f t="shared" si="52"/>
        <v>0.875</v>
      </c>
      <c r="P283" s="8" t="str">
        <f t="shared" si="45"/>
        <v>ADEQUADA</v>
      </c>
      <c r="Q283" s="7">
        <v>1</v>
      </c>
      <c r="R283" s="7">
        <v>1</v>
      </c>
      <c r="S283" s="7">
        <v>0</v>
      </c>
      <c r="T283" s="7">
        <v>1</v>
      </c>
      <c r="U283" s="7">
        <v>1</v>
      </c>
      <c r="V283" s="7">
        <v>0</v>
      </c>
      <c r="W283" s="7">
        <v>0</v>
      </c>
      <c r="X283" s="7">
        <v>1</v>
      </c>
      <c r="Y283" s="7">
        <f t="shared" si="46"/>
        <v>5</v>
      </c>
      <c r="Z283" s="8">
        <f t="shared" si="47"/>
        <v>0.625</v>
      </c>
      <c r="AA283" s="14" t="str">
        <f t="shared" si="48"/>
        <v>INTERMEDIÁRIO</v>
      </c>
      <c r="AB283" s="15">
        <f t="shared" si="49"/>
        <v>12</v>
      </c>
      <c r="AC283" s="8">
        <f t="shared" si="50"/>
        <v>0.75</v>
      </c>
      <c r="AD283" s="4"/>
      <c r="AE283" s="4"/>
      <c r="AF283" s="4"/>
    </row>
    <row r="284" spans="1:32" ht="15.75" customHeight="1" x14ac:dyDescent="0.25">
      <c r="A284" s="5" t="s">
        <v>250</v>
      </c>
      <c r="B284" s="7" t="s">
        <v>118</v>
      </c>
      <c r="C284" s="7" t="s">
        <v>1103</v>
      </c>
      <c r="D284" s="7" t="s">
        <v>1097</v>
      </c>
      <c r="E284" s="5" t="s">
        <v>284</v>
      </c>
      <c r="F284" s="7">
        <v>1</v>
      </c>
      <c r="G284" s="7">
        <v>1</v>
      </c>
      <c r="H284" s="7">
        <v>1</v>
      </c>
      <c r="I284" s="7">
        <v>1</v>
      </c>
      <c r="J284" s="7">
        <v>1</v>
      </c>
      <c r="K284" s="7">
        <v>1</v>
      </c>
      <c r="L284" s="7">
        <v>1</v>
      </c>
      <c r="M284" s="7">
        <v>1</v>
      </c>
      <c r="N284" s="7">
        <f t="shared" si="51"/>
        <v>8</v>
      </c>
      <c r="O284" s="8">
        <f t="shared" si="52"/>
        <v>1</v>
      </c>
      <c r="P284" s="8" t="str">
        <f t="shared" si="45"/>
        <v>ADEQUADA</v>
      </c>
      <c r="Q284" s="7">
        <v>1</v>
      </c>
      <c r="R284" s="7">
        <v>1</v>
      </c>
      <c r="S284" s="7">
        <v>1</v>
      </c>
      <c r="T284" s="7">
        <v>1</v>
      </c>
      <c r="U284" s="7">
        <v>1</v>
      </c>
      <c r="V284" s="7">
        <v>1</v>
      </c>
      <c r="W284" s="7">
        <v>1</v>
      </c>
      <c r="X284" s="7">
        <v>1</v>
      </c>
      <c r="Y284" s="7">
        <f t="shared" si="46"/>
        <v>8</v>
      </c>
      <c r="Z284" s="8">
        <f t="shared" si="47"/>
        <v>1</v>
      </c>
      <c r="AA284" s="14" t="str">
        <f t="shared" si="48"/>
        <v>ADEQUADA</v>
      </c>
      <c r="AB284" s="15">
        <f t="shared" si="49"/>
        <v>16</v>
      </c>
      <c r="AC284" s="8">
        <f t="shared" si="50"/>
        <v>1</v>
      </c>
      <c r="AD284" s="4"/>
      <c r="AE284" s="4"/>
      <c r="AF284" s="4"/>
    </row>
    <row r="285" spans="1:32" ht="15.75" customHeight="1" x14ac:dyDescent="0.25">
      <c r="A285" s="5" t="s">
        <v>250</v>
      </c>
      <c r="B285" s="7" t="s">
        <v>118</v>
      </c>
      <c r="C285" s="7" t="s">
        <v>1134</v>
      </c>
      <c r="D285" s="7" t="s">
        <v>1097</v>
      </c>
      <c r="E285" s="5" t="s">
        <v>285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1</v>
      </c>
      <c r="N285" s="7">
        <f t="shared" si="51"/>
        <v>8</v>
      </c>
      <c r="O285" s="8">
        <f t="shared" si="52"/>
        <v>1</v>
      </c>
      <c r="P285" s="8" t="str">
        <f t="shared" si="45"/>
        <v>ADEQUADA</v>
      </c>
      <c r="Q285" s="7">
        <v>1</v>
      </c>
      <c r="R285" s="7">
        <v>1</v>
      </c>
      <c r="S285" s="7">
        <v>1</v>
      </c>
      <c r="T285" s="7">
        <v>1</v>
      </c>
      <c r="U285" s="7">
        <v>1</v>
      </c>
      <c r="V285" s="7">
        <v>1</v>
      </c>
      <c r="W285" s="7">
        <v>0</v>
      </c>
      <c r="X285" s="7">
        <v>1</v>
      </c>
      <c r="Y285" s="7">
        <f t="shared" si="46"/>
        <v>7</v>
      </c>
      <c r="Z285" s="8">
        <f t="shared" si="47"/>
        <v>0.875</v>
      </c>
      <c r="AA285" s="14" t="str">
        <f t="shared" si="48"/>
        <v>ADEQUADA</v>
      </c>
      <c r="AB285" s="15">
        <f t="shared" si="49"/>
        <v>15</v>
      </c>
      <c r="AC285" s="8">
        <f t="shared" si="50"/>
        <v>0.9375</v>
      </c>
      <c r="AD285" s="4"/>
      <c r="AE285" s="4"/>
      <c r="AF285" s="4"/>
    </row>
    <row r="286" spans="1:32" ht="15.75" customHeight="1" x14ac:dyDescent="0.25">
      <c r="A286" s="5" t="s">
        <v>250</v>
      </c>
      <c r="B286" s="7" t="s">
        <v>118</v>
      </c>
      <c r="C286" s="7" t="s">
        <v>1104</v>
      </c>
      <c r="D286" s="7" t="s">
        <v>1097</v>
      </c>
      <c r="E286" s="9" t="s">
        <v>1141</v>
      </c>
      <c r="F286" s="7">
        <v>1</v>
      </c>
      <c r="G286" s="7">
        <v>1</v>
      </c>
      <c r="H286" s="7">
        <v>1</v>
      </c>
      <c r="I286" s="7">
        <v>1</v>
      </c>
      <c r="J286" s="7">
        <v>1</v>
      </c>
      <c r="K286" s="7">
        <v>0</v>
      </c>
      <c r="L286" s="7">
        <v>1</v>
      </c>
      <c r="M286" s="7">
        <v>1</v>
      </c>
      <c r="N286" s="7">
        <f t="shared" si="51"/>
        <v>7</v>
      </c>
      <c r="O286" s="8">
        <f t="shared" si="52"/>
        <v>0.875</v>
      </c>
      <c r="P286" s="8" t="str">
        <f t="shared" si="45"/>
        <v>ADEQUADA</v>
      </c>
      <c r="Q286" s="7">
        <v>1</v>
      </c>
      <c r="R286" s="7">
        <v>1</v>
      </c>
      <c r="S286" s="7">
        <v>1</v>
      </c>
      <c r="T286" s="7">
        <v>1</v>
      </c>
      <c r="U286" s="7">
        <v>1</v>
      </c>
      <c r="V286" s="7">
        <v>1</v>
      </c>
      <c r="W286" s="7">
        <v>0</v>
      </c>
      <c r="X286" s="7">
        <v>1</v>
      </c>
      <c r="Y286" s="7">
        <f t="shared" si="46"/>
        <v>7</v>
      </c>
      <c r="Z286" s="8">
        <f t="shared" si="47"/>
        <v>0.875</v>
      </c>
      <c r="AA286" s="14" t="str">
        <f t="shared" si="48"/>
        <v>ADEQUADA</v>
      </c>
      <c r="AB286" s="15">
        <f t="shared" si="49"/>
        <v>14</v>
      </c>
      <c r="AC286" s="8">
        <f t="shared" si="50"/>
        <v>0.875</v>
      </c>
      <c r="AD286" s="4"/>
      <c r="AE286" s="4"/>
      <c r="AF286" s="4"/>
    </row>
    <row r="287" spans="1:32" ht="15.75" customHeight="1" x14ac:dyDescent="0.25">
      <c r="A287" s="5" t="s">
        <v>250</v>
      </c>
      <c r="B287" s="7" t="s">
        <v>118</v>
      </c>
      <c r="C287" s="7" t="s">
        <v>1104</v>
      </c>
      <c r="D287" s="7" t="s">
        <v>1097</v>
      </c>
      <c r="E287" s="5" t="s">
        <v>286</v>
      </c>
      <c r="F287" s="7">
        <v>1</v>
      </c>
      <c r="G287" s="7">
        <v>1</v>
      </c>
      <c r="H287" s="7">
        <v>1</v>
      </c>
      <c r="I287" s="7">
        <v>1</v>
      </c>
      <c r="J287" s="7">
        <v>1</v>
      </c>
      <c r="K287" s="7">
        <v>0</v>
      </c>
      <c r="L287" s="7">
        <v>1</v>
      </c>
      <c r="M287" s="7">
        <v>1</v>
      </c>
      <c r="N287" s="7">
        <f t="shared" si="51"/>
        <v>7</v>
      </c>
      <c r="O287" s="8">
        <f t="shared" si="52"/>
        <v>0.875</v>
      </c>
      <c r="P287" s="8" t="str">
        <f t="shared" si="45"/>
        <v>ADEQUADA</v>
      </c>
      <c r="Q287" s="7">
        <v>1</v>
      </c>
      <c r="R287" s="7">
        <v>1</v>
      </c>
      <c r="S287" s="7">
        <v>0</v>
      </c>
      <c r="T287" s="7">
        <v>1</v>
      </c>
      <c r="U287" s="7">
        <v>1</v>
      </c>
      <c r="V287" s="7">
        <v>0</v>
      </c>
      <c r="W287" s="7">
        <v>0</v>
      </c>
      <c r="X287" s="7">
        <v>1</v>
      </c>
      <c r="Y287" s="7">
        <f t="shared" si="46"/>
        <v>5</v>
      </c>
      <c r="Z287" s="8">
        <f t="shared" si="47"/>
        <v>0.625</v>
      </c>
      <c r="AA287" s="14" t="str">
        <f t="shared" si="48"/>
        <v>INTERMEDIÁRIO</v>
      </c>
      <c r="AB287" s="15">
        <f t="shared" si="49"/>
        <v>12</v>
      </c>
      <c r="AC287" s="8">
        <f t="shared" si="50"/>
        <v>0.75</v>
      </c>
      <c r="AD287" s="4"/>
      <c r="AE287" s="4"/>
      <c r="AF287" s="4"/>
    </row>
    <row r="288" spans="1:32" ht="15.75" customHeight="1" x14ac:dyDescent="0.25">
      <c r="A288" s="5" t="s">
        <v>250</v>
      </c>
      <c r="B288" s="7" t="s">
        <v>118</v>
      </c>
      <c r="C288" s="7" t="s">
        <v>1134</v>
      </c>
      <c r="D288" s="7" t="s">
        <v>1097</v>
      </c>
      <c r="E288" s="5" t="s">
        <v>287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f t="shared" si="51"/>
        <v>8</v>
      </c>
      <c r="O288" s="8">
        <f t="shared" si="52"/>
        <v>1</v>
      </c>
      <c r="P288" s="8" t="str">
        <f t="shared" si="45"/>
        <v>ADEQUADA</v>
      </c>
      <c r="Q288" s="7">
        <v>1</v>
      </c>
      <c r="R288" s="7">
        <v>1</v>
      </c>
      <c r="S288" s="7">
        <v>1</v>
      </c>
      <c r="T288" s="7">
        <v>1</v>
      </c>
      <c r="U288" s="7">
        <v>1</v>
      </c>
      <c r="V288" s="7">
        <v>1</v>
      </c>
      <c r="W288" s="7">
        <v>0</v>
      </c>
      <c r="X288" s="7">
        <v>1</v>
      </c>
      <c r="Y288" s="7">
        <f t="shared" si="46"/>
        <v>7</v>
      </c>
      <c r="Z288" s="8">
        <f t="shared" si="47"/>
        <v>0.875</v>
      </c>
      <c r="AA288" s="14" t="str">
        <f t="shared" si="48"/>
        <v>ADEQUADA</v>
      </c>
      <c r="AB288" s="15">
        <f t="shared" si="49"/>
        <v>15</v>
      </c>
      <c r="AC288" s="8">
        <f t="shared" si="50"/>
        <v>0.9375</v>
      </c>
      <c r="AD288" s="4"/>
      <c r="AE288" s="4"/>
      <c r="AF288" s="4"/>
    </row>
    <row r="289" spans="1:32" ht="15.75" customHeight="1" x14ac:dyDescent="0.25">
      <c r="A289" s="5" t="s">
        <v>250</v>
      </c>
      <c r="B289" s="7" t="s">
        <v>118</v>
      </c>
      <c r="C289" s="7" t="s">
        <v>1096</v>
      </c>
      <c r="D289" s="7" t="s">
        <v>1097</v>
      </c>
      <c r="E289" s="5" t="s">
        <v>288</v>
      </c>
      <c r="F289" s="7">
        <v>1</v>
      </c>
      <c r="G289" s="7">
        <v>1</v>
      </c>
      <c r="H289" s="7">
        <v>1</v>
      </c>
      <c r="I289" s="7">
        <v>0</v>
      </c>
      <c r="J289" s="7">
        <v>1</v>
      </c>
      <c r="K289" s="7">
        <v>0</v>
      </c>
      <c r="L289" s="7">
        <v>1</v>
      </c>
      <c r="M289" s="7">
        <v>1</v>
      </c>
      <c r="N289" s="7">
        <f t="shared" si="51"/>
        <v>6</v>
      </c>
      <c r="O289" s="8">
        <f t="shared" si="52"/>
        <v>0.75</v>
      </c>
      <c r="P289" s="8" t="str">
        <f t="shared" si="45"/>
        <v>ADEQUADA</v>
      </c>
      <c r="Q289" s="7">
        <v>1</v>
      </c>
      <c r="R289" s="7">
        <v>1</v>
      </c>
      <c r="S289" s="7">
        <v>1</v>
      </c>
      <c r="T289" s="7">
        <v>1</v>
      </c>
      <c r="U289" s="7">
        <v>1</v>
      </c>
      <c r="V289" s="7">
        <v>1</v>
      </c>
      <c r="W289" s="7">
        <v>1</v>
      </c>
      <c r="X289" s="7">
        <v>0</v>
      </c>
      <c r="Y289" s="7">
        <f t="shared" si="46"/>
        <v>7</v>
      </c>
      <c r="Z289" s="8">
        <f t="shared" si="47"/>
        <v>0.875</v>
      </c>
      <c r="AA289" s="14" t="str">
        <f t="shared" si="48"/>
        <v>ADEQUADA</v>
      </c>
      <c r="AB289" s="15">
        <f t="shared" si="49"/>
        <v>13</v>
      </c>
      <c r="AC289" s="8">
        <f t="shared" si="50"/>
        <v>0.8125</v>
      </c>
      <c r="AD289" s="4"/>
      <c r="AE289" s="4"/>
      <c r="AF289" s="4"/>
    </row>
    <row r="290" spans="1:32" ht="15.75" customHeight="1" x14ac:dyDescent="0.25">
      <c r="A290" s="5" t="s">
        <v>250</v>
      </c>
      <c r="B290" s="7" t="s">
        <v>135</v>
      </c>
      <c r="C290" s="7" t="s">
        <v>1099</v>
      </c>
      <c r="D290" s="7" t="s">
        <v>1100</v>
      </c>
      <c r="E290" s="5" t="s">
        <v>1142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f t="shared" si="51"/>
        <v>0</v>
      </c>
      <c r="O290" s="8">
        <f t="shared" si="52"/>
        <v>0</v>
      </c>
      <c r="P290" s="8" t="str">
        <f t="shared" si="45"/>
        <v>DEFASAGEM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f t="shared" si="46"/>
        <v>0</v>
      </c>
      <c r="Z290" s="8">
        <f t="shared" si="47"/>
        <v>0</v>
      </c>
      <c r="AA290" s="14" t="str">
        <f t="shared" si="48"/>
        <v>DEFASAGEM</v>
      </c>
      <c r="AB290" s="15">
        <f t="shared" si="49"/>
        <v>0</v>
      </c>
      <c r="AC290" s="8">
        <f t="shared" si="50"/>
        <v>0</v>
      </c>
      <c r="AD290" s="4"/>
      <c r="AE290" s="4"/>
      <c r="AF290" s="4"/>
    </row>
    <row r="291" spans="1:32" ht="15.75" customHeight="1" x14ac:dyDescent="0.25">
      <c r="A291" s="5" t="s">
        <v>250</v>
      </c>
      <c r="B291" s="7" t="s">
        <v>135</v>
      </c>
      <c r="C291" s="7" t="s">
        <v>1099</v>
      </c>
      <c r="D291" s="7" t="s">
        <v>1100</v>
      </c>
      <c r="E291" s="5" t="s">
        <v>1143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f t="shared" si="51"/>
        <v>0</v>
      </c>
      <c r="O291" s="8">
        <f t="shared" si="52"/>
        <v>0</v>
      </c>
      <c r="P291" s="8" t="str">
        <f t="shared" si="45"/>
        <v>DEFASAGEM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f t="shared" si="46"/>
        <v>0</v>
      </c>
      <c r="Z291" s="8">
        <f t="shared" si="47"/>
        <v>0</v>
      </c>
      <c r="AA291" s="14" t="str">
        <f t="shared" si="48"/>
        <v>DEFASAGEM</v>
      </c>
      <c r="AB291" s="15">
        <f t="shared" si="49"/>
        <v>0</v>
      </c>
      <c r="AC291" s="8">
        <f t="shared" si="50"/>
        <v>0</v>
      </c>
      <c r="AD291" s="4"/>
      <c r="AE291" s="4"/>
      <c r="AF291" s="4"/>
    </row>
    <row r="292" spans="1:32" ht="15.75" customHeight="1" x14ac:dyDescent="0.25">
      <c r="A292" s="5" t="s">
        <v>250</v>
      </c>
      <c r="B292" s="7" t="s">
        <v>135</v>
      </c>
      <c r="C292" s="7" t="s">
        <v>1103</v>
      </c>
      <c r="D292" s="7" t="s">
        <v>1097</v>
      </c>
      <c r="E292" s="5" t="s">
        <v>289</v>
      </c>
      <c r="F292" s="7">
        <v>0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f t="shared" si="51"/>
        <v>7</v>
      </c>
      <c r="O292" s="8">
        <f t="shared" si="52"/>
        <v>0.875</v>
      </c>
      <c r="P292" s="8" t="str">
        <f t="shared" si="45"/>
        <v>ADEQUADA</v>
      </c>
      <c r="Q292" s="7">
        <v>0</v>
      </c>
      <c r="R292" s="7">
        <v>0</v>
      </c>
      <c r="S292" s="7">
        <v>0</v>
      </c>
      <c r="T292" s="7">
        <v>1</v>
      </c>
      <c r="U292" s="7">
        <v>0</v>
      </c>
      <c r="V292" s="7">
        <v>1</v>
      </c>
      <c r="W292" s="7">
        <v>0</v>
      </c>
      <c r="X292" s="7">
        <v>1</v>
      </c>
      <c r="Y292" s="7">
        <f t="shared" si="46"/>
        <v>3</v>
      </c>
      <c r="Z292" s="8">
        <f t="shared" si="47"/>
        <v>0.375</v>
      </c>
      <c r="AA292" s="14" t="str">
        <f t="shared" si="48"/>
        <v>DEFASAGEM</v>
      </c>
      <c r="AB292" s="15">
        <f t="shared" si="49"/>
        <v>10</v>
      </c>
      <c r="AC292" s="8">
        <f t="shared" si="50"/>
        <v>0.625</v>
      </c>
      <c r="AD292" s="4"/>
      <c r="AE292" s="4"/>
      <c r="AF292" s="4"/>
    </row>
    <row r="293" spans="1:32" ht="15.75" customHeight="1" x14ac:dyDescent="0.25">
      <c r="A293" s="5" t="s">
        <v>250</v>
      </c>
      <c r="B293" s="7" t="s">
        <v>135</v>
      </c>
      <c r="C293" s="7" t="s">
        <v>1099</v>
      </c>
      <c r="D293" s="7" t="s">
        <v>1100</v>
      </c>
      <c r="E293" s="5" t="s">
        <v>1144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f t="shared" si="51"/>
        <v>0</v>
      </c>
      <c r="O293" s="8">
        <f t="shared" si="52"/>
        <v>0</v>
      </c>
      <c r="P293" s="8" t="str">
        <f t="shared" si="45"/>
        <v>DEFASAGEM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f t="shared" si="46"/>
        <v>0</v>
      </c>
      <c r="Z293" s="8">
        <f t="shared" si="47"/>
        <v>0</v>
      </c>
      <c r="AA293" s="14" t="str">
        <f t="shared" si="48"/>
        <v>DEFASAGEM</v>
      </c>
      <c r="AB293" s="15">
        <f t="shared" si="49"/>
        <v>0</v>
      </c>
      <c r="AC293" s="8">
        <f t="shared" si="50"/>
        <v>0</v>
      </c>
      <c r="AD293" s="4"/>
      <c r="AE293" s="4"/>
      <c r="AF293" s="4"/>
    </row>
    <row r="294" spans="1:32" ht="15.75" customHeight="1" x14ac:dyDescent="0.25">
      <c r="A294" s="5" t="s">
        <v>250</v>
      </c>
      <c r="B294" s="7" t="s">
        <v>135</v>
      </c>
      <c r="C294" s="7" t="s">
        <v>1099</v>
      </c>
      <c r="D294" s="7" t="s">
        <v>1097</v>
      </c>
      <c r="E294" s="5" t="s">
        <v>1145</v>
      </c>
      <c r="F294" s="7">
        <v>1</v>
      </c>
      <c r="G294" s="7">
        <v>1</v>
      </c>
      <c r="H294" s="7">
        <v>1</v>
      </c>
      <c r="I294" s="7">
        <v>0</v>
      </c>
      <c r="J294" s="7">
        <v>1</v>
      </c>
      <c r="K294" s="7">
        <v>0</v>
      </c>
      <c r="L294" s="7">
        <v>1</v>
      </c>
      <c r="M294" s="7">
        <v>1</v>
      </c>
      <c r="N294" s="7">
        <f t="shared" si="51"/>
        <v>6</v>
      </c>
      <c r="O294" s="8">
        <f t="shared" si="52"/>
        <v>0.75</v>
      </c>
      <c r="P294" s="8" t="str">
        <f t="shared" si="45"/>
        <v>ADEQUADA</v>
      </c>
      <c r="Q294" s="7">
        <v>0</v>
      </c>
      <c r="R294" s="7">
        <v>1</v>
      </c>
      <c r="S294" s="7">
        <v>1</v>
      </c>
      <c r="T294" s="7">
        <v>1</v>
      </c>
      <c r="U294" s="7">
        <v>1</v>
      </c>
      <c r="V294" s="7">
        <v>1</v>
      </c>
      <c r="W294" s="7">
        <v>1</v>
      </c>
      <c r="X294" s="7">
        <v>1</v>
      </c>
      <c r="Y294" s="7">
        <f t="shared" si="46"/>
        <v>7</v>
      </c>
      <c r="Z294" s="8">
        <f t="shared" si="47"/>
        <v>0.875</v>
      </c>
      <c r="AA294" s="14" t="str">
        <f t="shared" si="48"/>
        <v>ADEQUADA</v>
      </c>
      <c r="AB294" s="15">
        <f t="shared" si="49"/>
        <v>13</v>
      </c>
      <c r="AC294" s="8">
        <f t="shared" si="50"/>
        <v>0.8125</v>
      </c>
      <c r="AD294" s="4"/>
      <c r="AE294" s="4"/>
      <c r="AF294" s="4"/>
    </row>
    <row r="295" spans="1:32" ht="15.75" customHeight="1" x14ac:dyDescent="0.25">
      <c r="A295" s="5" t="s">
        <v>250</v>
      </c>
      <c r="B295" s="7" t="s">
        <v>135</v>
      </c>
      <c r="C295" s="7" t="s">
        <v>1096</v>
      </c>
      <c r="D295" s="7" t="s">
        <v>1097</v>
      </c>
      <c r="E295" s="5" t="s">
        <v>290</v>
      </c>
      <c r="F295" s="7">
        <v>1</v>
      </c>
      <c r="G295" s="7">
        <v>0</v>
      </c>
      <c r="H295" s="7">
        <v>1</v>
      </c>
      <c r="I295" s="7">
        <v>1</v>
      </c>
      <c r="J295" s="7">
        <v>1</v>
      </c>
      <c r="K295" s="7">
        <v>0</v>
      </c>
      <c r="L295" s="7">
        <v>1</v>
      </c>
      <c r="M295" s="7">
        <v>1</v>
      </c>
      <c r="N295" s="7">
        <f t="shared" si="51"/>
        <v>6</v>
      </c>
      <c r="O295" s="8">
        <f t="shared" si="52"/>
        <v>0.75</v>
      </c>
      <c r="P295" s="8" t="str">
        <f t="shared" si="45"/>
        <v>ADEQUADA</v>
      </c>
      <c r="Q295" s="7">
        <v>0</v>
      </c>
      <c r="R295" s="7">
        <v>1</v>
      </c>
      <c r="S295" s="7">
        <v>1</v>
      </c>
      <c r="T295" s="7">
        <v>1</v>
      </c>
      <c r="U295" s="7">
        <v>0</v>
      </c>
      <c r="V295" s="7">
        <v>0</v>
      </c>
      <c r="W295" s="7">
        <v>0</v>
      </c>
      <c r="X295" s="7">
        <v>0</v>
      </c>
      <c r="Y295" s="7">
        <f t="shared" si="46"/>
        <v>3</v>
      </c>
      <c r="Z295" s="8">
        <f t="shared" si="47"/>
        <v>0.375</v>
      </c>
      <c r="AA295" s="14" t="str">
        <f t="shared" si="48"/>
        <v>DEFASAGEM</v>
      </c>
      <c r="AB295" s="15">
        <f t="shared" si="49"/>
        <v>9</v>
      </c>
      <c r="AC295" s="8">
        <f t="shared" si="50"/>
        <v>0.5625</v>
      </c>
      <c r="AD295" s="4"/>
      <c r="AE295" s="4"/>
      <c r="AF295" s="4"/>
    </row>
    <row r="296" spans="1:32" ht="15.75" customHeight="1" x14ac:dyDescent="0.25">
      <c r="A296" s="5" t="s">
        <v>250</v>
      </c>
      <c r="B296" s="7" t="s">
        <v>135</v>
      </c>
      <c r="C296" s="7" t="s">
        <v>1103</v>
      </c>
      <c r="D296" s="7" t="s">
        <v>1097</v>
      </c>
      <c r="E296" s="5" t="s">
        <v>291</v>
      </c>
      <c r="F296" s="7">
        <v>1</v>
      </c>
      <c r="G296" s="7">
        <v>1</v>
      </c>
      <c r="H296" s="7">
        <v>1</v>
      </c>
      <c r="I296" s="7">
        <v>0</v>
      </c>
      <c r="J296" s="7">
        <v>1</v>
      </c>
      <c r="K296" s="7">
        <v>1</v>
      </c>
      <c r="L296" s="7">
        <v>1</v>
      </c>
      <c r="M296" s="7">
        <v>1</v>
      </c>
      <c r="N296" s="7">
        <f t="shared" si="51"/>
        <v>7</v>
      </c>
      <c r="O296" s="8">
        <f t="shared" si="52"/>
        <v>0.875</v>
      </c>
      <c r="P296" s="8" t="str">
        <f t="shared" si="45"/>
        <v>ADEQUADA</v>
      </c>
      <c r="Q296" s="7">
        <v>1</v>
      </c>
      <c r="R296" s="7">
        <v>1</v>
      </c>
      <c r="S296" s="7">
        <v>0</v>
      </c>
      <c r="T296" s="7">
        <v>1</v>
      </c>
      <c r="U296" s="7">
        <v>0</v>
      </c>
      <c r="V296" s="7">
        <v>1</v>
      </c>
      <c r="W296" s="7">
        <v>1</v>
      </c>
      <c r="X296" s="7">
        <v>1</v>
      </c>
      <c r="Y296" s="7">
        <f t="shared" si="46"/>
        <v>6</v>
      </c>
      <c r="Z296" s="8">
        <f t="shared" si="47"/>
        <v>0.75</v>
      </c>
      <c r="AA296" s="14" t="str">
        <f t="shared" si="48"/>
        <v>ADEQUADA</v>
      </c>
      <c r="AB296" s="15">
        <f t="shared" si="49"/>
        <v>13</v>
      </c>
      <c r="AC296" s="8">
        <f t="shared" si="50"/>
        <v>0.8125</v>
      </c>
      <c r="AD296" s="4"/>
      <c r="AE296" s="4"/>
      <c r="AF296" s="4"/>
    </row>
    <row r="297" spans="1:32" ht="15.75" customHeight="1" x14ac:dyDescent="0.25">
      <c r="A297" s="5" t="s">
        <v>250</v>
      </c>
      <c r="B297" s="7" t="s">
        <v>135</v>
      </c>
      <c r="C297" s="7" t="s">
        <v>1103</v>
      </c>
      <c r="D297" s="7" t="s">
        <v>1097</v>
      </c>
      <c r="E297" s="5" t="s">
        <v>1146</v>
      </c>
      <c r="F297" s="7">
        <v>1</v>
      </c>
      <c r="G297" s="7">
        <v>0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1</v>
      </c>
      <c r="N297" s="7">
        <f t="shared" si="51"/>
        <v>7</v>
      </c>
      <c r="O297" s="8">
        <f t="shared" si="52"/>
        <v>0.875</v>
      </c>
      <c r="P297" s="8" t="str">
        <f t="shared" si="45"/>
        <v>ADEQUADA</v>
      </c>
      <c r="Q297" s="7">
        <v>1</v>
      </c>
      <c r="R297" s="7">
        <v>1</v>
      </c>
      <c r="S297" s="7">
        <v>0</v>
      </c>
      <c r="T297" s="7">
        <v>1</v>
      </c>
      <c r="U297" s="7">
        <v>1</v>
      </c>
      <c r="V297" s="7">
        <v>1</v>
      </c>
      <c r="W297" s="7">
        <v>0</v>
      </c>
      <c r="X297" s="7">
        <v>0</v>
      </c>
      <c r="Y297" s="7">
        <f t="shared" si="46"/>
        <v>5</v>
      </c>
      <c r="Z297" s="8">
        <f t="shared" si="47"/>
        <v>0.625</v>
      </c>
      <c r="AA297" s="14" t="str">
        <f t="shared" si="48"/>
        <v>INTERMEDIÁRIO</v>
      </c>
      <c r="AB297" s="15">
        <f t="shared" si="49"/>
        <v>12</v>
      </c>
      <c r="AC297" s="8">
        <f t="shared" si="50"/>
        <v>0.75</v>
      </c>
      <c r="AD297" s="4"/>
      <c r="AE297" s="4"/>
      <c r="AF297" s="4"/>
    </row>
    <row r="298" spans="1:32" ht="15.75" customHeight="1" x14ac:dyDescent="0.25">
      <c r="A298" s="5" t="s">
        <v>250</v>
      </c>
      <c r="B298" s="7" t="s">
        <v>135</v>
      </c>
      <c r="C298" s="7" t="s">
        <v>1103</v>
      </c>
      <c r="D298" s="7" t="s">
        <v>1097</v>
      </c>
      <c r="E298" s="5" t="s">
        <v>293</v>
      </c>
      <c r="F298" s="7">
        <v>1</v>
      </c>
      <c r="G298" s="7">
        <v>0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1</v>
      </c>
      <c r="N298" s="7">
        <f t="shared" si="51"/>
        <v>7</v>
      </c>
      <c r="O298" s="8">
        <f t="shared" si="52"/>
        <v>0.875</v>
      </c>
      <c r="P298" s="8" t="str">
        <f t="shared" si="45"/>
        <v>ADEQUADA</v>
      </c>
      <c r="Q298" s="7">
        <v>0</v>
      </c>
      <c r="R298" s="7">
        <v>0</v>
      </c>
      <c r="S298" s="7">
        <v>1</v>
      </c>
      <c r="T298" s="7">
        <v>1</v>
      </c>
      <c r="U298" s="7">
        <v>0</v>
      </c>
      <c r="V298" s="7">
        <v>1</v>
      </c>
      <c r="W298" s="7">
        <v>0</v>
      </c>
      <c r="X298" s="7">
        <v>1</v>
      </c>
      <c r="Y298" s="7">
        <f t="shared" si="46"/>
        <v>4</v>
      </c>
      <c r="Z298" s="8">
        <f t="shared" si="47"/>
        <v>0.5</v>
      </c>
      <c r="AA298" s="14" t="str">
        <f t="shared" si="48"/>
        <v>INTERMEDIÁRIO</v>
      </c>
      <c r="AB298" s="15">
        <f t="shared" si="49"/>
        <v>11</v>
      </c>
      <c r="AC298" s="8">
        <f t="shared" si="50"/>
        <v>0.6875</v>
      </c>
      <c r="AD298" s="4"/>
      <c r="AE298" s="4"/>
      <c r="AF298" s="4"/>
    </row>
    <row r="299" spans="1:32" ht="15.75" customHeight="1" x14ac:dyDescent="0.25">
      <c r="A299" s="5" t="s">
        <v>250</v>
      </c>
      <c r="B299" s="7" t="s">
        <v>135</v>
      </c>
      <c r="C299" s="7" t="s">
        <v>1105</v>
      </c>
      <c r="D299" s="7" t="s">
        <v>1097</v>
      </c>
      <c r="E299" s="5" t="s">
        <v>294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f t="shared" si="51"/>
        <v>8</v>
      </c>
      <c r="O299" s="8">
        <f t="shared" si="52"/>
        <v>1</v>
      </c>
      <c r="P299" s="8" t="str">
        <f t="shared" si="45"/>
        <v>ADEQUADA</v>
      </c>
      <c r="Q299" s="7">
        <v>0</v>
      </c>
      <c r="R299" s="7">
        <v>1</v>
      </c>
      <c r="S299" s="7">
        <v>1</v>
      </c>
      <c r="T299" s="7">
        <v>1</v>
      </c>
      <c r="U299" s="7">
        <v>0</v>
      </c>
      <c r="V299" s="7">
        <v>1</v>
      </c>
      <c r="W299" s="7">
        <v>0</v>
      </c>
      <c r="X299" s="7">
        <v>1</v>
      </c>
      <c r="Y299" s="7">
        <f t="shared" si="46"/>
        <v>5</v>
      </c>
      <c r="Z299" s="8">
        <f t="shared" si="47"/>
        <v>0.625</v>
      </c>
      <c r="AA299" s="14" t="str">
        <f t="shared" si="48"/>
        <v>INTERMEDIÁRIO</v>
      </c>
      <c r="AB299" s="15">
        <f t="shared" si="49"/>
        <v>13</v>
      </c>
      <c r="AC299" s="8">
        <f t="shared" si="50"/>
        <v>0.8125</v>
      </c>
      <c r="AD299" s="4"/>
      <c r="AE299" s="4"/>
      <c r="AF299" s="4"/>
    </row>
    <row r="300" spans="1:32" ht="15.75" customHeight="1" x14ac:dyDescent="0.25">
      <c r="A300" s="5" t="s">
        <v>250</v>
      </c>
      <c r="B300" s="7" t="s">
        <v>1147</v>
      </c>
      <c r="C300" s="7" t="s">
        <v>1096</v>
      </c>
      <c r="D300" s="7" t="s">
        <v>1097</v>
      </c>
      <c r="E300" s="5" t="s">
        <v>1148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0</v>
      </c>
      <c r="L300" s="7">
        <v>1</v>
      </c>
      <c r="M300" s="7">
        <v>1</v>
      </c>
      <c r="N300" s="7">
        <f t="shared" si="51"/>
        <v>7</v>
      </c>
      <c r="O300" s="8">
        <f t="shared" si="52"/>
        <v>0.875</v>
      </c>
      <c r="P300" s="8" t="str">
        <f t="shared" si="45"/>
        <v>ADEQUADA</v>
      </c>
      <c r="Q300" s="7">
        <v>1</v>
      </c>
      <c r="R300" s="7">
        <v>1</v>
      </c>
      <c r="S300" s="7">
        <v>1</v>
      </c>
      <c r="T300" s="7">
        <v>1</v>
      </c>
      <c r="U300" s="7">
        <v>1</v>
      </c>
      <c r="V300" s="7">
        <v>1</v>
      </c>
      <c r="W300" s="7">
        <v>0</v>
      </c>
      <c r="X300" s="7">
        <v>1</v>
      </c>
      <c r="Y300" s="7">
        <f t="shared" si="46"/>
        <v>7</v>
      </c>
      <c r="Z300" s="8">
        <f t="shared" si="47"/>
        <v>0.875</v>
      </c>
      <c r="AA300" s="14" t="str">
        <f t="shared" si="48"/>
        <v>ADEQUADA</v>
      </c>
      <c r="AB300" s="15">
        <f t="shared" si="49"/>
        <v>14</v>
      </c>
      <c r="AC300" s="8">
        <f t="shared" si="50"/>
        <v>0.875</v>
      </c>
      <c r="AD300" s="4"/>
      <c r="AE300" s="4"/>
      <c r="AF300" s="4"/>
    </row>
    <row r="301" spans="1:32" ht="15.75" customHeight="1" x14ac:dyDescent="0.25">
      <c r="A301" s="5" t="s">
        <v>250</v>
      </c>
      <c r="B301" s="7" t="s">
        <v>135</v>
      </c>
      <c r="C301" s="7" t="s">
        <v>1103</v>
      </c>
      <c r="D301" s="7" t="s">
        <v>1097</v>
      </c>
      <c r="E301" s="5" t="s">
        <v>295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f t="shared" si="51"/>
        <v>8</v>
      </c>
      <c r="O301" s="8">
        <f t="shared" si="52"/>
        <v>1</v>
      </c>
      <c r="P301" s="8" t="str">
        <f t="shared" si="45"/>
        <v>ADEQUADA</v>
      </c>
      <c r="Q301" s="7">
        <v>0</v>
      </c>
      <c r="R301" s="7">
        <v>1</v>
      </c>
      <c r="S301" s="7">
        <v>1</v>
      </c>
      <c r="T301" s="7">
        <v>0</v>
      </c>
      <c r="U301" s="7">
        <v>1</v>
      </c>
      <c r="V301" s="7">
        <v>1</v>
      </c>
      <c r="W301" s="7">
        <v>1</v>
      </c>
      <c r="X301" s="7">
        <v>1</v>
      </c>
      <c r="Y301" s="7">
        <f t="shared" si="46"/>
        <v>6</v>
      </c>
      <c r="Z301" s="8">
        <f t="shared" si="47"/>
        <v>0.75</v>
      </c>
      <c r="AA301" s="14" t="str">
        <f t="shared" si="48"/>
        <v>ADEQUADA</v>
      </c>
      <c r="AB301" s="15">
        <f t="shared" si="49"/>
        <v>14</v>
      </c>
      <c r="AC301" s="8">
        <f t="shared" si="50"/>
        <v>0.875</v>
      </c>
      <c r="AD301" s="4"/>
      <c r="AE301" s="4"/>
      <c r="AF301" s="4"/>
    </row>
    <row r="302" spans="1:32" ht="15.75" customHeight="1" x14ac:dyDescent="0.25">
      <c r="A302" s="5" t="s">
        <v>250</v>
      </c>
      <c r="B302" s="7" t="s">
        <v>135</v>
      </c>
      <c r="C302" s="7" t="s">
        <v>1104</v>
      </c>
      <c r="D302" s="7" t="s">
        <v>1097</v>
      </c>
      <c r="E302" s="5" t="s">
        <v>296</v>
      </c>
      <c r="F302" s="7">
        <v>1</v>
      </c>
      <c r="G302" s="7">
        <v>0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f t="shared" si="51"/>
        <v>7</v>
      </c>
      <c r="O302" s="8">
        <f t="shared" si="52"/>
        <v>0.875</v>
      </c>
      <c r="P302" s="8" t="str">
        <f t="shared" si="45"/>
        <v>ADEQUADA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1</v>
      </c>
      <c r="W302" s="7">
        <v>0</v>
      </c>
      <c r="X302" s="7">
        <v>0</v>
      </c>
      <c r="Y302" s="7">
        <f t="shared" si="46"/>
        <v>1</v>
      </c>
      <c r="Z302" s="8">
        <f t="shared" si="47"/>
        <v>0.125</v>
      </c>
      <c r="AA302" s="14" t="str">
        <f t="shared" si="48"/>
        <v>DEFASAGEM</v>
      </c>
      <c r="AB302" s="15">
        <f t="shared" si="49"/>
        <v>8</v>
      </c>
      <c r="AC302" s="8">
        <f t="shared" si="50"/>
        <v>0.5</v>
      </c>
      <c r="AD302" s="4"/>
      <c r="AE302" s="4"/>
      <c r="AF302" s="4"/>
    </row>
    <row r="303" spans="1:32" ht="15.75" customHeight="1" x14ac:dyDescent="0.25">
      <c r="A303" s="5" t="s">
        <v>250</v>
      </c>
      <c r="B303" s="7" t="s">
        <v>135</v>
      </c>
      <c r="C303" s="7" t="s">
        <v>1105</v>
      </c>
      <c r="D303" s="7" t="s">
        <v>1097</v>
      </c>
      <c r="E303" s="5" t="s">
        <v>297</v>
      </c>
      <c r="F303" s="7">
        <v>1</v>
      </c>
      <c r="G303" s="7">
        <v>0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f t="shared" si="51"/>
        <v>7</v>
      </c>
      <c r="O303" s="8">
        <f t="shared" si="52"/>
        <v>0.875</v>
      </c>
      <c r="P303" s="8" t="str">
        <f t="shared" si="45"/>
        <v>ADEQUADA</v>
      </c>
      <c r="Q303" s="7">
        <v>1</v>
      </c>
      <c r="R303" s="7">
        <v>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1</v>
      </c>
      <c r="Y303" s="7">
        <f t="shared" si="46"/>
        <v>8</v>
      </c>
      <c r="Z303" s="8">
        <f t="shared" si="47"/>
        <v>1</v>
      </c>
      <c r="AA303" s="14" t="str">
        <f t="shared" si="48"/>
        <v>ADEQUADA</v>
      </c>
      <c r="AB303" s="15">
        <f t="shared" si="49"/>
        <v>15</v>
      </c>
      <c r="AC303" s="8">
        <f t="shared" si="50"/>
        <v>0.9375</v>
      </c>
      <c r="AD303" s="4"/>
      <c r="AE303" s="4"/>
      <c r="AF303" s="4"/>
    </row>
    <row r="304" spans="1:32" ht="15.75" customHeight="1" x14ac:dyDescent="0.25">
      <c r="A304" s="5" t="s">
        <v>250</v>
      </c>
      <c r="B304" s="7" t="s">
        <v>135</v>
      </c>
      <c r="C304" s="7" t="s">
        <v>1103</v>
      </c>
      <c r="D304" s="7" t="s">
        <v>1097</v>
      </c>
      <c r="E304" s="5" t="s">
        <v>1149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f t="shared" si="51"/>
        <v>8</v>
      </c>
      <c r="O304" s="8">
        <f t="shared" si="52"/>
        <v>1</v>
      </c>
      <c r="P304" s="8" t="str">
        <f t="shared" si="45"/>
        <v>ADEQUADA</v>
      </c>
      <c r="Q304" s="7">
        <v>1</v>
      </c>
      <c r="R304" s="7">
        <v>1</v>
      </c>
      <c r="S304" s="7">
        <v>1</v>
      </c>
      <c r="T304" s="7">
        <v>1</v>
      </c>
      <c r="U304" s="7">
        <v>1</v>
      </c>
      <c r="V304" s="7">
        <v>1</v>
      </c>
      <c r="W304" s="7">
        <v>1</v>
      </c>
      <c r="X304" s="7">
        <v>1</v>
      </c>
      <c r="Y304" s="7">
        <f t="shared" si="46"/>
        <v>8</v>
      </c>
      <c r="Z304" s="8">
        <f t="shared" si="47"/>
        <v>1</v>
      </c>
      <c r="AA304" s="14" t="str">
        <f t="shared" si="48"/>
        <v>ADEQUADA</v>
      </c>
      <c r="AB304" s="15">
        <f t="shared" si="49"/>
        <v>16</v>
      </c>
      <c r="AC304" s="8">
        <f t="shared" si="50"/>
        <v>1</v>
      </c>
      <c r="AD304" s="4"/>
      <c r="AE304" s="4"/>
      <c r="AF304" s="4"/>
    </row>
    <row r="305" spans="1:32" ht="15.75" customHeight="1" x14ac:dyDescent="0.25">
      <c r="A305" s="5" t="s">
        <v>250</v>
      </c>
      <c r="B305" s="7" t="s">
        <v>135</v>
      </c>
      <c r="C305" s="7" t="s">
        <v>1103</v>
      </c>
      <c r="D305" s="7" t="s">
        <v>1097</v>
      </c>
      <c r="E305" s="5" t="s">
        <v>298</v>
      </c>
      <c r="F305" s="7">
        <v>1</v>
      </c>
      <c r="G305" s="7">
        <v>0</v>
      </c>
      <c r="H305" s="7">
        <v>1</v>
      </c>
      <c r="I305" s="7">
        <v>0</v>
      </c>
      <c r="J305" s="7">
        <v>1</v>
      </c>
      <c r="K305" s="7">
        <v>0</v>
      </c>
      <c r="L305" s="7">
        <v>0</v>
      </c>
      <c r="M305" s="7">
        <v>1</v>
      </c>
      <c r="N305" s="7">
        <f t="shared" si="51"/>
        <v>4</v>
      </c>
      <c r="O305" s="8">
        <f t="shared" si="52"/>
        <v>0.5</v>
      </c>
      <c r="P305" s="8" t="str">
        <f t="shared" si="45"/>
        <v>INTERMEDIÁRIO</v>
      </c>
      <c r="Q305" s="7">
        <v>0</v>
      </c>
      <c r="R305" s="7">
        <v>1</v>
      </c>
      <c r="S305" s="7">
        <v>0</v>
      </c>
      <c r="T305" s="7">
        <v>1</v>
      </c>
      <c r="U305" s="7">
        <v>1</v>
      </c>
      <c r="V305" s="7">
        <v>1</v>
      </c>
      <c r="W305" s="7">
        <v>0</v>
      </c>
      <c r="X305" s="7">
        <v>1</v>
      </c>
      <c r="Y305" s="7">
        <f t="shared" si="46"/>
        <v>5</v>
      </c>
      <c r="Z305" s="8">
        <f t="shared" si="47"/>
        <v>0.625</v>
      </c>
      <c r="AA305" s="14" t="str">
        <f t="shared" si="48"/>
        <v>INTERMEDIÁRIO</v>
      </c>
      <c r="AB305" s="15">
        <f t="shared" si="49"/>
        <v>9</v>
      </c>
      <c r="AC305" s="8">
        <f t="shared" si="50"/>
        <v>0.5625</v>
      </c>
      <c r="AD305" s="4"/>
      <c r="AE305" s="4"/>
      <c r="AF305" s="4"/>
    </row>
    <row r="306" spans="1:32" ht="15.75" customHeight="1" x14ac:dyDescent="0.25">
      <c r="A306" s="5" t="s">
        <v>250</v>
      </c>
      <c r="B306" s="7" t="s">
        <v>135</v>
      </c>
      <c r="C306" s="7" t="s">
        <v>1104</v>
      </c>
      <c r="D306" s="7" t="s">
        <v>1097</v>
      </c>
      <c r="E306" s="5" t="s">
        <v>1150</v>
      </c>
      <c r="F306" s="7">
        <v>1</v>
      </c>
      <c r="G306" s="7">
        <v>0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f t="shared" si="51"/>
        <v>7</v>
      </c>
      <c r="O306" s="8">
        <f t="shared" si="52"/>
        <v>0.875</v>
      </c>
      <c r="P306" s="8" t="str">
        <f t="shared" si="45"/>
        <v>ADEQUADA</v>
      </c>
      <c r="Q306" s="7">
        <v>1</v>
      </c>
      <c r="R306" s="7">
        <v>1</v>
      </c>
      <c r="S306" s="7">
        <v>1</v>
      </c>
      <c r="T306" s="7">
        <v>1</v>
      </c>
      <c r="U306" s="7">
        <v>1</v>
      </c>
      <c r="V306" s="7">
        <v>1</v>
      </c>
      <c r="W306" s="7">
        <v>1</v>
      </c>
      <c r="X306" s="7">
        <v>1</v>
      </c>
      <c r="Y306" s="7">
        <f t="shared" si="46"/>
        <v>8</v>
      </c>
      <c r="Z306" s="8">
        <f t="shared" si="47"/>
        <v>1</v>
      </c>
      <c r="AA306" s="14" t="str">
        <f t="shared" si="48"/>
        <v>ADEQUADA</v>
      </c>
      <c r="AB306" s="15">
        <f t="shared" si="49"/>
        <v>15</v>
      </c>
      <c r="AC306" s="8">
        <f t="shared" si="50"/>
        <v>0.9375</v>
      </c>
      <c r="AD306" s="4"/>
      <c r="AE306" s="4"/>
      <c r="AF306" s="4"/>
    </row>
    <row r="307" spans="1:32" ht="15.75" customHeight="1" x14ac:dyDescent="0.25">
      <c r="A307" s="5" t="s">
        <v>250</v>
      </c>
      <c r="B307" s="7" t="s">
        <v>135</v>
      </c>
      <c r="C307" s="7" t="s">
        <v>1134</v>
      </c>
      <c r="D307" s="7" t="s">
        <v>1097</v>
      </c>
      <c r="E307" s="5" t="s">
        <v>299</v>
      </c>
      <c r="F307" s="7">
        <v>1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1</v>
      </c>
      <c r="N307" s="7">
        <f t="shared" si="51"/>
        <v>8</v>
      </c>
      <c r="O307" s="8">
        <f t="shared" si="52"/>
        <v>1</v>
      </c>
      <c r="P307" s="8" t="str">
        <f t="shared" si="45"/>
        <v>ADEQUADA</v>
      </c>
      <c r="Q307" s="7">
        <v>1</v>
      </c>
      <c r="R307" s="7">
        <v>1</v>
      </c>
      <c r="S307" s="7">
        <v>1</v>
      </c>
      <c r="T307" s="7">
        <v>1</v>
      </c>
      <c r="U307" s="7">
        <v>1</v>
      </c>
      <c r="V307" s="7">
        <v>1</v>
      </c>
      <c r="W307" s="7">
        <v>0</v>
      </c>
      <c r="X307" s="7">
        <v>1</v>
      </c>
      <c r="Y307" s="7">
        <f t="shared" si="46"/>
        <v>7</v>
      </c>
      <c r="Z307" s="8">
        <f t="shared" si="47"/>
        <v>0.875</v>
      </c>
      <c r="AA307" s="14" t="str">
        <f t="shared" si="48"/>
        <v>ADEQUADA</v>
      </c>
      <c r="AB307" s="15">
        <f t="shared" si="49"/>
        <v>15</v>
      </c>
      <c r="AC307" s="8">
        <f t="shared" si="50"/>
        <v>0.9375</v>
      </c>
      <c r="AD307" s="4"/>
      <c r="AE307" s="4"/>
      <c r="AF307" s="4"/>
    </row>
    <row r="308" spans="1:32" ht="15.75" customHeight="1" x14ac:dyDescent="0.25">
      <c r="A308" s="5" t="s">
        <v>250</v>
      </c>
      <c r="B308" s="7" t="s">
        <v>135</v>
      </c>
      <c r="C308" s="7" t="s">
        <v>1096</v>
      </c>
      <c r="D308" s="7" t="s">
        <v>1097</v>
      </c>
      <c r="E308" s="5" t="s">
        <v>300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0</v>
      </c>
      <c r="M308" s="7">
        <v>1</v>
      </c>
      <c r="N308" s="7">
        <f t="shared" si="51"/>
        <v>7</v>
      </c>
      <c r="O308" s="8">
        <f t="shared" si="52"/>
        <v>0.875</v>
      </c>
      <c r="P308" s="8" t="str">
        <f t="shared" si="45"/>
        <v>ADEQUADA</v>
      </c>
      <c r="Q308" s="7">
        <v>1</v>
      </c>
      <c r="R308" s="7">
        <v>1</v>
      </c>
      <c r="S308" s="7">
        <v>1</v>
      </c>
      <c r="T308" s="7">
        <v>1</v>
      </c>
      <c r="U308" s="7">
        <v>1</v>
      </c>
      <c r="V308" s="7">
        <v>1</v>
      </c>
      <c r="W308" s="7">
        <v>1</v>
      </c>
      <c r="X308" s="7">
        <v>1</v>
      </c>
      <c r="Y308" s="7">
        <f t="shared" si="46"/>
        <v>8</v>
      </c>
      <c r="Z308" s="8">
        <f t="shared" si="47"/>
        <v>1</v>
      </c>
      <c r="AA308" s="14" t="str">
        <f t="shared" si="48"/>
        <v>ADEQUADA</v>
      </c>
      <c r="AB308" s="15">
        <f t="shared" si="49"/>
        <v>15</v>
      </c>
      <c r="AC308" s="8">
        <f t="shared" si="50"/>
        <v>0.9375</v>
      </c>
      <c r="AD308" s="4"/>
      <c r="AE308" s="4"/>
      <c r="AF308" s="4"/>
    </row>
    <row r="309" spans="1:32" ht="15.75" customHeight="1" x14ac:dyDescent="0.25">
      <c r="A309" s="5" t="s">
        <v>250</v>
      </c>
      <c r="B309" s="7" t="s">
        <v>135</v>
      </c>
      <c r="C309" s="7" t="s">
        <v>1103</v>
      </c>
      <c r="D309" s="7" t="s">
        <v>1097</v>
      </c>
      <c r="E309" s="5" t="s">
        <v>301</v>
      </c>
      <c r="F309" s="7">
        <v>1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1</v>
      </c>
      <c r="N309" s="7">
        <f t="shared" si="51"/>
        <v>8</v>
      </c>
      <c r="O309" s="8">
        <f t="shared" si="52"/>
        <v>1</v>
      </c>
      <c r="P309" s="8" t="str">
        <f t="shared" si="45"/>
        <v>ADEQUADA</v>
      </c>
      <c r="Q309" s="7">
        <v>1</v>
      </c>
      <c r="R309" s="7">
        <v>1</v>
      </c>
      <c r="S309" s="7">
        <v>1</v>
      </c>
      <c r="T309" s="7">
        <v>1</v>
      </c>
      <c r="U309" s="7">
        <v>0</v>
      </c>
      <c r="V309" s="7">
        <v>1</v>
      </c>
      <c r="W309" s="7">
        <v>1</v>
      </c>
      <c r="X309" s="7">
        <v>1</v>
      </c>
      <c r="Y309" s="7">
        <f t="shared" si="46"/>
        <v>7</v>
      </c>
      <c r="Z309" s="8">
        <f t="shared" si="47"/>
        <v>0.875</v>
      </c>
      <c r="AA309" s="14" t="str">
        <f t="shared" si="48"/>
        <v>ADEQUADA</v>
      </c>
      <c r="AB309" s="15">
        <f t="shared" si="49"/>
        <v>15</v>
      </c>
      <c r="AC309" s="8">
        <f t="shared" si="50"/>
        <v>0.9375</v>
      </c>
      <c r="AD309" s="4"/>
      <c r="AE309" s="4"/>
      <c r="AF309" s="4"/>
    </row>
    <row r="310" spans="1:32" ht="15.75" customHeight="1" x14ac:dyDescent="0.25">
      <c r="A310" s="5" t="s">
        <v>250</v>
      </c>
      <c r="B310" s="7" t="s">
        <v>135</v>
      </c>
      <c r="C310" s="7" t="s">
        <v>1103</v>
      </c>
      <c r="D310" s="7" t="s">
        <v>1097</v>
      </c>
      <c r="E310" s="5" t="s">
        <v>302</v>
      </c>
      <c r="F310" s="7">
        <v>0</v>
      </c>
      <c r="G310" s="7">
        <v>0</v>
      </c>
      <c r="H310" s="7">
        <v>1</v>
      </c>
      <c r="I310" s="7">
        <v>0</v>
      </c>
      <c r="J310" s="7">
        <v>1</v>
      </c>
      <c r="K310" s="7">
        <v>1</v>
      </c>
      <c r="L310" s="7">
        <v>0</v>
      </c>
      <c r="M310" s="7">
        <v>1</v>
      </c>
      <c r="N310" s="7">
        <f t="shared" si="51"/>
        <v>4</v>
      </c>
      <c r="O310" s="8">
        <f t="shared" si="52"/>
        <v>0.5</v>
      </c>
      <c r="P310" s="8" t="str">
        <f t="shared" si="45"/>
        <v>INTERMEDIÁRIO</v>
      </c>
      <c r="Q310" s="7">
        <v>1</v>
      </c>
      <c r="R310" s="7">
        <v>1</v>
      </c>
      <c r="S310" s="7">
        <v>0</v>
      </c>
      <c r="T310" s="7">
        <v>1</v>
      </c>
      <c r="U310" s="7">
        <v>0</v>
      </c>
      <c r="V310" s="7">
        <v>1</v>
      </c>
      <c r="W310" s="7">
        <v>0</v>
      </c>
      <c r="X310" s="7">
        <v>1</v>
      </c>
      <c r="Y310" s="7">
        <f t="shared" si="46"/>
        <v>5</v>
      </c>
      <c r="Z310" s="8">
        <f t="shared" si="47"/>
        <v>0.625</v>
      </c>
      <c r="AA310" s="14" t="str">
        <f t="shared" si="48"/>
        <v>INTERMEDIÁRIO</v>
      </c>
      <c r="AB310" s="15">
        <f t="shared" si="49"/>
        <v>9</v>
      </c>
      <c r="AC310" s="8">
        <f t="shared" si="50"/>
        <v>0.5625</v>
      </c>
      <c r="AD310" s="4"/>
      <c r="AE310" s="4"/>
      <c r="AF310" s="4"/>
    </row>
    <row r="311" spans="1:32" ht="15.75" customHeight="1" x14ac:dyDescent="0.25">
      <c r="A311" s="4"/>
      <c r="B311" s="11"/>
      <c r="C311" s="4"/>
      <c r="D311" s="11"/>
      <c r="E311" s="11"/>
      <c r="F311" s="11"/>
      <c r="G311" s="11"/>
      <c r="H311" s="11"/>
      <c r="I311" s="11"/>
      <c r="J311" s="11"/>
      <c r="K311" s="11"/>
      <c r="L311" s="11"/>
      <c r="M311" s="12"/>
      <c r="N311" s="12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12"/>
      <c r="Z311" s="11"/>
      <c r="AA311" s="12"/>
      <c r="AB311" s="4"/>
      <c r="AC311" s="4"/>
      <c r="AD311" s="4"/>
      <c r="AE311" s="4"/>
      <c r="AF311" s="4"/>
    </row>
    <row r="312" spans="1:32" ht="15.75" customHeight="1" x14ac:dyDescent="0.25">
      <c r="A312" s="4"/>
      <c r="B312" s="11"/>
      <c r="C312" s="4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4"/>
      <c r="AC312" s="4"/>
      <c r="AD312" s="4"/>
      <c r="AE312" s="4"/>
      <c r="AF312" s="4"/>
    </row>
    <row r="313" spans="1:32" ht="15.75" customHeight="1" x14ac:dyDescent="0.25">
      <c r="A313" s="4"/>
      <c r="B313" s="11"/>
      <c r="C313" s="4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4"/>
      <c r="AC313" s="4"/>
      <c r="AD313" s="4"/>
      <c r="AE313" s="4"/>
      <c r="AF313" s="4"/>
    </row>
    <row r="314" spans="1:32" ht="15.75" customHeight="1" x14ac:dyDescent="0.25">
      <c r="A314" s="4"/>
      <c r="B314" s="11"/>
      <c r="C314" s="4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4"/>
      <c r="AC314" s="4"/>
      <c r="AD314" s="4"/>
      <c r="AE314" s="4"/>
      <c r="AF314" s="4"/>
    </row>
    <row r="315" spans="1:32" ht="15.75" customHeight="1" x14ac:dyDescent="0.25">
      <c r="A315" s="4"/>
      <c r="B315" s="11"/>
      <c r="C315" s="4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4"/>
      <c r="AC315" s="4"/>
      <c r="AD315" s="4"/>
      <c r="AE315" s="4"/>
      <c r="AF315" s="4"/>
    </row>
    <row r="316" spans="1:32" ht="15.75" customHeight="1" x14ac:dyDescent="0.25">
      <c r="A316" s="4"/>
      <c r="B316" s="11"/>
      <c r="C316" s="4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4"/>
      <c r="AC316" s="4"/>
      <c r="AD316" s="4"/>
      <c r="AE316" s="4"/>
      <c r="AF316" s="4"/>
    </row>
    <row r="317" spans="1:32" ht="15.75" customHeight="1" x14ac:dyDescent="0.25">
      <c r="A317" s="4"/>
      <c r="B317" s="11"/>
      <c r="C317" s="4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4"/>
      <c r="AC317" s="4"/>
      <c r="AD317" s="4"/>
      <c r="AE317" s="4"/>
      <c r="AF317" s="4"/>
    </row>
    <row r="318" spans="1:32" ht="15.75" customHeight="1" x14ac:dyDescent="0.25">
      <c r="A318" s="4"/>
      <c r="B318" s="11"/>
      <c r="C318" s="4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4"/>
      <c r="AC318" s="4"/>
      <c r="AD318" s="4"/>
      <c r="AE318" s="4"/>
      <c r="AF318" s="4"/>
    </row>
    <row r="319" spans="1:32" ht="15.75" customHeight="1" x14ac:dyDescent="0.25">
      <c r="A319" s="4"/>
      <c r="B319" s="11"/>
      <c r="C319" s="4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4"/>
      <c r="AC319" s="4"/>
      <c r="AD319" s="4"/>
      <c r="AE319" s="4"/>
      <c r="AF319" s="4"/>
    </row>
    <row r="320" spans="1:32" ht="15.75" customHeight="1" x14ac:dyDescent="0.25">
      <c r="A320" s="4"/>
      <c r="B320" s="11"/>
      <c r="C320" s="4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4"/>
      <c r="AC320" s="4"/>
      <c r="AD320" s="4"/>
      <c r="AE320" s="4"/>
      <c r="AF320" s="4"/>
    </row>
    <row r="321" spans="1:32" ht="15.75" customHeight="1" x14ac:dyDescent="0.25">
      <c r="A321" s="4"/>
      <c r="B321" s="11"/>
      <c r="C321" s="4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4"/>
      <c r="AC321" s="4"/>
      <c r="AD321" s="4"/>
      <c r="AE321" s="4"/>
      <c r="AF321" s="4"/>
    </row>
    <row r="322" spans="1:32" ht="15.75" customHeight="1" x14ac:dyDescent="0.25">
      <c r="A322" s="4"/>
      <c r="B322" s="11"/>
      <c r="C322" s="4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4"/>
      <c r="AC322" s="4"/>
      <c r="AD322" s="4"/>
      <c r="AE322" s="4"/>
      <c r="AF322" s="4"/>
    </row>
    <row r="323" spans="1:32" ht="15.75" customHeight="1" x14ac:dyDescent="0.25">
      <c r="A323" s="4"/>
      <c r="B323" s="11"/>
      <c r="C323" s="4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4"/>
      <c r="AC323" s="4"/>
      <c r="AD323" s="4"/>
      <c r="AE323" s="4"/>
      <c r="AF323" s="4"/>
    </row>
    <row r="324" spans="1:32" ht="15.75" customHeight="1" x14ac:dyDescent="0.25">
      <c r="A324" s="4"/>
      <c r="B324" s="11"/>
      <c r="C324" s="4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4"/>
      <c r="AC324" s="4"/>
      <c r="AD324" s="4"/>
      <c r="AE324" s="4"/>
      <c r="AF324" s="4"/>
    </row>
    <row r="325" spans="1:32" ht="15.75" customHeight="1" x14ac:dyDescent="0.25">
      <c r="A325" s="4"/>
      <c r="B325" s="11"/>
      <c r="C325" s="4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4"/>
      <c r="AC325" s="4"/>
      <c r="AD325" s="4"/>
      <c r="AE325" s="4"/>
      <c r="AF325" s="4"/>
    </row>
    <row r="326" spans="1:32" ht="15.75" customHeight="1" x14ac:dyDescent="0.25">
      <c r="A326" s="4"/>
      <c r="B326" s="11"/>
      <c r="C326" s="4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4"/>
      <c r="AC326" s="4"/>
      <c r="AD326" s="4"/>
      <c r="AE326" s="4"/>
      <c r="AF326" s="4"/>
    </row>
    <row r="327" spans="1:32" ht="15.75" customHeight="1" x14ac:dyDescent="0.25">
      <c r="A327" s="4"/>
      <c r="B327" s="11"/>
      <c r="C327" s="4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4"/>
      <c r="AC327" s="4"/>
      <c r="AD327" s="4"/>
      <c r="AE327" s="4"/>
      <c r="AF327" s="4"/>
    </row>
    <row r="328" spans="1:32" ht="15.75" customHeight="1" x14ac:dyDescent="0.25">
      <c r="A328" s="4"/>
      <c r="B328" s="11"/>
      <c r="C328" s="4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4"/>
      <c r="AC328" s="4"/>
      <c r="AD328" s="4"/>
      <c r="AE328" s="4"/>
      <c r="AF328" s="4"/>
    </row>
    <row r="329" spans="1:32" ht="15.75" customHeight="1" x14ac:dyDescent="0.25">
      <c r="A329" s="4"/>
      <c r="B329" s="11"/>
      <c r="C329" s="4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4"/>
      <c r="AC329" s="4"/>
      <c r="AD329" s="4"/>
      <c r="AE329" s="4"/>
      <c r="AF329" s="4"/>
    </row>
    <row r="330" spans="1:32" ht="15.75" customHeight="1" x14ac:dyDescent="0.25">
      <c r="A330" s="4"/>
      <c r="B330" s="11"/>
      <c r="C330" s="4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4"/>
      <c r="AC330" s="4"/>
      <c r="AD330" s="4"/>
      <c r="AE330" s="4"/>
      <c r="AF330" s="4"/>
    </row>
    <row r="331" spans="1:32" ht="15.75" customHeight="1" x14ac:dyDescent="0.25">
      <c r="A331" s="4"/>
      <c r="B331" s="11"/>
      <c r="C331" s="4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4"/>
      <c r="AC331" s="4"/>
      <c r="AD331" s="4"/>
      <c r="AE331" s="4"/>
      <c r="AF331" s="4"/>
    </row>
    <row r="332" spans="1:32" ht="15.75" customHeight="1" x14ac:dyDescent="0.25">
      <c r="A332" s="4"/>
      <c r="B332" s="11"/>
      <c r="C332" s="4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4"/>
      <c r="AC332" s="4"/>
      <c r="AD332" s="4"/>
      <c r="AE332" s="4"/>
      <c r="AF332" s="4"/>
    </row>
    <row r="333" spans="1:32" ht="15.75" customHeight="1" x14ac:dyDescent="0.25">
      <c r="A333" s="4"/>
      <c r="B333" s="11"/>
      <c r="C333" s="4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4"/>
      <c r="AC333" s="4"/>
      <c r="AD333" s="4"/>
      <c r="AE333" s="4"/>
      <c r="AF333" s="4"/>
    </row>
    <row r="334" spans="1:32" ht="15.75" customHeight="1" x14ac:dyDescent="0.25">
      <c r="A334" s="4"/>
      <c r="B334" s="11"/>
      <c r="C334" s="4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4"/>
      <c r="AC334" s="4"/>
      <c r="AD334" s="4"/>
      <c r="AE334" s="4"/>
      <c r="AF334" s="4"/>
    </row>
    <row r="335" spans="1:32" ht="15.75" customHeight="1" x14ac:dyDescent="0.25">
      <c r="A335" s="4"/>
      <c r="B335" s="11"/>
      <c r="C335" s="4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4"/>
      <c r="AC335" s="4"/>
      <c r="AD335" s="4"/>
      <c r="AE335" s="4"/>
      <c r="AF335" s="4"/>
    </row>
    <row r="336" spans="1:32" ht="15.75" customHeight="1" x14ac:dyDescent="0.25">
      <c r="A336" s="4"/>
      <c r="B336" s="11"/>
      <c r="C336" s="4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4"/>
      <c r="AC336" s="4"/>
      <c r="AD336" s="4"/>
      <c r="AE336" s="4"/>
      <c r="AF336" s="4"/>
    </row>
    <row r="337" spans="1:32" ht="15.75" customHeight="1" x14ac:dyDescent="0.25">
      <c r="A337" s="4"/>
      <c r="B337" s="11"/>
      <c r="C337" s="4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4"/>
      <c r="AC337" s="4"/>
      <c r="AD337" s="4"/>
      <c r="AE337" s="4"/>
      <c r="AF337" s="4"/>
    </row>
    <row r="338" spans="1:32" ht="15.75" customHeight="1" x14ac:dyDescent="0.25">
      <c r="A338" s="4"/>
      <c r="B338" s="11"/>
      <c r="C338" s="4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4"/>
      <c r="AC338" s="4"/>
      <c r="AD338" s="4"/>
      <c r="AE338" s="4"/>
      <c r="AF338" s="4"/>
    </row>
    <row r="339" spans="1:32" ht="15.75" customHeight="1" x14ac:dyDescent="0.25">
      <c r="A339" s="4"/>
      <c r="B339" s="11"/>
      <c r="C339" s="4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4"/>
      <c r="AC339" s="4"/>
      <c r="AD339" s="4"/>
      <c r="AE339" s="4"/>
      <c r="AF339" s="4"/>
    </row>
    <row r="340" spans="1:32" ht="15.75" customHeight="1" x14ac:dyDescent="0.25">
      <c r="A340" s="4"/>
      <c r="B340" s="11"/>
      <c r="C340" s="4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4"/>
      <c r="AC340" s="4"/>
      <c r="AD340" s="4"/>
      <c r="AE340" s="4"/>
      <c r="AF340" s="4"/>
    </row>
    <row r="341" spans="1:32" ht="15.75" customHeight="1" x14ac:dyDescent="0.25">
      <c r="A341" s="4"/>
      <c r="B341" s="11"/>
      <c r="C341" s="4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4"/>
      <c r="AC341" s="4"/>
      <c r="AD341" s="4"/>
      <c r="AE341" s="4"/>
      <c r="AF341" s="4"/>
    </row>
    <row r="342" spans="1:32" ht="15.75" customHeight="1" x14ac:dyDescent="0.25">
      <c r="A342" s="4"/>
      <c r="B342" s="11"/>
      <c r="C342" s="4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4"/>
      <c r="AC342" s="4"/>
      <c r="AD342" s="4"/>
      <c r="AE342" s="4"/>
      <c r="AF342" s="4"/>
    </row>
    <row r="343" spans="1:32" ht="15.75" customHeight="1" x14ac:dyDescent="0.25">
      <c r="A343" s="4"/>
      <c r="B343" s="11"/>
      <c r="C343" s="4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4"/>
      <c r="AC343" s="4"/>
      <c r="AD343" s="4"/>
      <c r="AE343" s="4"/>
      <c r="AF343" s="4"/>
    </row>
    <row r="344" spans="1:32" ht="15.75" customHeight="1" x14ac:dyDescent="0.25">
      <c r="A344" s="4"/>
      <c r="B344" s="11"/>
      <c r="C344" s="4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4"/>
      <c r="AC344" s="4"/>
      <c r="AD344" s="4"/>
      <c r="AE344" s="4"/>
      <c r="AF344" s="4"/>
    </row>
    <row r="345" spans="1:32" ht="15.75" customHeight="1" x14ac:dyDescent="0.25">
      <c r="A345" s="4"/>
      <c r="B345" s="11"/>
      <c r="C345" s="4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4"/>
      <c r="AC345" s="4"/>
      <c r="AD345" s="4"/>
      <c r="AE345" s="4"/>
      <c r="AF345" s="4"/>
    </row>
    <row r="346" spans="1:32" ht="15.75" customHeight="1" x14ac:dyDescent="0.25">
      <c r="A346" s="4"/>
      <c r="B346" s="11"/>
      <c r="C346" s="4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4"/>
      <c r="AC346" s="4"/>
      <c r="AD346" s="4"/>
      <c r="AE346" s="4"/>
      <c r="AF346" s="4"/>
    </row>
    <row r="347" spans="1:32" ht="15.75" customHeight="1" x14ac:dyDescent="0.25">
      <c r="A347" s="4"/>
      <c r="B347" s="11"/>
      <c r="C347" s="4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4"/>
      <c r="AC347" s="4"/>
      <c r="AD347" s="4"/>
      <c r="AE347" s="4"/>
      <c r="AF347" s="4"/>
    </row>
    <row r="348" spans="1:32" ht="15.75" customHeight="1" x14ac:dyDescent="0.25">
      <c r="A348" s="4"/>
      <c r="B348" s="11"/>
      <c r="C348" s="4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4"/>
      <c r="AC348" s="4"/>
      <c r="AD348" s="4"/>
      <c r="AE348" s="4"/>
      <c r="AF348" s="4"/>
    </row>
    <row r="349" spans="1:32" ht="15.75" customHeight="1" x14ac:dyDescent="0.25">
      <c r="A349" s="4"/>
      <c r="B349" s="11"/>
      <c r="C349" s="4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4"/>
      <c r="AC349" s="4"/>
      <c r="AD349" s="4"/>
      <c r="AE349" s="4"/>
      <c r="AF349" s="4"/>
    </row>
    <row r="350" spans="1:32" ht="15.75" customHeight="1" x14ac:dyDescent="0.25">
      <c r="A350" s="4"/>
      <c r="B350" s="11"/>
      <c r="C350" s="4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4"/>
      <c r="AC350" s="4"/>
      <c r="AD350" s="4"/>
      <c r="AE350" s="4"/>
      <c r="AF350" s="4"/>
    </row>
    <row r="351" spans="1:32" ht="15.75" customHeight="1" x14ac:dyDescent="0.25">
      <c r="A351" s="4"/>
      <c r="B351" s="11"/>
      <c r="C351" s="4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4"/>
      <c r="AC351" s="4"/>
      <c r="AD351" s="4"/>
      <c r="AE351" s="4"/>
      <c r="AF351" s="4"/>
    </row>
    <row r="352" spans="1:32" ht="15.75" customHeight="1" x14ac:dyDescent="0.25">
      <c r="A352" s="4"/>
      <c r="B352" s="11"/>
      <c r="C352" s="4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4"/>
      <c r="AC352" s="4"/>
      <c r="AD352" s="4"/>
      <c r="AE352" s="4"/>
      <c r="AF352" s="4"/>
    </row>
    <row r="353" spans="1:32" ht="15.75" customHeight="1" x14ac:dyDescent="0.25">
      <c r="A353" s="4"/>
      <c r="B353" s="11"/>
      <c r="C353" s="4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4"/>
      <c r="AC353" s="4"/>
      <c r="AD353" s="4"/>
      <c r="AE353" s="4"/>
      <c r="AF353" s="4"/>
    </row>
    <row r="354" spans="1:32" ht="15.75" customHeight="1" x14ac:dyDescent="0.25">
      <c r="A354" s="4"/>
      <c r="B354" s="11"/>
      <c r="C354" s="4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4"/>
      <c r="AC354" s="4"/>
      <c r="AD354" s="4"/>
      <c r="AE354" s="4"/>
      <c r="AF354" s="4"/>
    </row>
    <row r="355" spans="1:32" ht="15.75" customHeight="1" x14ac:dyDescent="0.25">
      <c r="A355" s="4"/>
      <c r="B355" s="11"/>
      <c r="C355" s="4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4"/>
      <c r="AC355" s="4"/>
      <c r="AD355" s="4"/>
      <c r="AE355" s="4"/>
      <c r="AF355" s="4"/>
    </row>
    <row r="356" spans="1:32" ht="15.75" customHeight="1" x14ac:dyDescent="0.25">
      <c r="A356" s="4"/>
      <c r="B356" s="11"/>
      <c r="C356" s="4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4"/>
      <c r="AC356" s="4"/>
      <c r="AD356" s="4"/>
      <c r="AE356" s="4"/>
      <c r="AF356" s="4"/>
    </row>
    <row r="357" spans="1:32" ht="15.75" customHeight="1" x14ac:dyDescent="0.25">
      <c r="A357" s="4"/>
      <c r="B357" s="11"/>
      <c r="C357" s="4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4"/>
      <c r="AC357" s="4"/>
      <c r="AD357" s="4"/>
      <c r="AE357" s="4"/>
      <c r="AF357" s="4"/>
    </row>
    <row r="358" spans="1:32" ht="15.75" customHeight="1" x14ac:dyDescent="0.25">
      <c r="A358" s="4"/>
      <c r="B358" s="11"/>
      <c r="C358" s="4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4"/>
      <c r="AC358" s="4"/>
      <c r="AD358" s="4"/>
      <c r="AE358" s="4"/>
      <c r="AF358" s="4"/>
    </row>
    <row r="359" spans="1:32" ht="15.75" customHeight="1" x14ac:dyDescent="0.25">
      <c r="A359" s="4"/>
      <c r="B359" s="11"/>
      <c r="C359" s="4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4"/>
      <c r="AC359" s="4"/>
      <c r="AD359" s="4"/>
      <c r="AE359" s="4"/>
      <c r="AF359" s="4"/>
    </row>
    <row r="360" spans="1:32" ht="15.75" customHeight="1" x14ac:dyDescent="0.25">
      <c r="A360" s="4"/>
      <c r="B360" s="11"/>
      <c r="C360" s="4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4"/>
      <c r="AC360" s="4"/>
      <c r="AD360" s="4"/>
      <c r="AE360" s="4"/>
      <c r="AF360" s="4"/>
    </row>
    <row r="361" spans="1:32" ht="15.75" customHeight="1" x14ac:dyDescent="0.25">
      <c r="A361" s="4"/>
      <c r="B361" s="11"/>
      <c r="C361" s="4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4"/>
      <c r="AC361" s="4"/>
      <c r="AD361" s="4"/>
      <c r="AE361" s="4"/>
      <c r="AF361" s="4"/>
    </row>
    <row r="362" spans="1:32" ht="15.75" customHeight="1" x14ac:dyDescent="0.25">
      <c r="A362" s="4"/>
      <c r="B362" s="11"/>
      <c r="C362" s="4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4"/>
      <c r="AC362" s="4"/>
      <c r="AD362" s="4"/>
      <c r="AE362" s="4"/>
      <c r="AF362" s="4"/>
    </row>
    <row r="363" spans="1:32" ht="15.75" customHeight="1" x14ac:dyDescent="0.25">
      <c r="A363" s="4"/>
      <c r="B363" s="11"/>
      <c r="C363" s="4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4"/>
      <c r="AC363" s="4"/>
      <c r="AD363" s="4"/>
      <c r="AE363" s="4"/>
      <c r="AF363" s="4"/>
    </row>
    <row r="364" spans="1:32" ht="15.75" customHeight="1" x14ac:dyDescent="0.25">
      <c r="A364" s="4"/>
      <c r="B364" s="11"/>
      <c r="C364" s="4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4"/>
      <c r="AC364" s="4"/>
      <c r="AD364" s="4"/>
      <c r="AE364" s="4"/>
      <c r="AF364" s="4"/>
    </row>
    <row r="365" spans="1:32" ht="15.75" customHeight="1" x14ac:dyDescent="0.25">
      <c r="A365" s="4"/>
      <c r="B365" s="11"/>
      <c r="C365" s="4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4"/>
      <c r="AC365" s="4"/>
      <c r="AD365" s="4"/>
      <c r="AE365" s="4"/>
      <c r="AF365" s="4"/>
    </row>
    <row r="366" spans="1:32" ht="15.75" customHeight="1" x14ac:dyDescent="0.25">
      <c r="A366" s="4"/>
      <c r="B366" s="11"/>
      <c r="C366" s="4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4"/>
      <c r="AC366" s="4"/>
      <c r="AD366" s="4"/>
      <c r="AE366" s="4"/>
      <c r="AF366" s="4"/>
    </row>
    <row r="367" spans="1:32" ht="15.75" customHeight="1" x14ac:dyDescent="0.25">
      <c r="A367" s="4"/>
      <c r="B367" s="11"/>
      <c r="C367" s="4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4"/>
      <c r="AC367" s="4"/>
      <c r="AD367" s="4"/>
      <c r="AE367" s="4"/>
      <c r="AF367" s="4"/>
    </row>
    <row r="368" spans="1:32" ht="15.75" customHeight="1" x14ac:dyDescent="0.25">
      <c r="A368" s="4"/>
      <c r="B368" s="11"/>
      <c r="C368" s="4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4"/>
      <c r="AC368" s="4"/>
      <c r="AD368" s="4"/>
      <c r="AE368" s="4"/>
      <c r="AF368" s="4"/>
    </row>
    <row r="369" spans="1:32" ht="15.75" customHeight="1" x14ac:dyDescent="0.25">
      <c r="A369" s="4"/>
      <c r="B369" s="11"/>
      <c r="C369" s="4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4"/>
      <c r="AC369" s="4"/>
      <c r="AD369" s="4"/>
      <c r="AE369" s="4"/>
      <c r="AF369" s="4"/>
    </row>
    <row r="370" spans="1:32" ht="15.75" customHeight="1" x14ac:dyDescent="0.25">
      <c r="A370" s="4"/>
      <c r="B370" s="11"/>
      <c r="C370" s="4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4"/>
      <c r="AC370" s="4"/>
      <c r="AD370" s="4"/>
      <c r="AE370" s="4"/>
      <c r="AF370" s="4"/>
    </row>
    <row r="371" spans="1:32" ht="15.75" customHeight="1" x14ac:dyDescent="0.25">
      <c r="A371" s="4"/>
      <c r="B371" s="11"/>
      <c r="C371" s="4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4"/>
      <c r="AC371" s="4"/>
      <c r="AD371" s="4"/>
      <c r="AE371" s="4"/>
      <c r="AF371" s="4"/>
    </row>
    <row r="372" spans="1:32" ht="15.75" customHeight="1" x14ac:dyDescent="0.25">
      <c r="A372" s="4"/>
      <c r="B372" s="11"/>
      <c r="C372" s="4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4"/>
      <c r="AC372" s="4"/>
      <c r="AD372" s="4"/>
      <c r="AE372" s="4"/>
      <c r="AF372" s="4"/>
    </row>
    <row r="373" spans="1:32" ht="15.75" customHeight="1" x14ac:dyDescent="0.25">
      <c r="A373" s="4"/>
      <c r="B373" s="11"/>
      <c r="C373" s="4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4"/>
      <c r="AC373" s="4"/>
      <c r="AD373" s="4"/>
      <c r="AE373" s="4"/>
      <c r="AF373" s="4"/>
    </row>
    <row r="374" spans="1:32" ht="15.75" customHeight="1" x14ac:dyDescent="0.25">
      <c r="A374" s="4"/>
      <c r="B374" s="11"/>
      <c r="C374" s="4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4"/>
      <c r="AC374" s="4"/>
      <c r="AD374" s="4"/>
      <c r="AE374" s="4"/>
      <c r="AF374" s="4"/>
    </row>
    <row r="375" spans="1:32" ht="15.75" customHeight="1" x14ac:dyDescent="0.25">
      <c r="A375" s="4"/>
      <c r="B375" s="11"/>
      <c r="C375" s="4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4"/>
      <c r="AC375" s="4"/>
      <c r="AD375" s="4"/>
      <c r="AE375" s="4"/>
      <c r="AF375" s="4"/>
    </row>
    <row r="376" spans="1:32" ht="15.75" customHeight="1" x14ac:dyDescent="0.25">
      <c r="A376" s="4"/>
      <c r="B376" s="11"/>
      <c r="C376" s="4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4"/>
      <c r="AC376" s="4"/>
      <c r="AD376" s="4"/>
      <c r="AE376" s="4"/>
      <c r="AF376" s="4"/>
    </row>
    <row r="377" spans="1:32" ht="15.75" customHeight="1" x14ac:dyDescent="0.25">
      <c r="A377" s="4"/>
      <c r="B377" s="11"/>
      <c r="C377" s="4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4"/>
      <c r="AC377" s="4"/>
      <c r="AD377" s="4"/>
      <c r="AE377" s="4"/>
      <c r="AF377" s="4"/>
    </row>
    <row r="378" spans="1:32" ht="15.75" customHeight="1" x14ac:dyDescent="0.25">
      <c r="A378" s="4"/>
      <c r="B378" s="11"/>
      <c r="C378" s="4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4"/>
      <c r="AC378" s="4"/>
      <c r="AD378" s="4"/>
      <c r="AE378" s="4"/>
      <c r="AF378" s="4"/>
    </row>
    <row r="379" spans="1:32" ht="15.75" customHeight="1" x14ac:dyDescent="0.25">
      <c r="A379" s="4"/>
      <c r="B379" s="11"/>
      <c r="C379" s="4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4"/>
      <c r="AC379" s="4"/>
      <c r="AD379" s="4"/>
      <c r="AE379" s="4"/>
      <c r="AF379" s="4"/>
    </row>
    <row r="380" spans="1:32" ht="15.75" customHeight="1" x14ac:dyDescent="0.25">
      <c r="A380" s="4"/>
      <c r="B380" s="11"/>
      <c r="C380" s="4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4"/>
      <c r="AC380" s="4"/>
      <c r="AD380" s="4"/>
      <c r="AE380" s="4"/>
      <c r="AF380" s="4"/>
    </row>
    <row r="381" spans="1:32" ht="15.75" customHeight="1" x14ac:dyDescent="0.25">
      <c r="A381" s="4"/>
      <c r="B381" s="11"/>
      <c r="C381" s="4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4"/>
      <c r="AC381" s="4"/>
      <c r="AD381" s="4"/>
      <c r="AE381" s="4"/>
      <c r="AF381" s="4"/>
    </row>
    <row r="382" spans="1:32" ht="15.75" customHeight="1" x14ac:dyDescent="0.25">
      <c r="A382" s="4"/>
      <c r="B382" s="11"/>
      <c r="C382" s="4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4"/>
      <c r="AC382" s="4"/>
      <c r="AD382" s="4"/>
      <c r="AE382" s="4"/>
      <c r="AF382" s="4"/>
    </row>
    <row r="383" spans="1:32" ht="15.75" customHeight="1" x14ac:dyDescent="0.25">
      <c r="A383" s="4"/>
      <c r="B383" s="11"/>
      <c r="C383" s="4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4"/>
      <c r="AC383" s="4"/>
      <c r="AD383" s="4"/>
      <c r="AE383" s="4"/>
      <c r="AF383" s="4"/>
    </row>
    <row r="384" spans="1:32" ht="15.75" customHeight="1" x14ac:dyDescent="0.25">
      <c r="A384" s="4"/>
      <c r="B384" s="11"/>
      <c r="C384" s="4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4"/>
      <c r="AC384" s="4"/>
      <c r="AD384" s="4"/>
      <c r="AE384" s="4"/>
      <c r="AF384" s="4"/>
    </row>
    <row r="385" spans="1:32" ht="15.75" customHeight="1" x14ac:dyDescent="0.25">
      <c r="A385" s="4"/>
      <c r="B385" s="11"/>
      <c r="C385" s="4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4"/>
      <c r="AC385" s="4"/>
      <c r="AD385" s="4"/>
      <c r="AE385" s="4"/>
      <c r="AF385" s="4"/>
    </row>
    <row r="386" spans="1:32" ht="15.75" customHeight="1" x14ac:dyDescent="0.25">
      <c r="A386" s="4"/>
      <c r="B386" s="11"/>
      <c r="C386" s="4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4"/>
      <c r="AC386" s="4"/>
      <c r="AD386" s="4"/>
      <c r="AE386" s="4"/>
      <c r="AF386" s="4"/>
    </row>
    <row r="387" spans="1:32" ht="15.75" customHeight="1" x14ac:dyDescent="0.25">
      <c r="A387" s="4"/>
      <c r="B387" s="11"/>
      <c r="C387" s="4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4"/>
      <c r="AC387" s="4"/>
      <c r="AD387" s="4"/>
      <c r="AE387" s="4"/>
      <c r="AF387" s="4"/>
    </row>
    <row r="388" spans="1:32" ht="15.75" customHeight="1" x14ac:dyDescent="0.25">
      <c r="A388" s="4"/>
      <c r="B388" s="11"/>
      <c r="C388" s="4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4"/>
      <c r="AC388" s="4"/>
      <c r="AD388" s="4"/>
      <c r="AE388" s="4"/>
      <c r="AF388" s="4"/>
    </row>
    <row r="389" spans="1:32" ht="15.75" customHeight="1" x14ac:dyDescent="0.25">
      <c r="A389" s="4"/>
      <c r="B389" s="11"/>
      <c r="C389" s="4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4"/>
      <c r="AC389" s="4"/>
      <c r="AD389" s="4"/>
      <c r="AE389" s="4"/>
      <c r="AF389" s="4"/>
    </row>
    <row r="390" spans="1:32" ht="15.75" customHeight="1" x14ac:dyDescent="0.25">
      <c r="A390" s="4"/>
      <c r="B390" s="11"/>
      <c r="C390" s="4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4"/>
      <c r="AC390" s="4"/>
      <c r="AD390" s="4"/>
      <c r="AE390" s="4"/>
      <c r="AF390" s="4"/>
    </row>
    <row r="391" spans="1:32" ht="15.75" customHeight="1" x14ac:dyDescent="0.25">
      <c r="A391" s="4"/>
      <c r="B391" s="11"/>
      <c r="C391" s="4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4"/>
      <c r="AC391" s="4"/>
      <c r="AD391" s="4"/>
      <c r="AE391" s="4"/>
      <c r="AF391" s="4"/>
    </row>
    <row r="392" spans="1:32" ht="15.75" customHeight="1" x14ac:dyDescent="0.25">
      <c r="A392" s="4"/>
      <c r="B392" s="11"/>
      <c r="C392" s="4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4"/>
      <c r="AC392" s="4"/>
      <c r="AD392" s="4"/>
      <c r="AE392" s="4"/>
      <c r="AF392" s="4"/>
    </row>
    <row r="393" spans="1:32" ht="15.75" customHeight="1" x14ac:dyDescent="0.25">
      <c r="A393" s="4"/>
      <c r="B393" s="11"/>
      <c r="C393" s="4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4"/>
      <c r="AC393" s="4"/>
      <c r="AD393" s="4"/>
      <c r="AE393" s="4"/>
      <c r="AF393" s="4"/>
    </row>
    <row r="394" spans="1:32" ht="15.75" customHeight="1" x14ac:dyDescent="0.25">
      <c r="A394" s="4"/>
      <c r="B394" s="11"/>
      <c r="C394" s="4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4"/>
      <c r="AC394" s="4"/>
      <c r="AD394" s="4"/>
      <c r="AE394" s="4"/>
      <c r="AF394" s="4"/>
    </row>
    <row r="395" spans="1:32" ht="15.75" customHeight="1" x14ac:dyDescent="0.25">
      <c r="A395" s="4"/>
      <c r="B395" s="11"/>
      <c r="C395" s="4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4"/>
      <c r="AC395" s="4"/>
      <c r="AD395" s="4"/>
      <c r="AE395" s="4"/>
      <c r="AF395" s="4"/>
    </row>
    <row r="396" spans="1:32" ht="15.75" customHeight="1" x14ac:dyDescent="0.25">
      <c r="A396" s="4"/>
      <c r="B396" s="11"/>
      <c r="C396" s="4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4"/>
      <c r="AC396" s="4"/>
      <c r="AD396" s="4"/>
      <c r="AE396" s="4"/>
      <c r="AF396" s="4"/>
    </row>
    <row r="397" spans="1:32" ht="15.75" customHeight="1" x14ac:dyDescent="0.25">
      <c r="A397" s="4"/>
      <c r="B397" s="11"/>
      <c r="C397" s="4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4"/>
      <c r="AC397" s="4"/>
      <c r="AD397" s="4"/>
      <c r="AE397" s="4"/>
      <c r="AF397" s="4"/>
    </row>
    <row r="398" spans="1:32" ht="15.75" customHeight="1" x14ac:dyDescent="0.25">
      <c r="A398" s="4"/>
      <c r="B398" s="11"/>
      <c r="C398" s="4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4"/>
      <c r="AC398" s="4"/>
      <c r="AD398" s="4"/>
      <c r="AE398" s="4"/>
      <c r="AF398" s="4"/>
    </row>
    <row r="399" spans="1:32" ht="15.75" customHeight="1" x14ac:dyDescent="0.25">
      <c r="A399" s="4"/>
      <c r="B399" s="11"/>
      <c r="C399" s="4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4"/>
      <c r="AC399" s="4"/>
      <c r="AD399" s="4"/>
      <c r="AE399" s="4"/>
      <c r="AF399" s="4"/>
    </row>
    <row r="400" spans="1:32" ht="15.75" customHeight="1" x14ac:dyDescent="0.25">
      <c r="A400" s="4"/>
      <c r="B400" s="11"/>
      <c r="C400" s="4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4"/>
      <c r="AC400" s="4"/>
      <c r="AD400" s="4"/>
      <c r="AE400" s="4"/>
      <c r="AF400" s="4"/>
    </row>
    <row r="401" spans="1:32" ht="15.75" customHeight="1" x14ac:dyDescent="0.25">
      <c r="A401" s="4"/>
      <c r="B401" s="11"/>
      <c r="C401" s="4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4"/>
      <c r="AC401" s="4"/>
      <c r="AD401" s="4"/>
      <c r="AE401" s="4"/>
      <c r="AF401" s="4"/>
    </row>
    <row r="402" spans="1:32" ht="15.75" customHeight="1" x14ac:dyDescent="0.25">
      <c r="A402" s="4"/>
      <c r="B402" s="11"/>
      <c r="C402" s="4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4"/>
      <c r="AC402" s="4"/>
      <c r="AD402" s="4"/>
      <c r="AE402" s="4"/>
      <c r="AF402" s="4"/>
    </row>
    <row r="403" spans="1:32" ht="15.75" customHeight="1" x14ac:dyDescent="0.25">
      <c r="A403" s="4"/>
      <c r="B403" s="11"/>
      <c r="C403" s="4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4"/>
      <c r="AC403" s="4"/>
      <c r="AD403" s="4"/>
      <c r="AE403" s="4"/>
      <c r="AF403" s="4"/>
    </row>
    <row r="404" spans="1:32" ht="15.75" customHeight="1" x14ac:dyDescent="0.25">
      <c r="A404" s="4"/>
      <c r="B404" s="11"/>
      <c r="C404" s="4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4"/>
      <c r="AC404" s="4"/>
      <c r="AD404" s="4"/>
      <c r="AE404" s="4"/>
      <c r="AF404" s="4"/>
    </row>
    <row r="405" spans="1:32" ht="15.75" customHeight="1" x14ac:dyDescent="0.25">
      <c r="A405" s="4"/>
      <c r="B405" s="11"/>
      <c r="C405" s="4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4"/>
      <c r="AC405" s="4"/>
      <c r="AD405" s="4"/>
      <c r="AE405" s="4"/>
      <c r="AF405" s="4"/>
    </row>
    <row r="406" spans="1:32" ht="15.75" customHeight="1" x14ac:dyDescent="0.25">
      <c r="A406" s="4"/>
      <c r="B406" s="11"/>
      <c r="C406" s="4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4"/>
      <c r="AC406" s="4"/>
      <c r="AD406" s="4"/>
      <c r="AE406" s="4"/>
      <c r="AF406" s="4"/>
    </row>
    <row r="407" spans="1:32" ht="15.75" customHeight="1" x14ac:dyDescent="0.25">
      <c r="A407" s="4"/>
      <c r="B407" s="11"/>
      <c r="C407" s="4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4"/>
      <c r="AC407" s="4"/>
      <c r="AD407" s="4"/>
      <c r="AE407" s="4"/>
      <c r="AF407" s="4"/>
    </row>
    <row r="408" spans="1:32" ht="15.75" customHeight="1" x14ac:dyDescent="0.25">
      <c r="A408" s="4"/>
      <c r="B408" s="11"/>
      <c r="C408" s="4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4"/>
      <c r="AC408" s="4"/>
      <c r="AD408" s="4"/>
      <c r="AE408" s="4"/>
      <c r="AF408" s="4"/>
    </row>
    <row r="409" spans="1:32" ht="15.75" customHeight="1" x14ac:dyDescent="0.25">
      <c r="A409" s="4"/>
      <c r="B409" s="11"/>
      <c r="C409" s="4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4"/>
      <c r="AC409" s="4"/>
      <c r="AD409" s="4"/>
      <c r="AE409" s="4"/>
      <c r="AF409" s="4"/>
    </row>
    <row r="410" spans="1:32" ht="15.75" customHeight="1" x14ac:dyDescent="0.25">
      <c r="A410" s="4"/>
      <c r="B410" s="11"/>
      <c r="C410" s="4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4"/>
      <c r="AC410" s="4"/>
      <c r="AD410" s="4"/>
      <c r="AE410" s="4"/>
      <c r="AF410" s="4"/>
    </row>
    <row r="411" spans="1:32" ht="15.75" customHeight="1" x14ac:dyDescent="0.25">
      <c r="A411" s="4"/>
      <c r="B411" s="11"/>
      <c r="C411" s="4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4"/>
      <c r="AC411" s="4"/>
      <c r="AD411" s="4"/>
      <c r="AE411" s="4"/>
      <c r="AF411" s="4"/>
    </row>
    <row r="412" spans="1:32" ht="15.75" customHeight="1" x14ac:dyDescent="0.25">
      <c r="A412" s="4"/>
      <c r="B412" s="11"/>
      <c r="C412" s="4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4"/>
      <c r="AC412" s="4"/>
      <c r="AD412" s="4"/>
      <c r="AE412" s="4"/>
      <c r="AF412" s="4"/>
    </row>
    <row r="413" spans="1:32" ht="15.75" customHeight="1" x14ac:dyDescent="0.25">
      <c r="A413" s="4"/>
      <c r="B413" s="11"/>
      <c r="C413" s="4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4"/>
      <c r="AC413" s="4"/>
      <c r="AD413" s="4"/>
      <c r="AE413" s="4"/>
      <c r="AF413" s="4"/>
    </row>
    <row r="414" spans="1:32" ht="15.75" customHeight="1" x14ac:dyDescent="0.25">
      <c r="A414" s="4"/>
      <c r="B414" s="11"/>
      <c r="C414" s="4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4"/>
      <c r="AC414" s="4"/>
      <c r="AD414" s="4"/>
      <c r="AE414" s="4"/>
      <c r="AF414" s="4"/>
    </row>
    <row r="415" spans="1:32" ht="15.75" customHeight="1" x14ac:dyDescent="0.25">
      <c r="A415" s="4"/>
      <c r="B415" s="11"/>
      <c r="C415" s="4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4"/>
      <c r="AC415" s="4"/>
      <c r="AD415" s="4"/>
      <c r="AE415" s="4"/>
      <c r="AF415" s="4"/>
    </row>
    <row r="416" spans="1:32" ht="15.75" customHeight="1" x14ac:dyDescent="0.25">
      <c r="A416" s="4"/>
      <c r="B416" s="11"/>
      <c r="C416" s="4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4"/>
      <c r="AC416" s="4"/>
      <c r="AD416" s="4"/>
      <c r="AE416" s="4"/>
      <c r="AF416" s="4"/>
    </row>
    <row r="417" spans="1:32" ht="15.75" customHeight="1" x14ac:dyDescent="0.25">
      <c r="A417" s="4"/>
      <c r="B417" s="11"/>
      <c r="C417" s="4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4"/>
      <c r="AC417" s="4"/>
      <c r="AD417" s="4"/>
      <c r="AE417" s="4"/>
      <c r="AF417" s="4"/>
    </row>
    <row r="418" spans="1:32" ht="15.75" customHeight="1" x14ac:dyDescent="0.25">
      <c r="A418" s="4"/>
      <c r="B418" s="11"/>
      <c r="C418" s="4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4"/>
      <c r="AC418" s="4"/>
      <c r="AD418" s="4"/>
      <c r="AE418" s="4"/>
      <c r="AF418" s="4"/>
    </row>
    <row r="419" spans="1:32" ht="15.75" customHeight="1" x14ac:dyDescent="0.25">
      <c r="A419" s="4"/>
      <c r="B419" s="11"/>
      <c r="C419" s="4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4"/>
      <c r="AC419" s="4"/>
      <c r="AD419" s="4"/>
      <c r="AE419" s="4"/>
      <c r="AF419" s="4"/>
    </row>
    <row r="420" spans="1:32" ht="15.75" customHeight="1" x14ac:dyDescent="0.25">
      <c r="A420" s="4"/>
      <c r="B420" s="11"/>
      <c r="C420" s="4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4"/>
      <c r="AC420" s="4"/>
      <c r="AD420" s="4"/>
      <c r="AE420" s="4"/>
      <c r="AF420" s="4"/>
    </row>
    <row r="421" spans="1:32" ht="15.75" customHeight="1" x14ac:dyDescent="0.25">
      <c r="A421" s="4"/>
      <c r="B421" s="11"/>
      <c r="C421" s="4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4"/>
      <c r="AC421" s="4"/>
      <c r="AD421" s="4"/>
      <c r="AE421" s="4"/>
      <c r="AF421" s="4"/>
    </row>
    <row r="422" spans="1:32" ht="15.75" customHeight="1" x14ac:dyDescent="0.25">
      <c r="A422" s="4"/>
      <c r="B422" s="11"/>
      <c r="C422" s="4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4"/>
      <c r="AC422" s="4"/>
      <c r="AD422" s="4"/>
      <c r="AE422" s="4"/>
      <c r="AF422" s="4"/>
    </row>
    <row r="423" spans="1:32" ht="15.75" customHeight="1" x14ac:dyDescent="0.25">
      <c r="A423" s="4"/>
      <c r="B423" s="11"/>
      <c r="C423" s="4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4"/>
      <c r="AC423" s="4"/>
      <c r="AD423" s="4"/>
      <c r="AE423" s="4"/>
      <c r="AF423" s="4"/>
    </row>
    <row r="424" spans="1:32" ht="15.75" customHeight="1" x14ac:dyDescent="0.25">
      <c r="A424" s="4"/>
      <c r="B424" s="11"/>
      <c r="C424" s="4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4"/>
      <c r="AC424" s="4"/>
      <c r="AD424" s="4"/>
      <c r="AE424" s="4"/>
      <c r="AF424" s="4"/>
    </row>
    <row r="425" spans="1:32" ht="15.75" customHeight="1" x14ac:dyDescent="0.25">
      <c r="A425" s="4"/>
      <c r="B425" s="11"/>
      <c r="C425" s="4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4"/>
      <c r="AC425" s="4"/>
      <c r="AD425" s="4"/>
      <c r="AE425" s="4"/>
      <c r="AF425" s="4"/>
    </row>
    <row r="426" spans="1:32" ht="15.75" customHeight="1" x14ac:dyDescent="0.25">
      <c r="A426" s="4"/>
      <c r="B426" s="11"/>
      <c r="C426" s="4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4"/>
      <c r="AC426" s="4"/>
      <c r="AD426" s="4"/>
      <c r="AE426" s="4"/>
      <c r="AF426" s="4"/>
    </row>
    <row r="427" spans="1:32" ht="15.75" customHeight="1" x14ac:dyDescent="0.25">
      <c r="A427" s="4"/>
      <c r="B427" s="11"/>
      <c r="C427" s="4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4"/>
      <c r="AC427" s="4"/>
      <c r="AD427" s="4"/>
      <c r="AE427" s="4"/>
      <c r="AF427" s="4"/>
    </row>
    <row r="428" spans="1:32" ht="15.75" customHeight="1" x14ac:dyDescent="0.25">
      <c r="A428" s="4"/>
      <c r="B428" s="11"/>
      <c r="C428" s="4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4"/>
      <c r="AC428" s="4"/>
      <c r="AD428" s="4"/>
      <c r="AE428" s="4"/>
      <c r="AF428" s="4"/>
    </row>
    <row r="429" spans="1:32" ht="15.75" customHeight="1" x14ac:dyDescent="0.25">
      <c r="A429" s="4"/>
      <c r="B429" s="11"/>
      <c r="C429" s="4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4"/>
      <c r="AC429" s="4"/>
      <c r="AD429" s="4"/>
      <c r="AE429" s="4"/>
      <c r="AF429" s="4"/>
    </row>
    <row r="430" spans="1:32" ht="15.75" customHeight="1" x14ac:dyDescent="0.25">
      <c r="A430" s="4"/>
      <c r="B430" s="11"/>
      <c r="C430" s="4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4"/>
      <c r="AC430" s="4"/>
      <c r="AD430" s="4"/>
      <c r="AE430" s="4"/>
      <c r="AF430" s="4"/>
    </row>
    <row r="431" spans="1:32" ht="15.75" customHeight="1" x14ac:dyDescent="0.25">
      <c r="A431" s="4"/>
      <c r="B431" s="11"/>
      <c r="C431" s="4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4"/>
      <c r="AC431" s="4"/>
      <c r="AD431" s="4"/>
      <c r="AE431" s="4"/>
      <c r="AF431" s="4"/>
    </row>
    <row r="432" spans="1:32" ht="15.75" customHeight="1" x14ac:dyDescent="0.25">
      <c r="A432" s="4"/>
      <c r="B432" s="11"/>
      <c r="C432" s="4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4"/>
      <c r="AC432" s="4"/>
      <c r="AD432" s="4"/>
      <c r="AE432" s="4"/>
      <c r="AF432" s="4"/>
    </row>
    <row r="433" spans="1:32" ht="15.75" customHeight="1" x14ac:dyDescent="0.25">
      <c r="A433" s="4"/>
      <c r="B433" s="11"/>
      <c r="C433" s="4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4"/>
      <c r="AC433" s="4"/>
      <c r="AD433" s="4"/>
      <c r="AE433" s="4"/>
      <c r="AF433" s="4"/>
    </row>
    <row r="434" spans="1:32" ht="15.75" customHeight="1" x14ac:dyDescent="0.25">
      <c r="A434" s="4"/>
      <c r="B434" s="11"/>
      <c r="C434" s="4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4"/>
      <c r="AC434" s="4"/>
      <c r="AD434" s="4"/>
      <c r="AE434" s="4"/>
      <c r="AF434" s="4"/>
    </row>
    <row r="435" spans="1:32" ht="15.75" customHeight="1" x14ac:dyDescent="0.25">
      <c r="A435" s="4"/>
      <c r="B435" s="11"/>
      <c r="C435" s="4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4"/>
      <c r="AC435" s="4"/>
      <c r="AD435" s="4"/>
      <c r="AE435" s="4"/>
      <c r="AF435" s="4"/>
    </row>
    <row r="436" spans="1:32" ht="15.75" customHeight="1" x14ac:dyDescent="0.25">
      <c r="A436" s="4"/>
      <c r="B436" s="11"/>
      <c r="C436" s="4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4"/>
      <c r="AC436" s="4"/>
      <c r="AD436" s="4"/>
      <c r="AE436" s="4"/>
      <c r="AF436" s="4"/>
    </row>
    <row r="437" spans="1:32" ht="15.75" customHeight="1" x14ac:dyDescent="0.25">
      <c r="A437" s="4"/>
      <c r="B437" s="11"/>
      <c r="C437" s="4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4"/>
      <c r="AC437" s="4"/>
      <c r="AD437" s="4"/>
      <c r="AE437" s="4"/>
      <c r="AF437" s="4"/>
    </row>
    <row r="438" spans="1:32" ht="15.75" customHeight="1" x14ac:dyDescent="0.25">
      <c r="A438" s="4"/>
      <c r="B438" s="11"/>
      <c r="C438" s="4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4"/>
      <c r="AC438" s="4"/>
      <c r="AD438" s="4"/>
      <c r="AE438" s="4"/>
      <c r="AF438" s="4"/>
    </row>
    <row r="439" spans="1:32" ht="15.75" customHeight="1" x14ac:dyDescent="0.25">
      <c r="A439" s="4"/>
      <c r="B439" s="11"/>
      <c r="C439" s="4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4"/>
      <c r="AC439" s="4"/>
      <c r="AD439" s="4"/>
      <c r="AE439" s="4"/>
      <c r="AF439" s="4"/>
    </row>
    <row r="440" spans="1:32" ht="15.75" customHeight="1" x14ac:dyDescent="0.25">
      <c r="A440" s="4"/>
      <c r="B440" s="11"/>
      <c r="C440" s="4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4"/>
      <c r="AC440" s="4"/>
      <c r="AD440" s="4"/>
      <c r="AE440" s="4"/>
      <c r="AF440" s="4"/>
    </row>
    <row r="441" spans="1:32" ht="15.75" customHeight="1" x14ac:dyDescent="0.25">
      <c r="A441" s="4"/>
      <c r="B441" s="11"/>
      <c r="C441" s="4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4"/>
      <c r="AC441" s="4"/>
      <c r="AD441" s="4"/>
      <c r="AE441" s="4"/>
      <c r="AF441" s="4"/>
    </row>
    <row r="442" spans="1:32" ht="15.75" customHeight="1" x14ac:dyDescent="0.25">
      <c r="A442" s="4"/>
      <c r="B442" s="11"/>
      <c r="C442" s="4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4"/>
      <c r="AC442" s="4"/>
      <c r="AD442" s="4"/>
      <c r="AE442" s="4"/>
      <c r="AF442" s="4"/>
    </row>
    <row r="443" spans="1:32" ht="15.75" customHeight="1" x14ac:dyDescent="0.25">
      <c r="A443" s="4"/>
      <c r="B443" s="11"/>
      <c r="C443" s="4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4"/>
      <c r="AC443" s="4"/>
      <c r="AD443" s="4"/>
      <c r="AE443" s="4"/>
      <c r="AF443" s="4"/>
    </row>
    <row r="444" spans="1:32" ht="15.75" customHeight="1" x14ac:dyDescent="0.25">
      <c r="A444" s="4"/>
      <c r="B444" s="11"/>
      <c r="C444" s="4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4"/>
      <c r="AC444" s="4"/>
      <c r="AD444" s="4"/>
      <c r="AE444" s="4"/>
      <c r="AF444" s="4"/>
    </row>
    <row r="445" spans="1:32" ht="15.75" customHeight="1" x14ac:dyDescent="0.25">
      <c r="A445" s="4"/>
      <c r="B445" s="11"/>
      <c r="C445" s="4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4"/>
      <c r="AC445" s="4"/>
      <c r="AD445" s="4"/>
      <c r="AE445" s="4"/>
      <c r="AF445" s="4"/>
    </row>
    <row r="446" spans="1:32" ht="15.75" customHeight="1" x14ac:dyDescent="0.25">
      <c r="A446" s="4"/>
      <c r="B446" s="11"/>
      <c r="C446" s="4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4"/>
      <c r="AC446" s="4"/>
      <c r="AD446" s="4"/>
      <c r="AE446" s="4"/>
      <c r="AF446" s="4"/>
    </row>
    <row r="447" spans="1:32" ht="15.75" customHeight="1" x14ac:dyDescent="0.25">
      <c r="A447" s="4"/>
      <c r="B447" s="11"/>
      <c r="C447" s="4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4"/>
      <c r="AC447" s="4"/>
      <c r="AD447" s="4"/>
      <c r="AE447" s="4"/>
      <c r="AF447" s="4"/>
    </row>
    <row r="448" spans="1:32" ht="15.75" customHeight="1" x14ac:dyDescent="0.25">
      <c r="A448" s="4"/>
      <c r="B448" s="11"/>
      <c r="C448" s="4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4"/>
      <c r="AC448" s="4"/>
      <c r="AD448" s="4"/>
      <c r="AE448" s="4"/>
      <c r="AF448" s="4"/>
    </row>
    <row r="449" spans="1:32" ht="15.75" customHeight="1" x14ac:dyDescent="0.25">
      <c r="A449" s="4"/>
      <c r="B449" s="11"/>
      <c r="C449" s="4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4"/>
      <c r="AC449" s="4"/>
      <c r="AD449" s="4"/>
      <c r="AE449" s="4"/>
      <c r="AF449" s="4"/>
    </row>
    <row r="450" spans="1:32" ht="15.75" customHeight="1" x14ac:dyDescent="0.25">
      <c r="A450" s="4"/>
      <c r="B450" s="11"/>
      <c r="C450" s="4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4"/>
      <c r="AC450" s="4"/>
      <c r="AD450" s="4"/>
      <c r="AE450" s="4"/>
      <c r="AF450" s="4"/>
    </row>
    <row r="451" spans="1:32" ht="15.75" customHeight="1" x14ac:dyDescent="0.25">
      <c r="A451" s="4"/>
      <c r="B451" s="11"/>
      <c r="C451" s="4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4"/>
      <c r="AC451" s="4"/>
      <c r="AD451" s="4"/>
      <c r="AE451" s="4"/>
      <c r="AF451" s="4"/>
    </row>
    <row r="452" spans="1:32" ht="15.75" customHeight="1" x14ac:dyDescent="0.25">
      <c r="A452" s="4"/>
      <c r="B452" s="11"/>
      <c r="C452" s="4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4"/>
      <c r="AC452" s="4"/>
      <c r="AD452" s="4"/>
      <c r="AE452" s="4"/>
      <c r="AF452" s="4"/>
    </row>
    <row r="453" spans="1:32" ht="15.75" customHeight="1" x14ac:dyDescent="0.25">
      <c r="A453" s="4"/>
      <c r="B453" s="11"/>
      <c r="C453" s="4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4"/>
      <c r="AC453" s="4"/>
      <c r="AD453" s="4"/>
      <c r="AE453" s="4"/>
      <c r="AF453" s="4"/>
    </row>
    <row r="454" spans="1:32" ht="15.75" customHeight="1" x14ac:dyDescent="0.25">
      <c r="A454" s="4"/>
      <c r="B454" s="11"/>
      <c r="C454" s="4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4"/>
      <c r="AC454" s="4"/>
      <c r="AD454" s="4"/>
      <c r="AE454" s="4"/>
      <c r="AF454" s="4"/>
    </row>
    <row r="455" spans="1:32" ht="15.75" customHeight="1" x14ac:dyDescent="0.25">
      <c r="A455" s="4"/>
      <c r="B455" s="11"/>
      <c r="C455" s="4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4"/>
      <c r="AC455" s="4"/>
      <c r="AD455" s="4"/>
      <c r="AE455" s="4"/>
      <c r="AF455" s="4"/>
    </row>
    <row r="456" spans="1:32" ht="15.75" customHeight="1" x14ac:dyDescent="0.25">
      <c r="A456" s="4"/>
      <c r="B456" s="11"/>
      <c r="C456" s="4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4"/>
      <c r="AC456" s="4"/>
      <c r="AD456" s="4"/>
      <c r="AE456" s="4"/>
      <c r="AF456" s="4"/>
    </row>
    <row r="457" spans="1:32" ht="15.75" customHeight="1" x14ac:dyDescent="0.25">
      <c r="A457" s="4"/>
      <c r="B457" s="11"/>
      <c r="C457" s="4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4"/>
      <c r="AC457" s="4"/>
      <c r="AD457" s="4"/>
      <c r="AE457" s="4"/>
      <c r="AF457" s="4"/>
    </row>
    <row r="458" spans="1:32" ht="15.75" customHeight="1" x14ac:dyDescent="0.25">
      <c r="A458" s="4"/>
      <c r="B458" s="11"/>
      <c r="C458" s="4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4"/>
      <c r="AC458" s="4"/>
      <c r="AD458" s="4"/>
      <c r="AE458" s="4"/>
      <c r="AF458" s="4"/>
    </row>
    <row r="459" spans="1:32" ht="15.75" customHeight="1" x14ac:dyDescent="0.25">
      <c r="A459" s="4"/>
      <c r="B459" s="11"/>
      <c r="C459" s="4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4"/>
      <c r="AC459" s="4"/>
      <c r="AD459" s="4"/>
      <c r="AE459" s="4"/>
      <c r="AF459" s="4"/>
    </row>
    <row r="460" spans="1:32" ht="15.75" customHeight="1" x14ac:dyDescent="0.25">
      <c r="A460" s="4"/>
      <c r="B460" s="11"/>
      <c r="C460" s="4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4"/>
      <c r="AC460" s="4"/>
      <c r="AD460" s="4"/>
      <c r="AE460" s="4"/>
      <c r="AF460" s="4"/>
    </row>
    <row r="461" spans="1:32" ht="15.75" customHeight="1" x14ac:dyDescent="0.25">
      <c r="A461" s="4"/>
      <c r="B461" s="11"/>
      <c r="C461" s="4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4"/>
      <c r="AC461" s="4"/>
      <c r="AD461" s="4"/>
      <c r="AE461" s="4"/>
      <c r="AF461" s="4"/>
    </row>
    <row r="462" spans="1:32" ht="15.75" customHeight="1" x14ac:dyDescent="0.25">
      <c r="A462" s="4"/>
      <c r="B462" s="11"/>
      <c r="C462" s="4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4"/>
      <c r="AC462" s="4"/>
      <c r="AD462" s="4"/>
      <c r="AE462" s="4"/>
      <c r="AF462" s="4"/>
    </row>
    <row r="463" spans="1:32" ht="15.75" customHeight="1" x14ac:dyDescent="0.25">
      <c r="A463" s="4"/>
      <c r="B463" s="11"/>
      <c r="C463" s="4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4"/>
      <c r="AC463" s="4"/>
      <c r="AD463" s="4"/>
      <c r="AE463" s="4"/>
      <c r="AF463" s="4"/>
    </row>
    <row r="464" spans="1:32" ht="15.75" customHeight="1" x14ac:dyDescent="0.25">
      <c r="A464" s="4"/>
      <c r="B464" s="11"/>
      <c r="C464" s="4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4"/>
      <c r="AC464" s="4"/>
      <c r="AD464" s="4"/>
      <c r="AE464" s="4"/>
      <c r="AF464" s="4"/>
    </row>
    <row r="465" spans="1:32" ht="15.75" customHeight="1" x14ac:dyDescent="0.25">
      <c r="A465" s="4"/>
      <c r="B465" s="11"/>
      <c r="C465" s="4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4"/>
      <c r="AC465" s="4"/>
      <c r="AD465" s="4"/>
      <c r="AE465" s="4"/>
      <c r="AF465" s="4"/>
    </row>
    <row r="466" spans="1:32" ht="15.75" customHeight="1" x14ac:dyDescent="0.25">
      <c r="A466" s="4"/>
      <c r="B466" s="11"/>
      <c r="C466" s="4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4"/>
      <c r="AC466" s="4"/>
      <c r="AD466" s="4"/>
      <c r="AE466" s="4"/>
      <c r="AF466" s="4"/>
    </row>
    <row r="467" spans="1:32" ht="15.75" customHeight="1" x14ac:dyDescent="0.25">
      <c r="A467" s="4"/>
      <c r="B467" s="11"/>
      <c r="C467" s="4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4"/>
      <c r="AC467" s="4"/>
      <c r="AD467" s="4"/>
      <c r="AE467" s="4"/>
      <c r="AF467" s="4"/>
    </row>
    <row r="468" spans="1:32" ht="15.75" customHeight="1" x14ac:dyDescent="0.25">
      <c r="A468" s="4"/>
      <c r="B468" s="11"/>
      <c r="C468" s="4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4"/>
      <c r="AC468" s="4"/>
      <c r="AD468" s="4"/>
      <c r="AE468" s="4"/>
      <c r="AF468" s="4"/>
    </row>
    <row r="469" spans="1:32" ht="15.75" customHeight="1" x14ac:dyDescent="0.25">
      <c r="A469" s="4"/>
      <c r="B469" s="11"/>
      <c r="C469" s="4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4"/>
      <c r="AC469" s="4"/>
      <c r="AD469" s="4"/>
      <c r="AE469" s="4"/>
      <c r="AF469" s="4"/>
    </row>
    <row r="470" spans="1:32" ht="15.75" customHeight="1" x14ac:dyDescent="0.25">
      <c r="A470" s="4"/>
      <c r="B470" s="11"/>
      <c r="C470" s="4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4"/>
      <c r="AC470" s="4"/>
      <c r="AD470" s="4"/>
      <c r="AE470" s="4"/>
      <c r="AF470" s="4"/>
    </row>
    <row r="471" spans="1:32" ht="15.75" customHeight="1" x14ac:dyDescent="0.25">
      <c r="A471" s="4"/>
      <c r="B471" s="11"/>
      <c r="C471" s="4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4"/>
      <c r="AC471" s="4"/>
      <c r="AD471" s="4"/>
      <c r="AE471" s="4"/>
      <c r="AF471" s="4"/>
    </row>
    <row r="472" spans="1:32" ht="15.75" customHeight="1" x14ac:dyDescent="0.25">
      <c r="A472" s="4"/>
      <c r="B472" s="11"/>
      <c r="C472" s="4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4"/>
      <c r="AC472" s="4"/>
      <c r="AD472" s="4"/>
      <c r="AE472" s="4"/>
      <c r="AF472" s="4"/>
    </row>
    <row r="473" spans="1:32" ht="15.75" customHeight="1" x14ac:dyDescent="0.25">
      <c r="A473" s="4"/>
      <c r="B473" s="11"/>
      <c r="C473" s="4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4"/>
      <c r="AC473" s="4"/>
      <c r="AD473" s="4"/>
      <c r="AE473" s="4"/>
      <c r="AF473" s="4"/>
    </row>
    <row r="474" spans="1:32" ht="15.75" customHeight="1" x14ac:dyDescent="0.25">
      <c r="A474" s="4"/>
      <c r="B474" s="11"/>
      <c r="C474" s="4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4"/>
      <c r="AC474" s="4"/>
      <c r="AD474" s="4"/>
      <c r="AE474" s="4"/>
      <c r="AF474" s="4"/>
    </row>
    <row r="475" spans="1:32" ht="15.75" customHeight="1" x14ac:dyDescent="0.25">
      <c r="A475" s="4"/>
      <c r="B475" s="11"/>
      <c r="C475" s="4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4"/>
      <c r="AC475" s="4"/>
      <c r="AD475" s="4"/>
      <c r="AE475" s="4"/>
      <c r="AF475" s="4"/>
    </row>
    <row r="476" spans="1:32" ht="15.75" customHeight="1" x14ac:dyDescent="0.25">
      <c r="A476" s="4"/>
      <c r="B476" s="11"/>
      <c r="C476" s="4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4"/>
      <c r="AC476" s="4"/>
      <c r="AD476" s="4"/>
      <c r="AE476" s="4"/>
      <c r="AF476" s="4"/>
    </row>
    <row r="477" spans="1:32" ht="15.75" customHeight="1" x14ac:dyDescent="0.25">
      <c r="A477" s="4"/>
      <c r="B477" s="11"/>
      <c r="C477" s="4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4"/>
      <c r="AC477" s="4"/>
      <c r="AD477" s="4"/>
      <c r="AE477" s="4"/>
      <c r="AF477" s="4"/>
    </row>
    <row r="478" spans="1:32" ht="15.75" customHeight="1" x14ac:dyDescent="0.25">
      <c r="A478" s="4"/>
      <c r="B478" s="11"/>
      <c r="C478" s="4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4"/>
      <c r="AC478" s="4"/>
      <c r="AD478" s="4"/>
      <c r="AE478" s="4"/>
      <c r="AF478" s="4"/>
    </row>
    <row r="479" spans="1:32" ht="15.75" customHeight="1" x14ac:dyDescent="0.25">
      <c r="A479" s="4"/>
      <c r="B479" s="11"/>
      <c r="C479" s="4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4"/>
      <c r="AC479" s="4"/>
      <c r="AD479" s="4"/>
      <c r="AE479" s="4"/>
      <c r="AF479" s="4"/>
    </row>
    <row r="480" spans="1:32" ht="15.75" customHeight="1" x14ac:dyDescent="0.25">
      <c r="A480" s="4"/>
      <c r="B480" s="11"/>
      <c r="C480" s="4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4"/>
      <c r="AC480" s="4"/>
      <c r="AD480" s="4"/>
      <c r="AE480" s="4"/>
      <c r="AF480" s="4"/>
    </row>
    <row r="481" spans="1:32" ht="15.75" customHeight="1" x14ac:dyDescent="0.25">
      <c r="A481" s="4"/>
      <c r="B481" s="11"/>
      <c r="C481" s="4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4"/>
      <c r="AC481" s="4"/>
      <c r="AD481" s="4"/>
      <c r="AE481" s="4"/>
      <c r="AF481" s="4"/>
    </row>
    <row r="482" spans="1:32" ht="15.75" customHeight="1" x14ac:dyDescent="0.25">
      <c r="A482" s="4"/>
      <c r="B482" s="11"/>
      <c r="C482" s="4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4"/>
      <c r="AC482" s="4"/>
      <c r="AD482" s="4"/>
      <c r="AE482" s="4"/>
      <c r="AF482" s="4"/>
    </row>
    <row r="483" spans="1:32" ht="15.75" customHeight="1" x14ac:dyDescent="0.25">
      <c r="A483" s="4"/>
      <c r="B483" s="11"/>
      <c r="C483" s="4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4"/>
      <c r="AC483" s="4"/>
      <c r="AD483" s="4"/>
      <c r="AE483" s="4"/>
      <c r="AF483" s="4"/>
    </row>
    <row r="484" spans="1:32" ht="15.75" customHeight="1" x14ac:dyDescent="0.25">
      <c r="A484" s="4"/>
      <c r="B484" s="11"/>
      <c r="C484" s="4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4"/>
      <c r="AC484" s="4"/>
      <c r="AD484" s="4"/>
      <c r="AE484" s="4"/>
      <c r="AF484" s="4"/>
    </row>
    <row r="485" spans="1:32" ht="15.75" customHeight="1" x14ac:dyDescent="0.25">
      <c r="A485" s="4"/>
      <c r="B485" s="11"/>
      <c r="C485" s="4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4"/>
      <c r="AC485" s="4"/>
      <c r="AD485" s="4"/>
      <c r="AE485" s="4"/>
      <c r="AF485" s="4"/>
    </row>
    <row r="486" spans="1:32" ht="15.75" customHeight="1" x14ac:dyDescent="0.25">
      <c r="A486" s="4"/>
      <c r="B486" s="11"/>
      <c r="C486" s="4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4"/>
      <c r="AC486" s="4"/>
      <c r="AD486" s="4"/>
      <c r="AE486" s="4"/>
      <c r="AF486" s="4"/>
    </row>
    <row r="487" spans="1:32" ht="15.75" customHeight="1" x14ac:dyDescent="0.25">
      <c r="A487" s="4"/>
      <c r="B487" s="11"/>
      <c r="C487" s="4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4"/>
      <c r="AC487" s="4"/>
      <c r="AD487" s="4"/>
      <c r="AE487" s="4"/>
      <c r="AF487" s="4"/>
    </row>
    <row r="488" spans="1:32" ht="15.75" customHeight="1" x14ac:dyDescent="0.25">
      <c r="A488" s="4"/>
      <c r="B488" s="11"/>
      <c r="C488" s="4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4"/>
      <c r="AC488" s="4"/>
      <c r="AD488" s="4"/>
      <c r="AE488" s="4"/>
      <c r="AF488" s="4"/>
    </row>
    <row r="489" spans="1:32" ht="15.75" customHeight="1" x14ac:dyDescent="0.25">
      <c r="A489" s="4"/>
      <c r="B489" s="11"/>
      <c r="C489" s="4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4"/>
      <c r="AC489" s="4"/>
      <c r="AD489" s="4"/>
      <c r="AE489" s="4"/>
      <c r="AF489" s="4"/>
    </row>
    <row r="490" spans="1:32" ht="15.75" customHeight="1" x14ac:dyDescent="0.25">
      <c r="A490" s="4"/>
      <c r="B490" s="11"/>
      <c r="C490" s="4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4"/>
      <c r="AC490" s="4"/>
      <c r="AD490" s="4"/>
      <c r="AE490" s="4"/>
      <c r="AF490" s="4"/>
    </row>
    <row r="491" spans="1:32" ht="15.75" customHeight="1" x14ac:dyDescent="0.25">
      <c r="A491" s="4"/>
      <c r="B491" s="11"/>
      <c r="C491" s="4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4"/>
      <c r="AC491" s="4"/>
      <c r="AD491" s="4"/>
      <c r="AE491" s="4"/>
      <c r="AF491" s="4"/>
    </row>
    <row r="492" spans="1:32" ht="15.75" customHeight="1" x14ac:dyDescent="0.25">
      <c r="A492" s="4"/>
      <c r="B492" s="11"/>
      <c r="C492" s="4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4"/>
      <c r="AC492" s="4"/>
      <c r="AD492" s="4"/>
      <c r="AE492" s="4"/>
      <c r="AF492" s="4"/>
    </row>
    <row r="493" spans="1:32" ht="15.75" customHeight="1" x14ac:dyDescent="0.25">
      <c r="A493" s="4"/>
      <c r="B493" s="11"/>
      <c r="C493" s="4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4"/>
      <c r="AC493" s="4"/>
      <c r="AD493" s="4"/>
      <c r="AE493" s="4"/>
      <c r="AF493" s="4"/>
    </row>
    <row r="494" spans="1:32" ht="15.75" customHeight="1" x14ac:dyDescent="0.25">
      <c r="A494" s="4"/>
      <c r="B494" s="11"/>
      <c r="C494" s="4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4"/>
      <c r="AC494" s="4"/>
      <c r="AD494" s="4"/>
      <c r="AE494" s="4"/>
      <c r="AF494" s="4"/>
    </row>
    <row r="495" spans="1:32" ht="15.75" customHeight="1" x14ac:dyDescent="0.25">
      <c r="A495" s="4"/>
      <c r="B495" s="11"/>
      <c r="C495" s="4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4"/>
      <c r="AC495" s="4"/>
      <c r="AD495" s="4"/>
      <c r="AE495" s="4"/>
      <c r="AF495" s="4"/>
    </row>
    <row r="496" spans="1:32" ht="15.75" customHeight="1" x14ac:dyDescent="0.25">
      <c r="A496" s="4"/>
      <c r="B496" s="11"/>
      <c r="C496" s="4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4"/>
      <c r="AC496" s="4"/>
      <c r="AD496" s="4"/>
      <c r="AE496" s="4"/>
      <c r="AF496" s="4"/>
    </row>
    <row r="497" spans="1:32" ht="15.75" customHeight="1" x14ac:dyDescent="0.25">
      <c r="A497" s="4"/>
      <c r="B497" s="11"/>
      <c r="C497" s="4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4"/>
      <c r="AC497" s="4"/>
      <c r="AD497" s="4"/>
      <c r="AE497" s="4"/>
      <c r="AF497" s="4"/>
    </row>
    <row r="498" spans="1:32" ht="15.75" customHeight="1" x14ac:dyDescent="0.25">
      <c r="A498" s="4"/>
      <c r="B498" s="11"/>
      <c r="C498" s="4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4"/>
      <c r="AC498" s="4"/>
      <c r="AD498" s="4"/>
      <c r="AE498" s="4"/>
      <c r="AF498" s="4"/>
    </row>
    <row r="499" spans="1:32" ht="15.75" customHeight="1" x14ac:dyDescent="0.25">
      <c r="A499" s="4"/>
      <c r="B499" s="11"/>
      <c r="C499" s="4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4"/>
      <c r="AC499" s="4"/>
      <c r="AD499" s="4"/>
      <c r="AE499" s="4"/>
      <c r="AF499" s="4"/>
    </row>
    <row r="500" spans="1:32" ht="15.75" customHeight="1" x14ac:dyDescent="0.25">
      <c r="A500" s="4"/>
      <c r="B500" s="11"/>
      <c r="C500" s="4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4"/>
      <c r="AC500" s="4"/>
      <c r="AD500" s="4"/>
      <c r="AE500" s="4"/>
      <c r="AF500" s="4"/>
    </row>
    <row r="501" spans="1:32" ht="15.75" customHeight="1" x14ac:dyDescent="0.25">
      <c r="A501" s="4"/>
      <c r="B501" s="11"/>
      <c r="C501" s="4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4"/>
      <c r="AC501" s="4"/>
      <c r="AD501" s="4"/>
      <c r="AE501" s="4"/>
      <c r="AF501" s="4"/>
    </row>
    <row r="502" spans="1:32" ht="15.75" customHeight="1" x14ac:dyDescent="0.25">
      <c r="A502" s="4"/>
      <c r="B502" s="11"/>
      <c r="C502" s="4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4"/>
      <c r="AC502" s="4"/>
      <c r="AD502" s="4"/>
      <c r="AE502" s="4"/>
      <c r="AF502" s="4"/>
    </row>
    <row r="503" spans="1:32" ht="15.75" customHeight="1" x14ac:dyDescent="0.25">
      <c r="A503" s="4"/>
      <c r="B503" s="11"/>
      <c r="C503" s="4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4"/>
      <c r="AC503" s="4"/>
      <c r="AD503" s="4"/>
      <c r="AE503" s="4"/>
      <c r="AF503" s="4"/>
    </row>
    <row r="504" spans="1:32" ht="15.75" customHeight="1" x14ac:dyDescent="0.25">
      <c r="A504" s="4"/>
      <c r="B504" s="11"/>
      <c r="C504" s="4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4"/>
      <c r="AC504" s="4"/>
      <c r="AD504" s="4"/>
      <c r="AE504" s="4"/>
      <c r="AF504" s="4"/>
    </row>
    <row r="505" spans="1:32" ht="15.75" customHeight="1" x14ac:dyDescent="0.25">
      <c r="A505" s="4"/>
      <c r="B505" s="11"/>
      <c r="C505" s="4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4"/>
      <c r="AC505" s="4"/>
      <c r="AD505" s="4"/>
      <c r="AE505" s="4"/>
      <c r="AF505" s="4"/>
    </row>
    <row r="506" spans="1:32" ht="15.75" customHeight="1" x14ac:dyDescent="0.25">
      <c r="A506" s="4"/>
      <c r="B506" s="11"/>
      <c r="C506" s="4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4"/>
      <c r="AC506" s="4"/>
      <c r="AD506" s="4"/>
      <c r="AE506" s="4"/>
      <c r="AF506" s="4"/>
    </row>
    <row r="507" spans="1:32" ht="15.75" customHeight="1" x14ac:dyDescent="0.25">
      <c r="A507" s="4"/>
      <c r="B507" s="11"/>
      <c r="C507" s="4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4"/>
      <c r="AC507" s="4"/>
      <c r="AD507" s="4"/>
      <c r="AE507" s="4"/>
      <c r="AF507" s="4"/>
    </row>
    <row r="508" spans="1:32" ht="15.75" customHeight="1" x14ac:dyDescent="0.25">
      <c r="A508" s="4"/>
      <c r="B508" s="11"/>
      <c r="C508" s="4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4"/>
      <c r="AC508" s="4"/>
      <c r="AD508" s="4"/>
      <c r="AE508" s="4"/>
      <c r="AF508" s="4"/>
    </row>
    <row r="509" spans="1:32" ht="15.75" customHeight="1" x14ac:dyDescent="0.25">
      <c r="A509" s="4"/>
      <c r="B509" s="11"/>
      <c r="C509" s="4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4"/>
      <c r="AC509" s="4"/>
      <c r="AD509" s="4"/>
      <c r="AE509" s="4"/>
      <c r="AF509" s="4"/>
    </row>
    <row r="510" spans="1:32" ht="15.75" customHeight="1" x14ac:dyDescent="0.25">
      <c r="A510" s="4"/>
      <c r="B510" s="11"/>
      <c r="C510" s="4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4"/>
      <c r="AC510" s="4"/>
      <c r="AD510" s="4"/>
      <c r="AE510" s="4"/>
      <c r="AF510" s="4"/>
    </row>
    <row r="511" spans="1:32" ht="15.75" customHeight="1" x14ac:dyDescent="0.25">
      <c r="A511" s="4"/>
      <c r="B511" s="11"/>
      <c r="C511" s="4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4"/>
      <c r="AC511" s="4"/>
      <c r="AD511" s="4"/>
      <c r="AE511" s="4"/>
      <c r="AF511" s="4"/>
    </row>
    <row r="512" spans="1:32" ht="15.75" customHeight="1" x14ac:dyDescent="0.25">
      <c r="A512" s="4"/>
      <c r="B512" s="11"/>
      <c r="C512" s="4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4"/>
      <c r="AC512" s="4"/>
      <c r="AD512" s="4"/>
      <c r="AE512" s="4"/>
      <c r="AF512" s="4"/>
    </row>
    <row r="513" spans="1:32" ht="15.75" customHeight="1" x14ac:dyDescent="0.25">
      <c r="A513" s="4"/>
      <c r="B513" s="11"/>
      <c r="C513" s="4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4"/>
      <c r="AC513" s="4"/>
      <c r="AD513" s="4"/>
      <c r="AE513" s="4"/>
      <c r="AF513" s="4"/>
    </row>
    <row r="514" spans="1:32" ht="15.75" customHeight="1" x14ac:dyDescent="0.25">
      <c r="A514" s="4"/>
      <c r="B514" s="11"/>
      <c r="C514" s="4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4"/>
      <c r="AC514" s="4"/>
      <c r="AD514" s="4"/>
      <c r="AE514" s="4"/>
      <c r="AF514" s="4"/>
    </row>
    <row r="515" spans="1:32" ht="15.75" customHeight="1" x14ac:dyDescent="0.25">
      <c r="A515" s="4"/>
      <c r="B515" s="11"/>
      <c r="C515" s="4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4"/>
      <c r="AC515" s="4"/>
      <c r="AD515" s="4"/>
      <c r="AE515" s="4"/>
      <c r="AF515" s="4"/>
    </row>
    <row r="516" spans="1:32" ht="15.75" customHeight="1" x14ac:dyDescent="0.25">
      <c r="A516" s="4"/>
      <c r="B516" s="11"/>
      <c r="C516" s="4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4"/>
      <c r="AC516" s="4"/>
      <c r="AD516" s="4"/>
      <c r="AE516" s="4"/>
      <c r="AF516" s="4"/>
    </row>
    <row r="517" spans="1:32" ht="15.75" customHeight="1" x14ac:dyDescent="0.25">
      <c r="A517" s="4"/>
      <c r="B517" s="11"/>
      <c r="C517" s="4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4"/>
      <c r="AC517" s="4"/>
      <c r="AD517" s="4"/>
      <c r="AE517" s="4"/>
      <c r="AF517" s="4"/>
    </row>
    <row r="518" spans="1:32" ht="15.75" customHeight="1" x14ac:dyDescent="0.25">
      <c r="A518" s="4"/>
      <c r="B518" s="11"/>
      <c r="C518" s="4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4"/>
      <c r="AC518" s="4"/>
      <c r="AD518" s="4"/>
      <c r="AE518" s="4"/>
      <c r="AF518" s="4"/>
    </row>
    <row r="519" spans="1:32" ht="15.75" customHeight="1" x14ac:dyDescent="0.25">
      <c r="A519" s="4"/>
      <c r="B519" s="11"/>
      <c r="C519" s="4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4"/>
      <c r="AC519" s="4"/>
      <c r="AD519" s="4"/>
      <c r="AE519" s="4"/>
      <c r="AF519" s="4"/>
    </row>
    <row r="520" spans="1:32" ht="15.75" customHeight="1" x14ac:dyDescent="0.25">
      <c r="A520" s="4"/>
      <c r="B520" s="11"/>
      <c r="C520" s="4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4"/>
      <c r="AC520" s="4"/>
      <c r="AD520" s="4"/>
      <c r="AE520" s="4"/>
      <c r="AF520" s="4"/>
    </row>
    <row r="521" spans="1:32" ht="15.75" customHeight="1" x14ac:dyDescent="0.25">
      <c r="A521" s="4"/>
      <c r="B521" s="11"/>
      <c r="C521" s="4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4"/>
      <c r="AC521" s="4"/>
      <c r="AD521" s="4"/>
      <c r="AE521" s="4"/>
      <c r="AF521" s="4"/>
    </row>
    <row r="522" spans="1:32" ht="15.75" customHeight="1" x14ac:dyDescent="0.25">
      <c r="A522" s="4"/>
      <c r="B522" s="11"/>
      <c r="C522" s="4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4"/>
      <c r="AC522" s="4"/>
      <c r="AD522" s="4"/>
      <c r="AE522" s="4"/>
      <c r="AF522" s="4"/>
    </row>
    <row r="523" spans="1:32" ht="15.75" customHeight="1" x14ac:dyDescent="0.25">
      <c r="A523" s="4"/>
      <c r="B523" s="11"/>
      <c r="C523" s="4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4"/>
      <c r="AC523" s="4"/>
      <c r="AD523" s="4"/>
      <c r="AE523" s="4"/>
      <c r="AF523" s="4"/>
    </row>
    <row r="524" spans="1:32" ht="15.75" customHeight="1" x14ac:dyDescent="0.25">
      <c r="A524" s="4"/>
      <c r="B524" s="11"/>
      <c r="C524" s="4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4"/>
      <c r="AC524" s="4"/>
      <c r="AD524" s="4"/>
      <c r="AE524" s="4"/>
      <c r="AF524" s="4"/>
    </row>
    <row r="525" spans="1:32" ht="15.75" customHeight="1" x14ac:dyDescent="0.25">
      <c r="A525" s="4"/>
      <c r="B525" s="11"/>
      <c r="C525" s="4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4"/>
      <c r="AC525" s="4"/>
      <c r="AD525" s="4"/>
      <c r="AE525" s="4"/>
      <c r="AF525" s="4"/>
    </row>
    <row r="526" spans="1:32" ht="15.75" customHeight="1" x14ac:dyDescent="0.25">
      <c r="A526" s="4"/>
      <c r="B526" s="11"/>
      <c r="C526" s="4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4"/>
      <c r="AC526" s="4"/>
      <c r="AD526" s="4"/>
      <c r="AE526" s="4"/>
      <c r="AF526" s="4"/>
    </row>
    <row r="527" spans="1:32" ht="15.75" customHeight="1" x14ac:dyDescent="0.25">
      <c r="A527" s="4"/>
      <c r="B527" s="11"/>
      <c r="C527" s="4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4"/>
      <c r="AC527" s="4"/>
      <c r="AD527" s="4"/>
      <c r="AE527" s="4"/>
      <c r="AF527" s="4"/>
    </row>
    <row r="528" spans="1:32" ht="15.75" customHeight="1" x14ac:dyDescent="0.25">
      <c r="A528" s="4"/>
      <c r="B528" s="11"/>
      <c r="C528" s="4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4"/>
      <c r="AC528" s="4"/>
      <c r="AD528" s="4"/>
      <c r="AE528" s="4"/>
      <c r="AF528" s="4"/>
    </row>
    <row r="529" spans="1:32" ht="15.75" customHeight="1" x14ac:dyDescent="0.25">
      <c r="A529" s="4"/>
      <c r="B529" s="11"/>
      <c r="C529" s="4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4"/>
      <c r="AC529" s="4"/>
      <c r="AD529" s="4"/>
      <c r="AE529" s="4"/>
      <c r="AF529" s="4"/>
    </row>
    <row r="530" spans="1:32" ht="15.75" customHeight="1" x14ac:dyDescent="0.25">
      <c r="A530" s="4"/>
      <c r="B530" s="11"/>
      <c r="C530" s="4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4"/>
      <c r="AC530" s="4"/>
      <c r="AD530" s="4"/>
      <c r="AE530" s="4"/>
      <c r="AF530" s="4"/>
    </row>
    <row r="531" spans="1:32" ht="15.75" customHeight="1" x14ac:dyDescent="0.25">
      <c r="A531" s="4"/>
      <c r="B531" s="11"/>
      <c r="C531" s="4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4"/>
      <c r="AC531" s="4"/>
      <c r="AD531" s="4"/>
      <c r="AE531" s="4"/>
      <c r="AF531" s="4"/>
    </row>
    <row r="532" spans="1:32" ht="15.75" customHeight="1" x14ac:dyDescent="0.25">
      <c r="A532" s="4"/>
      <c r="B532" s="11"/>
      <c r="C532" s="4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4"/>
      <c r="AC532" s="4"/>
      <c r="AD532" s="4"/>
      <c r="AE532" s="4"/>
      <c r="AF532" s="4"/>
    </row>
    <row r="533" spans="1:32" ht="15.75" customHeight="1" x14ac:dyDescent="0.25">
      <c r="A533" s="4"/>
      <c r="B533" s="11"/>
      <c r="C533" s="4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4"/>
      <c r="AC533" s="4"/>
      <c r="AD533" s="4"/>
      <c r="AE533" s="4"/>
      <c r="AF533" s="4"/>
    </row>
    <row r="534" spans="1:32" ht="15.75" customHeight="1" x14ac:dyDescent="0.25">
      <c r="A534" s="4"/>
      <c r="B534" s="11"/>
      <c r="C534" s="4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4"/>
      <c r="AC534" s="4"/>
      <c r="AD534" s="4"/>
      <c r="AE534" s="4"/>
      <c r="AF534" s="4"/>
    </row>
    <row r="535" spans="1:32" ht="15.75" customHeight="1" x14ac:dyDescent="0.25">
      <c r="A535" s="4"/>
      <c r="B535" s="11"/>
      <c r="C535" s="4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4"/>
      <c r="AC535" s="4"/>
      <c r="AD535" s="4"/>
      <c r="AE535" s="4"/>
      <c r="AF535" s="4"/>
    </row>
    <row r="536" spans="1:32" ht="15.75" customHeight="1" x14ac:dyDescent="0.25">
      <c r="A536" s="4"/>
      <c r="B536" s="11"/>
      <c r="C536" s="4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4"/>
      <c r="AC536" s="4"/>
      <c r="AD536" s="4"/>
      <c r="AE536" s="4"/>
      <c r="AF536" s="4"/>
    </row>
    <row r="537" spans="1:32" ht="15.75" customHeight="1" x14ac:dyDescent="0.25">
      <c r="A537" s="4"/>
      <c r="B537" s="11"/>
      <c r="C537" s="4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4"/>
      <c r="AC537" s="4"/>
      <c r="AD537" s="4"/>
      <c r="AE537" s="4"/>
      <c r="AF537" s="4"/>
    </row>
    <row r="538" spans="1:32" ht="15.75" customHeight="1" x14ac:dyDescent="0.25">
      <c r="A538" s="4"/>
      <c r="B538" s="11"/>
      <c r="C538" s="4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4"/>
      <c r="AC538" s="4"/>
      <c r="AD538" s="4"/>
      <c r="AE538" s="4"/>
      <c r="AF538" s="4"/>
    </row>
    <row r="539" spans="1:32" ht="15.75" customHeight="1" x14ac:dyDescent="0.25">
      <c r="A539" s="4"/>
      <c r="B539" s="11"/>
      <c r="C539" s="4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4"/>
      <c r="AC539" s="4"/>
      <c r="AD539" s="4"/>
      <c r="AE539" s="4"/>
      <c r="AF539" s="4"/>
    </row>
    <row r="540" spans="1:32" ht="15.75" customHeight="1" x14ac:dyDescent="0.25">
      <c r="A540" s="4"/>
      <c r="B540" s="11"/>
      <c r="C540" s="4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4"/>
      <c r="AC540" s="4"/>
      <c r="AD540" s="4"/>
      <c r="AE540" s="4"/>
      <c r="AF540" s="4"/>
    </row>
    <row r="541" spans="1:32" ht="15.75" customHeight="1" x14ac:dyDescent="0.25">
      <c r="A541" s="4"/>
      <c r="B541" s="11"/>
      <c r="C541" s="4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4"/>
      <c r="AC541" s="4"/>
      <c r="AD541" s="4"/>
      <c r="AE541" s="4"/>
      <c r="AF541" s="4"/>
    </row>
    <row r="542" spans="1:32" ht="15.75" customHeight="1" x14ac:dyDescent="0.25">
      <c r="A542" s="4"/>
      <c r="B542" s="11"/>
      <c r="C542" s="4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4"/>
      <c r="AC542" s="4"/>
      <c r="AD542" s="4"/>
      <c r="AE542" s="4"/>
      <c r="AF542" s="4"/>
    </row>
    <row r="543" spans="1:32" ht="15.75" customHeight="1" x14ac:dyDescent="0.25">
      <c r="A543" s="4"/>
      <c r="B543" s="11"/>
      <c r="C543" s="4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4"/>
      <c r="AC543" s="4"/>
      <c r="AD543" s="4"/>
      <c r="AE543" s="4"/>
      <c r="AF543" s="4"/>
    </row>
    <row r="544" spans="1:32" ht="15.75" customHeight="1" x14ac:dyDescent="0.25">
      <c r="A544" s="4"/>
      <c r="B544" s="11"/>
      <c r="C544" s="4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4"/>
      <c r="AC544" s="4"/>
      <c r="AD544" s="4"/>
      <c r="AE544" s="4"/>
      <c r="AF544" s="4"/>
    </row>
    <row r="545" spans="1:32" ht="15.75" customHeight="1" x14ac:dyDescent="0.25">
      <c r="A545" s="4"/>
      <c r="B545" s="11"/>
      <c r="C545" s="4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4"/>
      <c r="AC545" s="4"/>
      <c r="AD545" s="4"/>
      <c r="AE545" s="4"/>
      <c r="AF545" s="4"/>
    </row>
    <row r="546" spans="1:32" ht="15.75" customHeight="1" x14ac:dyDescent="0.25">
      <c r="A546" s="4"/>
      <c r="B546" s="11"/>
      <c r="C546" s="4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4"/>
      <c r="AC546" s="4"/>
      <c r="AD546" s="4"/>
      <c r="AE546" s="4"/>
      <c r="AF546" s="4"/>
    </row>
    <row r="547" spans="1:32" ht="15.75" customHeight="1" x14ac:dyDescent="0.25">
      <c r="A547" s="4"/>
      <c r="B547" s="11"/>
      <c r="C547" s="4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4"/>
      <c r="AC547" s="4"/>
      <c r="AD547" s="4"/>
      <c r="AE547" s="4"/>
      <c r="AF547" s="4"/>
    </row>
    <row r="548" spans="1:32" ht="15.75" customHeight="1" x14ac:dyDescent="0.25">
      <c r="A548" s="4"/>
      <c r="B548" s="11"/>
      <c r="C548" s="4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4"/>
      <c r="AC548" s="4"/>
      <c r="AD548" s="4"/>
      <c r="AE548" s="4"/>
      <c r="AF548" s="4"/>
    </row>
    <row r="549" spans="1:32" ht="15.75" customHeight="1" x14ac:dyDescent="0.25">
      <c r="A549" s="4"/>
      <c r="B549" s="11"/>
      <c r="C549" s="4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4"/>
      <c r="AC549" s="4"/>
      <c r="AD549" s="4"/>
      <c r="AE549" s="4"/>
      <c r="AF549" s="4"/>
    </row>
    <row r="550" spans="1:32" ht="15.75" customHeight="1" x14ac:dyDescent="0.25">
      <c r="A550" s="4"/>
      <c r="B550" s="11"/>
      <c r="C550" s="4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4"/>
      <c r="AC550" s="4"/>
      <c r="AD550" s="4"/>
      <c r="AE550" s="4"/>
      <c r="AF550" s="4"/>
    </row>
    <row r="551" spans="1:32" ht="15.75" customHeight="1" x14ac:dyDescent="0.25">
      <c r="A551" s="4"/>
      <c r="B551" s="11"/>
      <c r="C551" s="4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4"/>
      <c r="AC551" s="4"/>
      <c r="AD551" s="4"/>
      <c r="AE551" s="4"/>
      <c r="AF551" s="4"/>
    </row>
    <row r="552" spans="1:32" ht="15.75" customHeight="1" x14ac:dyDescent="0.25">
      <c r="A552" s="4"/>
      <c r="B552" s="11"/>
      <c r="C552" s="4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4"/>
      <c r="AC552" s="4"/>
      <c r="AD552" s="4"/>
      <c r="AE552" s="4"/>
      <c r="AF552" s="4"/>
    </row>
    <row r="553" spans="1:32" ht="15.75" customHeight="1" x14ac:dyDescent="0.25">
      <c r="A553" s="4"/>
      <c r="B553" s="11"/>
      <c r="C553" s="4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4"/>
      <c r="AC553" s="4"/>
      <c r="AD553" s="4"/>
      <c r="AE553" s="4"/>
      <c r="AF553" s="4"/>
    </row>
    <row r="554" spans="1:32" ht="15.75" customHeight="1" x14ac:dyDescent="0.25">
      <c r="A554" s="4"/>
      <c r="B554" s="11"/>
      <c r="C554" s="4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4"/>
      <c r="AC554" s="4"/>
      <c r="AD554" s="4"/>
      <c r="AE554" s="4"/>
      <c r="AF554" s="4"/>
    </row>
    <row r="555" spans="1:32" ht="15.75" customHeight="1" x14ac:dyDescent="0.25">
      <c r="A555" s="4"/>
      <c r="B555" s="11"/>
      <c r="C555" s="4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4"/>
      <c r="AC555" s="4"/>
      <c r="AD555" s="4"/>
      <c r="AE555" s="4"/>
      <c r="AF555" s="4"/>
    </row>
    <row r="556" spans="1:32" ht="15.75" customHeight="1" x14ac:dyDescent="0.25">
      <c r="A556" s="4"/>
      <c r="B556" s="11"/>
      <c r="C556" s="4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4"/>
      <c r="AC556" s="4"/>
      <c r="AD556" s="4"/>
      <c r="AE556" s="4"/>
      <c r="AF556" s="4"/>
    </row>
    <row r="557" spans="1:32" ht="15.75" customHeight="1" x14ac:dyDescent="0.25">
      <c r="A557" s="4"/>
      <c r="B557" s="11"/>
      <c r="C557" s="4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4"/>
      <c r="AC557" s="4"/>
      <c r="AD557" s="4"/>
      <c r="AE557" s="4"/>
      <c r="AF557" s="4"/>
    </row>
    <row r="558" spans="1:32" ht="15.75" customHeight="1" x14ac:dyDescent="0.25">
      <c r="A558" s="4"/>
      <c r="B558" s="11"/>
      <c r="C558" s="4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4"/>
      <c r="AC558" s="4"/>
      <c r="AD558" s="4"/>
      <c r="AE558" s="4"/>
      <c r="AF558" s="4"/>
    </row>
    <row r="559" spans="1:32" ht="15.75" customHeight="1" x14ac:dyDescent="0.25">
      <c r="A559" s="4"/>
      <c r="B559" s="11"/>
      <c r="C559" s="4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4"/>
      <c r="AC559" s="4"/>
      <c r="AD559" s="4"/>
      <c r="AE559" s="4"/>
      <c r="AF559" s="4"/>
    </row>
    <row r="560" spans="1:32" ht="15.75" customHeight="1" x14ac:dyDescent="0.25">
      <c r="A560" s="4"/>
      <c r="B560" s="11"/>
      <c r="C560" s="4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4"/>
      <c r="AC560" s="4"/>
      <c r="AD560" s="4"/>
      <c r="AE560" s="4"/>
      <c r="AF560" s="4"/>
    </row>
    <row r="561" spans="1:32" ht="15.75" customHeight="1" x14ac:dyDescent="0.25">
      <c r="A561" s="4"/>
      <c r="B561" s="11"/>
      <c r="C561" s="4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4"/>
      <c r="AC561" s="4"/>
      <c r="AD561" s="4"/>
      <c r="AE561" s="4"/>
      <c r="AF561" s="4"/>
    </row>
    <row r="562" spans="1:32" ht="15.75" customHeight="1" x14ac:dyDescent="0.25">
      <c r="A562" s="4"/>
      <c r="B562" s="11"/>
      <c r="C562" s="4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4"/>
      <c r="AC562" s="4"/>
      <c r="AD562" s="4"/>
      <c r="AE562" s="4"/>
      <c r="AF562" s="4"/>
    </row>
    <row r="563" spans="1:32" ht="15.75" customHeight="1" x14ac:dyDescent="0.25">
      <c r="A563" s="4"/>
      <c r="B563" s="11"/>
      <c r="C563" s="4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4"/>
      <c r="AC563" s="4"/>
      <c r="AD563" s="4"/>
      <c r="AE563" s="4"/>
      <c r="AF563" s="4"/>
    </row>
    <row r="564" spans="1:32" ht="15.75" customHeight="1" x14ac:dyDescent="0.25">
      <c r="A564" s="4"/>
      <c r="B564" s="11"/>
      <c r="C564" s="4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4"/>
      <c r="AC564" s="4"/>
      <c r="AD564" s="4"/>
      <c r="AE564" s="4"/>
      <c r="AF564" s="4"/>
    </row>
    <row r="565" spans="1:32" ht="15.75" customHeight="1" x14ac:dyDescent="0.25">
      <c r="A565" s="4"/>
      <c r="B565" s="11"/>
      <c r="C565" s="4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4"/>
      <c r="AC565" s="4"/>
      <c r="AD565" s="4"/>
      <c r="AE565" s="4"/>
      <c r="AF565" s="4"/>
    </row>
    <row r="566" spans="1:32" ht="15.75" customHeight="1" x14ac:dyDescent="0.25">
      <c r="A566" s="4"/>
      <c r="B566" s="11"/>
      <c r="C566" s="4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4"/>
      <c r="AC566" s="4"/>
      <c r="AD566" s="4"/>
      <c r="AE566" s="4"/>
      <c r="AF566" s="4"/>
    </row>
    <row r="567" spans="1:32" ht="15.75" customHeight="1" x14ac:dyDescent="0.25">
      <c r="A567" s="4"/>
      <c r="B567" s="11"/>
      <c r="C567" s="4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4"/>
      <c r="AC567" s="4"/>
      <c r="AD567" s="4"/>
      <c r="AE567" s="4"/>
      <c r="AF567" s="4"/>
    </row>
    <row r="568" spans="1:32" ht="15.75" customHeight="1" x14ac:dyDescent="0.25">
      <c r="A568" s="4"/>
      <c r="B568" s="11"/>
      <c r="C568" s="4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4"/>
      <c r="AC568" s="4"/>
      <c r="AD568" s="4"/>
      <c r="AE568" s="4"/>
      <c r="AF568" s="4"/>
    </row>
    <row r="569" spans="1:32" ht="15.75" customHeight="1" x14ac:dyDescent="0.25">
      <c r="A569" s="4"/>
      <c r="B569" s="11"/>
      <c r="C569" s="4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4"/>
      <c r="AC569" s="4"/>
      <c r="AD569" s="4"/>
      <c r="AE569" s="4"/>
      <c r="AF569" s="4"/>
    </row>
    <row r="570" spans="1:32" ht="15.75" customHeight="1" x14ac:dyDescent="0.25">
      <c r="A570" s="4"/>
      <c r="B570" s="11"/>
      <c r="C570" s="4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4"/>
      <c r="AC570" s="4"/>
      <c r="AD570" s="4"/>
      <c r="AE570" s="4"/>
      <c r="AF570" s="4"/>
    </row>
    <row r="571" spans="1:32" ht="15.75" customHeight="1" x14ac:dyDescent="0.25">
      <c r="A571" s="4"/>
      <c r="B571" s="11"/>
      <c r="C571" s="4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4"/>
      <c r="AC571" s="4"/>
      <c r="AD571" s="4"/>
      <c r="AE571" s="4"/>
      <c r="AF571" s="4"/>
    </row>
    <row r="572" spans="1:32" ht="15.75" customHeight="1" x14ac:dyDescent="0.25">
      <c r="A572" s="4"/>
      <c r="B572" s="11"/>
      <c r="C572" s="4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4"/>
      <c r="AC572" s="4"/>
      <c r="AD572" s="4"/>
      <c r="AE572" s="4"/>
      <c r="AF572" s="4"/>
    </row>
    <row r="573" spans="1:32" ht="15.75" customHeight="1" x14ac:dyDescent="0.25">
      <c r="A573" s="4"/>
      <c r="B573" s="11"/>
      <c r="C573" s="4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4"/>
      <c r="AC573" s="4"/>
      <c r="AD573" s="4"/>
      <c r="AE573" s="4"/>
      <c r="AF573" s="4"/>
    </row>
    <row r="574" spans="1:32" ht="15.75" customHeight="1" x14ac:dyDescent="0.25">
      <c r="A574" s="4"/>
      <c r="B574" s="11"/>
      <c r="C574" s="4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4"/>
      <c r="AC574" s="4"/>
      <c r="AD574" s="4"/>
      <c r="AE574" s="4"/>
      <c r="AF574" s="4"/>
    </row>
    <row r="575" spans="1:32" ht="15.75" customHeight="1" x14ac:dyDescent="0.25">
      <c r="A575" s="4"/>
      <c r="B575" s="11"/>
      <c r="C575" s="4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4"/>
      <c r="AC575" s="4"/>
      <c r="AD575" s="4"/>
      <c r="AE575" s="4"/>
      <c r="AF575" s="4"/>
    </row>
    <row r="576" spans="1:32" ht="15.75" customHeight="1" x14ac:dyDescent="0.25">
      <c r="A576" s="4"/>
      <c r="B576" s="11"/>
      <c r="C576" s="4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4"/>
      <c r="AC576" s="4"/>
      <c r="AD576" s="4"/>
      <c r="AE576" s="4"/>
      <c r="AF576" s="4"/>
    </row>
    <row r="577" spans="1:32" ht="15.75" customHeight="1" x14ac:dyDescent="0.25">
      <c r="A577" s="4"/>
      <c r="B577" s="11"/>
      <c r="C577" s="4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4"/>
      <c r="AC577" s="4"/>
      <c r="AD577" s="4"/>
      <c r="AE577" s="4"/>
      <c r="AF577" s="4"/>
    </row>
    <row r="578" spans="1:32" ht="15.75" customHeight="1" x14ac:dyDescent="0.25">
      <c r="A578" s="4"/>
      <c r="B578" s="11"/>
      <c r="C578" s="4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4"/>
      <c r="AC578" s="4"/>
      <c r="AD578" s="4"/>
      <c r="AE578" s="4"/>
      <c r="AF578" s="4"/>
    </row>
    <row r="579" spans="1:32" ht="15.75" customHeight="1" x14ac:dyDescent="0.25">
      <c r="A579" s="4"/>
      <c r="B579" s="11"/>
      <c r="C579" s="4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4"/>
      <c r="AC579" s="4"/>
      <c r="AD579" s="4"/>
      <c r="AE579" s="4"/>
      <c r="AF579" s="4"/>
    </row>
    <row r="580" spans="1:32" ht="15.75" customHeight="1" x14ac:dyDescent="0.25">
      <c r="A580" s="4"/>
      <c r="B580" s="11"/>
      <c r="C580" s="4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4"/>
      <c r="AC580" s="4"/>
      <c r="AD580" s="4"/>
      <c r="AE580" s="4"/>
      <c r="AF580" s="4"/>
    </row>
    <row r="581" spans="1:32" ht="15.75" customHeight="1" x14ac:dyDescent="0.25">
      <c r="A581" s="4"/>
      <c r="B581" s="11"/>
      <c r="C581" s="4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4"/>
      <c r="AC581" s="4"/>
      <c r="AD581" s="4"/>
      <c r="AE581" s="4"/>
      <c r="AF581" s="4"/>
    </row>
    <row r="582" spans="1:32" ht="15.75" customHeight="1" x14ac:dyDescent="0.25">
      <c r="A582" s="4"/>
      <c r="B582" s="11"/>
      <c r="C582" s="4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4"/>
      <c r="AC582" s="4"/>
      <c r="AD582" s="4"/>
      <c r="AE582" s="4"/>
      <c r="AF582" s="4"/>
    </row>
    <row r="583" spans="1:32" ht="15.75" customHeight="1" x14ac:dyDescent="0.25">
      <c r="A583" s="4"/>
      <c r="B583" s="11"/>
      <c r="C583" s="4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4"/>
      <c r="AC583" s="4"/>
      <c r="AD583" s="4"/>
      <c r="AE583" s="4"/>
      <c r="AF583" s="4"/>
    </row>
    <row r="584" spans="1:32" ht="15.75" customHeight="1" x14ac:dyDescent="0.25">
      <c r="A584" s="4"/>
      <c r="B584" s="11"/>
      <c r="C584" s="4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4"/>
      <c r="AC584" s="4"/>
      <c r="AD584" s="4"/>
      <c r="AE584" s="4"/>
      <c r="AF584" s="4"/>
    </row>
    <row r="585" spans="1:32" ht="15.75" customHeight="1" x14ac:dyDescent="0.25">
      <c r="A585" s="4"/>
      <c r="B585" s="11"/>
      <c r="C585" s="4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4"/>
      <c r="AC585" s="4"/>
      <c r="AD585" s="4"/>
      <c r="AE585" s="4"/>
      <c r="AF585" s="4"/>
    </row>
    <row r="586" spans="1:32" ht="15.75" customHeight="1" x14ac:dyDescent="0.25">
      <c r="A586" s="4"/>
      <c r="B586" s="11"/>
      <c r="C586" s="4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4"/>
      <c r="AC586" s="4"/>
      <c r="AD586" s="4"/>
      <c r="AE586" s="4"/>
      <c r="AF586" s="4"/>
    </row>
    <row r="587" spans="1:32" ht="15.75" customHeight="1" x14ac:dyDescent="0.25">
      <c r="A587" s="4"/>
      <c r="B587" s="11"/>
      <c r="C587" s="4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4"/>
      <c r="AC587" s="4"/>
      <c r="AD587" s="4"/>
      <c r="AE587" s="4"/>
      <c r="AF587" s="4"/>
    </row>
    <row r="588" spans="1:32" ht="15.75" customHeight="1" x14ac:dyDescent="0.25">
      <c r="A588" s="4"/>
      <c r="B588" s="11"/>
      <c r="C588" s="4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4"/>
      <c r="AC588" s="4"/>
      <c r="AD588" s="4"/>
      <c r="AE588" s="4"/>
      <c r="AF588" s="4"/>
    </row>
    <row r="589" spans="1:32" ht="15.75" customHeight="1" x14ac:dyDescent="0.25">
      <c r="A589" s="4"/>
      <c r="B589" s="11"/>
      <c r="C589" s="4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4"/>
      <c r="AC589" s="4"/>
      <c r="AD589" s="4"/>
      <c r="AE589" s="4"/>
      <c r="AF589" s="4"/>
    </row>
    <row r="590" spans="1:32" ht="15.75" customHeight="1" x14ac:dyDescent="0.25">
      <c r="A590" s="4"/>
      <c r="B590" s="11"/>
      <c r="C590" s="4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4"/>
      <c r="AC590" s="4"/>
      <c r="AD590" s="4"/>
      <c r="AE590" s="4"/>
      <c r="AF590" s="4"/>
    </row>
    <row r="591" spans="1:32" ht="15.75" customHeight="1" x14ac:dyDescent="0.25">
      <c r="A591" s="4"/>
      <c r="B591" s="11"/>
      <c r="C591" s="4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4"/>
      <c r="AC591" s="4"/>
      <c r="AD591" s="4"/>
      <c r="AE591" s="4"/>
      <c r="AF591" s="4"/>
    </row>
    <row r="592" spans="1:32" ht="15.75" customHeight="1" x14ac:dyDescent="0.25">
      <c r="A592" s="4"/>
      <c r="B592" s="11"/>
      <c r="C592" s="4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4"/>
      <c r="AC592" s="4"/>
      <c r="AD592" s="4"/>
      <c r="AE592" s="4"/>
      <c r="AF592" s="4"/>
    </row>
    <row r="593" spans="1:32" ht="15.75" customHeight="1" x14ac:dyDescent="0.25">
      <c r="A593" s="4"/>
      <c r="B593" s="11"/>
      <c r="C593" s="4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4"/>
      <c r="AC593" s="4"/>
      <c r="AD593" s="4"/>
      <c r="AE593" s="4"/>
      <c r="AF593" s="4"/>
    </row>
    <row r="594" spans="1:32" ht="15.75" customHeight="1" x14ac:dyDescent="0.25">
      <c r="A594" s="4"/>
      <c r="B594" s="11"/>
      <c r="C594" s="4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4"/>
      <c r="AC594" s="4"/>
      <c r="AD594" s="4"/>
      <c r="AE594" s="4"/>
      <c r="AF594" s="4"/>
    </row>
    <row r="595" spans="1:32" ht="15.75" customHeight="1" x14ac:dyDescent="0.25">
      <c r="A595" s="4"/>
      <c r="B595" s="11"/>
      <c r="C595" s="4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4"/>
      <c r="AC595" s="4"/>
      <c r="AD595" s="4"/>
      <c r="AE595" s="4"/>
      <c r="AF595" s="4"/>
    </row>
    <row r="596" spans="1:32" ht="15.75" customHeight="1" x14ac:dyDescent="0.25">
      <c r="A596" s="4"/>
      <c r="B596" s="11"/>
      <c r="C596" s="4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4"/>
      <c r="AC596" s="4"/>
      <c r="AD596" s="4"/>
      <c r="AE596" s="4"/>
      <c r="AF596" s="4"/>
    </row>
    <row r="597" spans="1:32" ht="15.75" customHeight="1" x14ac:dyDescent="0.25">
      <c r="A597" s="4"/>
      <c r="B597" s="11"/>
      <c r="C597" s="4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4"/>
      <c r="AC597" s="4"/>
      <c r="AD597" s="4"/>
      <c r="AE597" s="4"/>
      <c r="AF597" s="4"/>
    </row>
    <row r="598" spans="1:32" ht="15.75" customHeight="1" x14ac:dyDescent="0.25">
      <c r="A598" s="4"/>
      <c r="B598" s="11"/>
      <c r="C598" s="4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4"/>
      <c r="AC598" s="4"/>
      <c r="AD598" s="4"/>
      <c r="AE598" s="4"/>
      <c r="AF598" s="4"/>
    </row>
    <row r="599" spans="1:32" ht="15.75" customHeight="1" x14ac:dyDescent="0.25">
      <c r="A599" s="4"/>
      <c r="B599" s="11"/>
      <c r="C599" s="4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4"/>
      <c r="AC599" s="4"/>
      <c r="AD599" s="4"/>
      <c r="AE599" s="4"/>
      <c r="AF599" s="4"/>
    </row>
    <row r="600" spans="1:32" ht="15.75" customHeight="1" x14ac:dyDescent="0.25">
      <c r="A600" s="4"/>
      <c r="B600" s="11"/>
      <c r="C600" s="4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4"/>
      <c r="AC600" s="4"/>
      <c r="AD600" s="4"/>
      <c r="AE600" s="4"/>
      <c r="AF600" s="4"/>
    </row>
    <row r="601" spans="1:32" ht="15.75" customHeight="1" x14ac:dyDescent="0.25">
      <c r="A601" s="4"/>
      <c r="B601" s="11"/>
      <c r="C601" s="4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4"/>
      <c r="AC601" s="4"/>
      <c r="AD601" s="4"/>
      <c r="AE601" s="4"/>
      <c r="AF601" s="4"/>
    </row>
    <row r="602" spans="1:32" ht="15.75" customHeight="1" x14ac:dyDescent="0.25">
      <c r="A602" s="4"/>
      <c r="B602" s="11"/>
      <c r="C602" s="4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4"/>
      <c r="AC602" s="4"/>
      <c r="AD602" s="4"/>
      <c r="AE602" s="4"/>
      <c r="AF602" s="4"/>
    </row>
    <row r="603" spans="1:32" ht="15.75" customHeight="1" x14ac:dyDescent="0.25">
      <c r="A603" s="4"/>
      <c r="B603" s="11"/>
      <c r="C603" s="4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4"/>
      <c r="AC603" s="4"/>
      <c r="AD603" s="4"/>
      <c r="AE603" s="4"/>
      <c r="AF603" s="4"/>
    </row>
    <row r="604" spans="1:32" ht="15.75" customHeight="1" x14ac:dyDescent="0.25">
      <c r="A604" s="4"/>
      <c r="B604" s="11"/>
      <c r="C604" s="4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4"/>
      <c r="AC604" s="4"/>
      <c r="AD604" s="4"/>
      <c r="AE604" s="4"/>
      <c r="AF604" s="4"/>
    </row>
    <row r="605" spans="1:32" ht="15.75" customHeight="1" x14ac:dyDescent="0.25">
      <c r="A605" s="4"/>
      <c r="B605" s="11"/>
      <c r="C605" s="4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4"/>
      <c r="AC605" s="4"/>
      <c r="AD605" s="4"/>
      <c r="AE605" s="4"/>
      <c r="AF605" s="4"/>
    </row>
    <row r="606" spans="1:32" ht="15.75" customHeight="1" x14ac:dyDescent="0.25">
      <c r="A606" s="4"/>
      <c r="B606" s="11"/>
      <c r="C606" s="4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4"/>
      <c r="AC606" s="4"/>
      <c r="AD606" s="4"/>
      <c r="AE606" s="4"/>
      <c r="AF606" s="4"/>
    </row>
    <row r="607" spans="1:32" ht="15.75" customHeight="1" x14ac:dyDescent="0.25">
      <c r="A607" s="4"/>
      <c r="B607" s="11"/>
      <c r="C607" s="4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4"/>
      <c r="AC607" s="4"/>
      <c r="AD607" s="4"/>
      <c r="AE607" s="4"/>
      <c r="AF607" s="4"/>
    </row>
    <row r="608" spans="1:32" ht="15.75" customHeight="1" x14ac:dyDescent="0.25">
      <c r="A608" s="4"/>
      <c r="B608" s="11"/>
      <c r="C608" s="4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4"/>
      <c r="AC608" s="4"/>
      <c r="AD608" s="4"/>
      <c r="AE608" s="4"/>
      <c r="AF608" s="4"/>
    </row>
    <row r="609" spans="1:32" ht="15.75" customHeight="1" x14ac:dyDescent="0.25">
      <c r="A609" s="4"/>
      <c r="B609" s="11"/>
      <c r="C609" s="4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4"/>
      <c r="AC609" s="4"/>
      <c r="AD609" s="4"/>
      <c r="AE609" s="4"/>
      <c r="AF609" s="4"/>
    </row>
    <row r="610" spans="1:32" ht="15.75" customHeight="1" x14ac:dyDescent="0.25">
      <c r="A610" s="4"/>
      <c r="B610" s="11"/>
      <c r="C610" s="4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4"/>
      <c r="AC610" s="4"/>
      <c r="AD610" s="4"/>
      <c r="AE610" s="4"/>
      <c r="AF610" s="4"/>
    </row>
    <row r="611" spans="1:32" ht="15.75" customHeight="1" x14ac:dyDescent="0.25">
      <c r="A611" s="4"/>
      <c r="B611" s="11"/>
      <c r="C611" s="4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4"/>
      <c r="AC611" s="4"/>
      <c r="AD611" s="4"/>
      <c r="AE611" s="4"/>
      <c r="AF611" s="4"/>
    </row>
    <row r="612" spans="1:32" ht="15.75" customHeight="1" x14ac:dyDescent="0.25">
      <c r="A612" s="4"/>
      <c r="B612" s="11"/>
      <c r="C612" s="4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4"/>
      <c r="AC612" s="4"/>
      <c r="AD612" s="4"/>
      <c r="AE612" s="4"/>
      <c r="AF612" s="4"/>
    </row>
    <row r="613" spans="1:32" ht="15.75" customHeight="1" x14ac:dyDescent="0.25">
      <c r="A613" s="4"/>
      <c r="B613" s="11"/>
      <c r="C613" s="4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4"/>
      <c r="AC613" s="4"/>
      <c r="AD613" s="4"/>
      <c r="AE613" s="4"/>
      <c r="AF613" s="4"/>
    </row>
    <row r="614" spans="1:32" ht="15.75" customHeight="1" x14ac:dyDescent="0.25">
      <c r="A614" s="4"/>
      <c r="B614" s="11"/>
      <c r="C614" s="4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4"/>
      <c r="AC614" s="4"/>
      <c r="AD614" s="4"/>
      <c r="AE614" s="4"/>
      <c r="AF614" s="4"/>
    </row>
    <row r="615" spans="1:32" ht="15.75" customHeight="1" x14ac:dyDescent="0.25">
      <c r="A615" s="4"/>
      <c r="B615" s="11"/>
      <c r="C615" s="4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4"/>
      <c r="AC615" s="4"/>
      <c r="AD615" s="4"/>
      <c r="AE615" s="4"/>
      <c r="AF615" s="4"/>
    </row>
    <row r="616" spans="1:32" ht="15.75" customHeight="1" x14ac:dyDescent="0.25">
      <c r="A616" s="4"/>
      <c r="B616" s="11"/>
      <c r="C616" s="4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4"/>
      <c r="AC616" s="4"/>
      <c r="AD616" s="4"/>
      <c r="AE616" s="4"/>
      <c r="AF616" s="4"/>
    </row>
    <row r="617" spans="1:32" ht="15.75" customHeight="1" x14ac:dyDescent="0.25">
      <c r="A617" s="4"/>
      <c r="B617" s="11"/>
      <c r="C617" s="4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4"/>
      <c r="AC617" s="4"/>
      <c r="AD617" s="4"/>
      <c r="AE617" s="4"/>
      <c r="AF617" s="4"/>
    </row>
    <row r="618" spans="1:32" ht="15.75" customHeight="1" x14ac:dyDescent="0.25">
      <c r="A618" s="4"/>
      <c r="B618" s="11"/>
      <c r="C618" s="4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4"/>
      <c r="AC618" s="4"/>
      <c r="AD618" s="4"/>
      <c r="AE618" s="4"/>
      <c r="AF618" s="4"/>
    </row>
    <row r="619" spans="1:32" ht="15.75" customHeight="1" x14ac:dyDescent="0.25">
      <c r="A619" s="4"/>
      <c r="B619" s="11"/>
      <c r="C619" s="4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4"/>
      <c r="AC619" s="4"/>
      <c r="AD619" s="4"/>
      <c r="AE619" s="4"/>
      <c r="AF619" s="4"/>
    </row>
    <row r="620" spans="1:32" ht="15.75" customHeight="1" x14ac:dyDescent="0.25">
      <c r="A620" s="4"/>
      <c r="B620" s="11"/>
      <c r="C620" s="4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4"/>
      <c r="AC620" s="4"/>
      <c r="AD620" s="4"/>
      <c r="AE620" s="4"/>
      <c r="AF620" s="4"/>
    </row>
    <row r="621" spans="1:32" ht="15.75" customHeight="1" x14ac:dyDescent="0.25">
      <c r="A621" s="4"/>
      <c r="B621" s="11"/>
      <c r="C621" s="4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4"/>
      <c r="AC621" s="4"/>
      <c r="AD621" s="4"/>
      <c r="AE621" s="4"/>
      <c r="AF621" s="4"/>
    </row>
    <row r="622" spans="1:32" ht="15.75" customHeight="1" x14ac:dyDescent="0.25">
      <c r="A622" s="4"/>
      <c r="B622" s="11"/>
      <c r="C622" s="4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4"/>
      <c r="AC622" s="4"/>
      <c r="AD622" s="4"/>
      <c r="AE622" s="4"/>
      <c r="AF622" s="4"/>
    </row>
    <row r="623" spans="1:32" ht="15.75" customHeight="1" x14ac:dyDescent="0.25">
      <c r="A623" s="4"/>
      <c r="B623" s="11"/>
      <c r="C623" s="4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4"/>
      <c r="AC623" s="4"/>
      <c r="AD623" s="4"/>
      <c r="AE623" s="4"/>
      <c r="AF623" s="4"/>
    </row>
    <row r="624" spans="1:32" ht="15.75" customHeight="1" x14ac:dyDescent="0.25">
      <c r="A624" s="4"/>
      <c r="B624" s="11"/>
      <c r="C624" s="4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4"/>
      <c r="AC624" s="4"/>
      <c r="AD624" s="4"/>
      <c r="AE624" s="4"/>
      <c r="AF624" s="4"/>
    </row>
    <row r="625" spans="1:32" ht="15.75" customHeight="1" x14ac:dyDescent="0.25">
      <c r="A625" s="4"/>
      <c r="B625" s="11"/>
      <c r="C625" s="4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4"/>
      <c r="AC625" s="4"/>
      <c r="AD625" s="4"/>
      <c r="AE625" s="4"/>
      <c r="AF625" s="4"/>
    </row>
    <row r="626" spans="1:32" ht="15.75" customHeight="1" x14ac:dyDescent="0.25">
      <c r="A626" s="4"/>
      <c r="B626" s="11"/>
      <c r="C626" s="4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4"/>
      <c r="AC626" s="4"/>
      <c r="AD626" s="4"/>
      <c r="AE626" s="4"/>
      <c r="AF626" s="4"/>
    </row>
    <row r="627" spans="1:32" ht="15.75" customHeight="1" x14ac:dyDescent="0.25">
      <c r="A627" s="4"/>
      <c r="B627" s="11"/>
      <c r="C627" s="4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4"/>
      <c r="AC627" s="4"/>
      <c r="AD627" s="4"/>
      <c r="AE627" s="4"/>
      <c r="AF627" s="4"/>
    </row>
    <row r="628" spans="1:32" ht="15.75" customHeight="1" x14ac:dyDescent="0.25">
      <c r="A628" s="4"/>
      <c r="B628" s="11"/>
      <c r="C628" s="4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4"/>
      <c r="AC628" s="4"/>
      <c r="AD628" s="4"/>
      <c r="AE628" s="4"/>
      <c r="AF628" s="4"/>
    </row>
    <row r="629" spans="1:32" ht="15.75" customHeight="1" x14ac:dyDescent="0.25">
      <c r="A629" s="4"/>
      <c r="B629" s="11"/>
      <c r="C629" s="4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4"/>
      <c r="AC629" s="4"/>
      <c r="AD629" s="4"/>
      <c r="AE629" s="4"/>
      <c r="AF629" s="4"/>
    </row>
    <row r="630" spans="1:32" ht="15.75" customHeight="1" x14ac:dyDescent="0.25">
      <c r="A630" s="4"/>
      <c r="B630" s="11"/>
      <c r="C630" s="4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4"/>
      <c r="AC630" s="4"/>
      <c r="AD630" s="4"/>
      <c r="AE630" s="4"/>
      <c r="AF630" s="4"/>
    </row>
    <row r="631" spans="1:32" ht="15.75" customHeight="1" x14ac:dyDescent="0.25">
      <c r="A631" s="4"/>
      <c r="B631" s="11"/>
      <c r="C631" s="4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4"/>
      <c r="AC631" s="4"/>
      <c r="AD631" s="4"/>
      <c r="AE631" s="4"/>
      <c r="AF631" s="4"/>
    </row>
    <row r="632" spans="1:32" ht="15.75" customHeight="1" x14ac:dyDescent="0.25">
      <c r="A632" s="4"/>
      <c r="B632" s="11"/>
      <c r="C632" s="4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4"/>
      <c r="AC632" s="4"/>
      <c r="AD632" s="4"/>
      <c r="AE632" s="4"/>
      <c r="AF632" s="4"/>
    </row>
    <row r="633" spans="1:32" ht="15.75" customHeight="1" x14ac:dyDescent="0.25">
      <c r="A633" s="4"/>
      <c r="B633" s="11"/>
      <c r="C633" s="4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4"/>
      <c r="AC633" s="4"/>
      <c r="AD633" s="4"/>
      <c r="AE633" s="4"/>
      <c r="AF633" s="4"/>
    </row>
    <row r="634" spans="1:32" ht="15.75" customHeight="1" x14ac:dyDescent="0.25">
      <c r="A634" s="4"/>
      <c r="B634" s="11"/>
      <c r="C634" s="4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4"/>
      <c r="AC634" s="4"/>
      <c r="AD634" s="4"/>
      <c r="AE634" s="4"/>
      <c r="AF634" s="4"/>
    </row>
    <row r="635" spans="1:32" ht="15.75" customHeight="1" x14ac:dyDescent="0.25">
      <c r="A635" s="4"/>
      <c r="B635" s="11"/>
      <c r="C635" s="4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4"/>
      <c r="AC635" s="4"/>
      <c r="AD635" s="4"/>
      <c r="AE635" s="4"/>
      <c r="AF635" s="4"/>
    </row>
    <row r="636" spans="1:32" ht="15.75" customHeight="1" x14ac:dyDescent="0.25">
      <c r="A636" s="4"/>
      <c r="B636" s="11"/>
      <c r="C636" s="4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4"/>
      <c r="AC636" s="4"/>
      <c r="AD636" s="4"/>
      <c r="AE636" s="4"/>
      <c r="AF636" s="4"/>
    </row>
    <row r="637" spans="1:32" ht="15.75" customHeight="1" x14ac:dyDescent="0.25">
      <c r="A637" s="4"/>
      <c r="B637" s="11"/>
      <c r="C637" s="4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4"/>
      <c r="AC637" s="4"/>
      <c r="AD637" s="4"/>
      <c r="AE637" s="4"/>
      <c r="AF637" s="4"/>
    </row>
    <row r="638" spans="1:32" ht="15.75" customHeight="1" x14ac:dyDescent="0.25">
      <c r="A638" s="4"/>
      <c r="B638" s="11"/>
      <c r="C638" s="4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4"/>
      <c r="AC638" s="4"/>
      <c r="AD638" s="4"/>
      <c r="AE638" s="4"/>
      <c r="AF638" s="4"/>
    </row>
    <row r="639" spans="1:32" ht="15.75" customHeight="1" x14ac:dyDescent="0.25">
      <c r="A639" s="4"/>
      <c r="B639" s="11"/>
      <c r="C639" s="4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4"/>
      <c r="AC639" s="4"/>
      <c r="AD639" s="4"/>
      <c r="AE639" s="4"/>
      <c r="AF639" s="4"/>
    </row>
    <row r="640" spans="1:32" ht="15.75" customHeight="1" x14ac:dyDescent="0.25">
      <c r="A640" s="4"/>
      <c r="B640" s="11"/>
      <c r="C640" s="4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4"/>
      <c r="AC640" s="4"/>
      <c r="AD640" s="4"/>
      <c r="AE640" s="4"/>
      <c r="AF640" s="4"/>
    </row>
    <row r="641" spans="1:32" ht="15.75" customHeight="1" x14ac:dyDescent="0.25">
      <c r="A641" s="4"/>
      <c r="B641" s="11"/>
      <c r="C641" s="4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4"/>
      <c r="AC641" s="4"/>
      <c r="AD641" s="4"/>
      <c r="AE641" s="4"/>
      <c r="AF641" s="4"/>
    </row>
    <row r="642" spans="1:32" ht="15.75" customHeight="1" x14ac:dyDescent="0.25">
      <c r="A642" s="4"/>
      <c r="B642" s="11"/>
      <c r="C642" s="4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4"/>
      <c r="AC642" s="4"/>
      <c r="AD642" s="4"/>
      <c r="AE642" s="4"/>
      <c r="AF642" s="4"/>
    </row>
    <row r="643" spans="1:32" ht="15.75" customHeight="1" x14ac:dyDescent="0.25">
      <c r="A643" s="4"/>
      <c r="B643" s="11"/>
      <c r="C643" s="4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4"/>
      <c r="AC643" s="4"/>
      <c r="AD643" s="4"/>
      <c r="AE643" s="4"/>
      <c r="AF643" s="4"/>
    </row>
    <row r="644" spans="1:32" ht="15.75" customHeight="1" x14ac:dyDescent="0.25">
      <c r="A644" s="4"/>
      <c r="B644" s="11"/>
      <c r="C644" s="4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4"/>
      <c r="AC644" s="4"/>
      <c r="AD644" s="4"/>
      <c r="AE644" s="4"/>
      <c r="AF644" s="4"/>
    </row>
    <row r="645" spans="1:32" ht="15.75" customHeight="1" x14ac:dyDescent="0.25">
      <c r="A645" s="4"/>
      <c r="B645" s="11"/>
      <c r="C645" s="4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4"/>
      <c r="AC645" s="4"/>
      <c r="AD645" s="4"/>
      <c r="AE645" s="4"/>
      <c r="AF645" s="4"/>
    </row>
    <row r="646" spans="1:32" ht="15.75" customHeight="1" x14ac:dyDescent="0.25">
      <c r="A646" s="4"/>
      <c r="B646" s="11"/>
      <c r="C646" s="4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4"/>
      <c r="AC646" s="4"/>
      <c r="AD646" s="4"/>
      <c r="AE646" s="4"/>
      <c r="AF646" s="4"/>
    </row>
    <row r="647" spans="1:32" ht="15.75" customHeight="1" x14ac:dyDescent="0.25">
      <c r="A647" s="4"/>
      <c r="B647" s="11"/>
      <c r="C647" s="4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4"/>
      <c r="AC647" s="4"/>
      <c r="AD647" s="4"/>
      <c r="AE647" s="4"/>
      <c r="AF647" s="4"/>
    </row>
    <row r="648" spans="1:32" ht="15.75" customHeight="1" x14ac:dyDescent="0.25">
      <c r="A648" s="4"/>
      <c r="B648" s="11"/>
      <c r="C648" s="4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4"/>
      <c r="AC648" s="4"/>
      <c r="AD648" s="4"/>
      <c r="AE648" s="4"/>
      <c r="AF648" s="4"/>
    </row>
    <row r="649" spans="1:32" ht="15.75" customHeight="1" x14ac:dyDescent="0.25">
      <c r="A649" s="4"/>
      <c r="B649" s="11"/>
      <c r="C649" s="4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4"/>
      <c r="AC649" s="4"/>
      <c r="AD649" s="4"/>
      <c r="AE649" s="4"/>
      <c r="AF649" s="4"/>
    </row>
    <row r="650" spans="1:32" ht="15.75" customHeight="1" x14ac:dyDescent="0.25">
      <c r="A650" s="4"/>
      <c r="B650" s="11"/>
      <c r="C650" s="4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4"/>
      <c r="AC650" s="4"/>
      <c r="AD650" s="4"/>
      <c r="AE650" s="4"/>
      <c r="AF650" s="4"/>
    </row>
    <row r="651" spans="1:32" ht="15.75" customHeight="1" x14ac:dyDescent="0.25">
      <c r="A651" s="4"/>
      <c r="B651" s="11"/>
      <c r="C651" s="4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4"/>
      <c r="AC651" s="4"/>
      <c r="AD651" s="4"/>
      <c r="AE651" s="4"/>
      <c r="AF651" s="4"/>
    </row>
    <row r="652" spans="1:32" ht="15.75" customHeight="1" x14ac:dyDescent="0.25">
      <c r="A652" s="4"/>
      <c r="B652" s="11"/>
      <c r="C652" s="4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4"/>
      <c r="AC652" s="4"/>
      <c r="AD652" s="4"/>
      <c r="AE652" s="4"/>
      <c r="AF652" s="4"/>
    </row>
    <row r="653" spans="1:32" ht="15.75" customHeight="1" x14ac:dyDescent="0.25">
      <c r="A653" s="4"/>
      <c r="B653" s="11"/>
      <c r="C653" s="4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4"/>
      <c r="AC653" s="4"/>
      <c r="AD653" s="4"/>
      <c r="AE653" s="4"/>
      <c r="AF653" s="4"/>
    </row>
    <row r="654" spans="1:32" ht="15.75" customHeight="1" x14ac:dyDescent="0.25">
      <c r="A654" s="4"/>
      <c r="B654" s="11"/>
      <c r="C654" s="4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4"/>
      <c r="AC654" s="4"/>
      <c r="AD654" s="4"/>
      <c r="AE654" s="4"/>
      <c r="AF654" s="4"/>
    </row>
    <row r="655" spans="1:32" ht="15.75" customHeight="1" x14ac:dyDescent="0.25">
      <c r="A655" s="4"/>
      <c r="B655" s="11"/>
      <c r="C655" s="4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4"/>
      <c r="AC655" s="4"/>
      <c r="AD655" s="4"/>
      <c r="AE655" s="4"/>
      <c r="AF655" s="4"/>
    </row>
    <row r="656" spans="1:32" ht="15.75" customHeight="1" x14ac:dyDescent="0.25">
      <c r="A656" s="4"/>
      <c r="B656" s="11"/>
      <c r="C656" s="4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4"/>
      <c r="AC656" s="4"/>
      <c r="AD656" s="4"/>
      <c r="AE656" s="4"/>
      <c r="AF656" s="4"/>
    </row>
    <row r="657" spans="1:32" ht="15.75" customHeight="1" x14ac:dyDescent="0.25">
      <c r="A657" s="4"/>
      <c r="B657" s="11"/>
      <c r="C657" s="4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4"/>
      <c r="AC657" s="4"/>
      <c r="AD657" s="4"/>
      <c r="AE657" s="4"/>
      <c r="AF657" s="4"/>
    </row>
    <row r="658" spans="1:32" ht="15.75" customHeight="1" x14ac:dyDescent="0.25">
      <c r="A658" s="4"/>
      <c r="B658" s="11"/>
      <c r="C658" s="4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4"/>
      <c r="AC658" s="4"/>
      <c r="AD658" s="4"/>
      <c r="AE658" s="4"/>
      <c r="AF658" s="4"/>
    </row>
    <row r="659" spans="1:32" ht="15.75" customHeight="1" x14ac:dyDescent="0.25">
      <c r="A659" s="4"/>
      <c r="B659" s="11"/>
      <c r="C659" s="4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4"/>
      <c r="AC659" s="4"/>
      <c r="AD659" s="4"/>
      <c r="AE659" s="4"/>
      <c r="AF659" s="4"/>
    </row>
    <row r="660" spans="1:32" ht="15.75" customHeight="1" x14ac:dyDescent="0.25">
      <c r="A660" s="4"/>
      <c r="B660" s="11"/>
      <c r="C660" s="4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4"/>
      <c r="AC660" s="4"/>
      <c r="AD660" s="4"/>
      <c r="AE660" s="4"/>
      <c r="AF660" s="4"/>
    </row>
    <row r="661" spans="1:32" ht="15.75" customHeight="1" x14ac:dyDescent="0.25">
      <c r="A661" s="4"/>
      <c r="B661" s="11"/>
      <c r="C661" s="4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4"/>
      <c r="AC661" s="4"/>
      <c r="AD661" s="4"/>
      <c r="AE661" s="4"/>
      <c r="AF661" s="4"/>
    </row>
    <row r="662" spans="1:32" ht="15.75" customHeight="1" x14ac:dyDescent="0.25">
      <c r="A662" s="4"/>
      <c r="B662" s="11"/>
      <c r="C662" s="4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4"/>
      <c r="AC662" s="4"/>
      <c r="AD662" s="4"/>
      <c r="AE662" s="4"/>
      <c r="AF662" s="4"/>
    </row>
    <row r="663" spans="1:32" ht="15.75" customHeight="1" x14ac:dyDescent="0.25">
      <c r="A663" s="4"/>
      <c r="B663" s="11"/>
      <c r="C663" s="4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4"/>
      <c r="AC663" s="4"/>
      <c r="AD663" s="4"/>
      <c r="AE663" s="4"/>
      <c r="AF663" s="4"/>
    </row>
    <row r="664" spans="1:32" ht="15.75" customHeight="1" x14ac:dyDescent="0.25">
      <c r="A664" s="4"/>
      <c r="B664" s="11"/>
      <c r="C664" s="4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4"/>
      <c r="AC664" s="4"/>
      <c r="AD664" s="4"/>
      <c r="AE664" s="4"/>
      <c r="AF664" s="4"/>
    </row>
    <row r="665" spans="1:32" ht="15.75" customHeight="1" x14ac:dyDescent="0.25">
      <c r="A665" s="4"/>
      <c r="B665" s="11"/>
      <c r="C665" s="4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4"/>
      <c r="AC665" s="4"/>
      <c r="AD665" s="4"/>
      <c r="AE665" s="4"/>
      <c r="AF665" s="4"/>
    </row>
    <row r="666" spans="1:32" ht="15.75" customHeight="1" x14ac:dyDescent="0.25">
      <c r="A666" s="4"/>
      <c r="B666" s="11"/>
      <c r="C666" s="4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4"/>
      <c r="AC666" s="4"/>
      <c r="AD666" s="4"/>
      <c r="AE666" s="4"/>
      <c r="AF666" s="4"/>
    </row>
    <row r="667" spans="1:32" ht="15.75" customHeight="1" x14ac:dyDescent="0.25">
      <c r="A667" s="4"/>
      <c r="B667" s="11"/>
      <c r="C667" s="4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4"/>
      <c r="AC667" s="4"/>
      <c r="AD667" s="4"/>
      <c r="AE667" s="4"/>
      <c r="AF667" s="4"/>
    </row>
    <row r="668" spans="1:32" ht="15.75" customHeight="1" x14ac:dyDescent="0.25">
      <c r="A668" s="4"/>
      <c r="B668" s="11"/>
      <c r="C668" s="4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4"/>
      <c r="AC668" s="4"/>
      <c r="AD668" s="4"/>
      <c r="AE668" s="4"/>
      <c r="AF668" s="4"/>
    </row>
    <row r="669" spans="1:32" ht="15.75" customHeight="1" x14ac:dyDescent="0.25">
      <c r="A669" s="4"/>
      <c r="B669" s="11"/>
      <c r="C669" s="4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4"/>
      <c r="AC669" s="4"/>
      <c r="AD669" s="4"/>
      <c r="AE669" s="4"/>
      <c r="AF669" s="4"/>
    </row>
    <row r="670" spans="1:32" ht="15.75" customHeight="1" x14ac:dyDescent="0.25">
      <c r="A670" s="4"/>
      <c r="B670" s="11"/>
      <c r="C670" s="4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4"/>
      <c r="AC670" s="4"/>
      <c r="AD670" s="4"/>
      <c r="AE670" s="4"/>
      <c r="AF670" s="4"/>
    </row>
    <row r="671" spans="1:32" ht="15.75" customHeight="1" x14ac:dyDescent="0.25">
      <c r="A671" s="4"/>
      <c r="B671" s="11"/>
      <c r="C671" s="4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4"/>
      <c r="AC671" s="4"/>
      <c r="AD671" s="4"/>
      <c r="AE671" s="4"/>
      <c r="AF671" s="4"/>
    </row>
    <row r="672" spans="1:32" ht="15.75" customHeight="1" x14ac:dyDescent="0.25">
      <c r="A672" s="4"/>
      <c r="B672" s="11"/>
      <c r="C672" s="4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4"/>
      <c r="AC672" s="4"/>
      <c r="AD672" s="4"/>
      <c r="AE672" s="4"/>
      <c r="AF672" s="4"/>
    </row>
    <row r="673" spans="1:32" ht="15.75" customHeight="1" x14ac:dyDescent="0.25">
      <c r="A673" s="4"/>
      <c r="B673" s="11"/>
      <c r="C673" s="4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4"/>
      <c r="AC673" s="4"/>
      <c r="AD673" s="4"/>
      <c r="AE673" s="4"/>
      <c r="AF673" s="4"/>
    </row>
    <row r="674" spans="1:32" ht="15.75" customHeight="1" x14ac:dyDescent="0.25">
      <c r="A674" s="4"/>
      <c r="B674" s="11"/>
      <c r="C674" s="4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4"/>
      <c r="AC674" s="4"/>
      <c r="AD674" s="4"/>
      <c r="AE674" s="4"/>
      <c r="AF674" s="4"/>
    </row>
    <row r="675" spans="1:32" ht="15.75" customHeight="1" x14ac:dyDescent="0.25">
      <c r="A675" s="4"/>
      <c r="B675" s="11"/>
      <c r="C675" s="4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4"/>
      <c r="AC675" s="4"/>
      <c r="AD675" s="4"/>
      <c r="AE675" s="4"/>
      <c r="AF675" s="4"/>
    </row>
    <row r="676" spans="1:32" ht="15.75" customHeight="1" x14ac:dyDescent="0.25">
      <c r="A676" s="4"/>
      <c r="B676" s="11"/>
      <c r="C676" s="4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4"/>
      <c r="AC676" s="4"/>
      <c r="AD676" s="4"/>
      <c r="AE676" s="4"/>
      <c r="AF676" s="4"/>
    </row>
    <row r="677" spans="1:32" ht="15.75" customHeight="1" x14ac:dyDescent="0.25">
      <c r="A677" s="4"/>
      <c r="B677" s="11"/>
      <c r="C677" s="4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4"/>
      <c r="AC677" s="4"/>
      <c r="AD677" s="4"/>
      <c r="AE677" s="4"/>
      <c r="AF677" s="4"/>
    </row>
    <row r="678" spans="1:32" ht="15.75" customHeight="1" x14ac:dyDescent="0.25">
      <c r="A678" s="4"/>
      <c r="B678" s="11"/>
      <c r="C678" s="4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4"/>
      <c r="AC678" s="4"/>
      <c r="AD678" s="4"/>
      <c r="AE678" s="4"/>
      <c r="AF678" s="4"/>
    </row>
    <row r="679" spans="1:32" ht="15.75" customHeight="1" x14ac:dyDescent="0.25">
      <c r="A679" s="4"/>
      <c r="B679" s="11"/>
      <c r="C679" s="4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4"/>
      <c r="AC679" s="4"/>
      <c r="AD679" s="4"/>
      <c r="AE679" s="4"/>
      <c r="AF679" s="4"/>
    </row>
    <row r="680" spans="1:32" ht="15.75" customHeight="1" x14ac:dyDescent="0.25">
      <c r="A680" s="4"/>
      <c r="B680" s="11"/>
      <c r="C680" s="4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4"/>
      <c r="AC680" s="4"/>
      <c r="AD680" s="4"/>
      <c r="AE680" s="4"/>
      <c r="AF680" s="4"/>
    </row>
    <row r="681" spans="1:32" ht="15.75" customHeight="1" x14ac:dyDescent="0.25">
      <c r="A681" s="4"/>
      <c r="B681" s="11"/>
      <c r="C681" s="4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4"/>
      <c r="AC681" s="4"/>
      <c r="AD681" s="4"/>
      <c r="AE681" s="4"/>
      <c r="AF681" s="4"/>
    </row>
    <row r="682" spans="1:32" ht="15.75" customHeight="1" x14ac:dyDescent="0.25">
      <c r="A682" s="4"/>
      <c r="B682" s="11"/>
      <c r="C682" s="4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4"/>
      <c r="AC682" s="4"/>
      <c r="AD682" s="4"/>
      <c r="AE682" s="4"/>
      <c r="AF682" s="4"/>
    </row>
    <row r="683" spans="1:32" ht="15.75" customHeight="1" x14ac:dyDescent="0.25">
      <c r="A683" s="4"/>
      <c r="B683" s="11"/>
      <c r="C683" s="4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4"/>
      <c r="AC683" s="4"/>
      <c r="AD683" s="4"/>
      <c r="AE683" s="4"/>
      <c r="AF683" s="4"/>
    </row>
    <row r="684" spans="1:32" ht="15.75" customHeight="1" x14ac:dyDescent="0.25">
      <c r="A684" s="4"/>
      <c r="B684" s="11"/>
      <c r="C684" s="4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4"/>
      <c r="AC684" s="4"/>
      <c r="AD684" s="4"/>
      <c r="AE684" s="4"/>
      <c r="AF684" s="4"/>
    </row>
    <row r="685" spans="1:32" ht="15.75" customHeight="1" x14ac:dyDescent="0.25">
      <c r="A685" s="4"/>
      <c r="B685" s="11"/>
      <c r="C685" s="4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4"/>
      <c r="AC685" s="4"/>
      <c r="AD685" s="4"/>
      <c r="AE685" s="4"/>
      <c r="AF685" s="4"/>
    </row>
    <row r="686" spans="1:32" ht="15.75" customHeight="1" x14ac:dyDescent="0.25">
      <c r="A686" s="4"/>
      <c r="B686" s="11"/>
      <c r="C686" s="4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4"/>
      <c r="AC686" s="4"/>
      <c r="AD686" s="4"/>
      <c r="AE686" s="4"/>
      <c r="AF686" s="4"/>
    </row>
    <row r="687" spans="1:32" ht="15.75" customHeight="1" x14ac:dyDescent="0.25">
      <c r="A687" s="4"/>
      <c r="B687" s="11"/>
      <c r="C687" s="4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4"/>
      <c r="AC687" s="4"/>
      <c r="AD687" s="4"/>
      <c r="AE687" s="4"/>
      <c r="AF687" s="4"/>
    </row>
    <row r="688" spans="1:32" ht="15.75" customHeight="1" x14ac:dyDescent="0.25">
      <c r="A688" s="4"/>
      <c r="B688" s="11"/>
      <c r="C688" s="4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4"/>
      <c r="AC688" s="4"/>
      <c r="AD688" s="4"/>
      <c r="AE688" s="4"/>
      <c r="AF688" s="4"/>
    </row>
    <row r="689" spans="1:32" ht="15.75" customHeight="1" x14ac:dyDescent="0.25">
      <c r="A689" s="4"/>
      <c r="B689" s="11"/>
      <c r="C689" s="4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4"/>
      <c r="AC689" s="4"/>
      <c r="AD689" s="4"/>
      <c r="AE689" s="4"/>
      <c r="AF689" s="4"/>
    </row>
    <row r="690" spans="1:32" ht="15.75" customHeight="1" x14ac:dyDescent="0.25">
      <c r="A690" s="4"/>
      <c r="B690" s="11"/>
      <c r="C690" s="4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4"/>
      <c r="AC690" s="4"/>
      <c r="AD690" s="4"/>
      <c r="AE690" s="4"/>
      <c r="AF690" s="4"/>
    </row>
    <row r="691" spans="1:32" ht="15.75" customHeight="1" x14ac:dyDescent="0.25">
      <c r="A691" s="4"/>
      <c r="B691" s="11"/>
      <c r="C691" s="4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4"/>
      <c r="AC691" s="4"/>
      <c r="AD691" s="4"/>
      <c r="AE691" s="4"/>
      <c r="AF691" s="4"/>
    </row>
    <row r="692" spans="1:32" ht="15.75" customHeight="1" x14ac:dyDescent="0.25">
      <c r="A692" s="4"/>
      <c r="B692" s="11"/>
      <c r="C692" s="4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4"/>
      <c r="AC692" s="4"/>
      <c r="AD692" s="4"/>
      <c r="AE692" s="4"/>
      <c r="AF692" s="4"/>
    </row>
    <row r="693" spans="1:32" ht="15.75" customHeight="1" x14ac:dyDescent="0.25">
      <c r="A693" s="4"/>
      <c r="B693" s="11"/>
      <c r="C693" s="4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4"/>
      <c r="AC693" s="4"/>
      <c r="AD693" s="4"/>
      <c r="AE693" s="4"/>
      <c r="AF693" s="4"/>
    </row>
    <row r="694" spans="1:32" ht="15.75" customHeight="1" x14ac:dyDescent="0.25">
      <c r="A694" s="4"/>
      <c r="B694" s="11"/>
      <c r="C694" s="4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4"/>
      <c r="AC694" s="4"/>
      <c r="AD694" s="4"/>
      <c r="AE694" s="4"/>
      <c r="AF694" s="4"/>
    </row>
    <row r="695" spans="1:32" ht="15.75" customHeight="1" x14ac:dyDescent="0.25">
      <c r="A695" s="4"/>
      <c r="B695" s="11"/>
      <c r="C695" s="4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4"/>
      <c r="AC695" s="4"/>
      <c r="AD695" s="4"/>
      <c r="AE695" s="4"/>
      <c r="AF695" s="4"/>
    </row>
    <row r="696" spans="1:32" ht="15.75" customHeight="1" x14ac:dyDescent="0.25">
      <c r="A696" s="4"/>
      <c r="B696" s="11"/>
      <c r="C696" s="4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4"/>
      <c r="AC696" s="4"/>
      <c r="AD696" s="4"/>
      <c r="AE696" s="4"/>
      <c r="AF696" s="4"/>
    </row>
    <row r="697" spans="1:32" ht="15.75" customHeight="1" x14ac:dyDescent="0.25">
      <c r="A697" s="4"/>
      <c r="B697" s="11"/>
      <c r="C697" s="4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4"/>
      <c r="AC697" s="4"/>
      <c r="AD697" s="4"/>
      <c r="AE697" s="4"/>
      <c r="AF697" s="4"/>
    </row>
    <row r="698" spans="1:32" ht="15.75" customHeight="1" x14ac:dyDescent="0.25">
      <c r="A698" s="4"/>
      <c r="B698" s="11"/>
      <c r="C698" s="4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4"/>
      <c r="AC698" s="4"/>
      <c r="AD698" s="4"/>
      <c r="AE698" s="4"/>
      <c r="AF698" s="4"/>
    </row>
    <row r="699" spans="1:32" ht="15.75" customHeight="1" x14ac:dyDescent="0.25">
      <c r="A699" s="4"/>
      <c r="B699" s="11"/>
      <c r="C699" s="4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4"/>
      <c r="AC699" s="4"/>
      <c r="AD699" s="4"/>
      <c r="AE699" s="4"/>
      <c r="AF699" s="4"/>
    </row>
    <row r="700" spans="1:32" ht="15.75" customHeight="1" x14ac:dyDescent="0.25">
      <c r="A700" s="4"/>
      <c r="B700" s="11"/>
      <c r="C700" s="4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4"/>
      <c r="AC700" s="4"/>
      <c r="AD700" s="4"/>
      <c r="AE700" s="4"/>
      <c r="AF700" s="4"/>
    </row>
    <row r="701" spans="1:32" ht="15.75" customHeight="1" x14ac:dyDescent="0.25">
      <c r="A701" s="4"/>
      <c r="B701" s="11"/>
      <c r="C701" s="4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4"/>
      <c r="AC701" s="4"/>
      <c r="AD701" s="4"/>
      <c r="AE701" s="4"/>
      <c r="AF701" s="4"/>
    </row>
    <row r="702" spans="1:32" ht="15.75" customHeight="1" x14ac:dyDescent="0.25">
      <c r="A702" s="4"/>
      <c r="B702" s="11"/>
      <c r="C702" s="4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4"/>
      <c r="AC702" s="4"/>
      <c r="AD702" s="4"/>
      <c r="AE702" s="4"/>
      <c r="AF702" s="4"/>
    </row>
    <row r="703" spans="1:32" ht="15.75" customHeight="1" x14ac:dyDescent="0.25">
      <c r="A703" s="4"/>
      <c r="B703" s="11"/>
      <c r="C703" s="4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4"/>
      <c r="AC703" s="4"/>
      <c r="AD703" s="4"/>
      <c r="AE703" s="4"/>
      <c r="AF703" s="4"/>
    </row>
    <row r="704" spans="1:32" ht="15.75" customHeight="1" x14ac:dyDescent="0.25">
      <c r="A704" s="4"/>
      <c r="B704" s="11"/>
      <c r="C704" s="4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4"/>
      <c r="AC704" s="4"/>
      <c r="AD704" s="4"/>
      <c r="AE704" s="4"/>
      <c r="AF704" s="4"/>
    </row>
    <row r="705" spans="1:32" ht="15.75" customHeight="1" x14ac:dyDescent="0.25">
      <c r="A705" s="4"/>
      <c r="B705" s="11"/>
      <c r="C705" s="4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4"/>
      <c r="AC705" s="4"/>
      <c r="AD705" s="4"/>
      <c r="AE705" s="4"/>
      <c r="AF705" s="4"/>
    </row>
    <row r="706" spans="1:32" ht="15.75" customHeight="1" x14ac:dyDescent="0.25">
      <c r="A706" s="4"/>
      <c r="B706" s="11"/>
      <c r="C706" s="4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4"/>
      <c r="AC706" s="4"/>
      <c r="AD706" s="4"/>
      <c r="AE706" s="4"/>
      <c r="AF706" s="4"/>
    </row>
    <row r="707" spans="1:32" ht="15.75" customHeight="1" x14ac:dyDescent="0.25">
      <c r="A707" s="4"/>
      <c r="B707" s="11"/>
      <c r="C707" s="4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4"/>
      <c r="AC707" s="4"/>
      <c r="AD707" s="4"/>
      <c r="AE707" s="4"/>
      <c r="AF707" s="4"/>
    </row>
    <row r="708" spans="1:32" ht="15.75" customHeight="1" x14ac:dyDescent="0.25">
      <c r="A708" s="4"/>
      <c r="B708" s="11"/>
      <c r="C708" s="4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4"/>
      <c r="AC708" s="4"/>
      <c r="AD708" s="4"/>
      <c r="AE708" s="4"/>
      <c r="AF708" s="4"/>
    </row>
    <row r="709" spans="1:32" ht="15.75" customHeight="1" x14ac:dyDescent="0.25">
      <c r="A709" s="4"/>
      <c r="B709" s="11"/>
      <c r="C709" s="4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4"/>
      <c r="AC709" s="4"/>
      <c r="AD709" s="4"/>
      <c r="AE709" s="4"/>
      <c r="AF709" s="4"/>
    </row>
    <row r="710" spans="1:32" ht="15.75" customHeight="1" x14ac:dyDescent="0.25">
      <c r="A710" s="4"/>
      <c r="B710" s="11"/>
      <c r="C710" s="4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4"/>
      <c r="AC710" s="4"/>
      <c r="AD710" s="4"/>
      <c r="AE710" s="4"/>
      <c r="AF710" s="4"/>
    </row>
    <row r="711" spans="1:32" ht="15.75" customHeight="1" x14ac:dyDescent="0.25">
      <c r="A711" s="4"/>
      <c r="B711" s="11"/>
      <c r="C711" s="4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4"/>
      <c r="AC711" s="4"/>
      <c r="AD711" s="4"/>
      <c r="AE711" s="4"/>
      <c r="AF711" s="4"/>
    </row>
    <row r="712" spans="1:32" ht="15.75" customHeight="1" x14ac:dyDescent="0.25">
      <c r="A712" s="4"/>
      <c r="B712" s="11"/>
      <c r="C712" s="4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4"/>
      <c r="AC712" s="4"/>
      <c r="AD712" s="4"/>
      <c r="AE712" s="4"/>
      <c r="AF712" s="4"/>
    </row>
    <row r="713" spans="1:32" ht="15.75" customHeight="1" x14ac:dyDescent="0.25">
      <c r="A713" s="4"/>
      <c r="B713" s="11"/>
      <c r="C713" s="4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4"/>
      <c r="AC713" s="4"/>
      <c r="AD713" s="4"/>
      <c r="AE713" s="4"/>
      <c r="AF713" s="4"/>
    </row>
    <row r="714" spans="1:32" ht="15.75" customHeight="1" x14ac:dyDescent="0.25">
      <c r="A714" s="4"/>
      <c r="B714" s="11"/>
      <c r="C714" s="4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4"/>
      <c r="AC714" s="4"/>
      <c r="AD714" s="4"/>
      <c r="AE714" s="4"/>
      <c r="AF714" s="4"/>
    </row>
    <row r="715" spans="1:32" ht="15.75" customHeight="1" x14ac:dyDescent="0.25">
      <c r="A715" s="4"/>
      <c r="B715" s="11"/>
      <c r="C715" s="4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4"/>
      <c r="AC715" s="4"/>
      <c r="AD715" s="4"/>
      <c r="AE715" s="4"/>
      <c r="AF715" s="4"/>
    </row>
    <row r="716" spans="1:32" ht="15.75" customHeight="1" x14ac:dyDescent="0.25">
      <c r="A716" s="4"/>
      <c r="B716" s="11"/>
      <c r="C716" s="4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4"/>
      <c r="AC716" s="4"/>
      <c r="AD716" s="4"/>
      <c r="AE716" s="4"/>
      <c r="AF716" s="4"/>
    </row>
    <row r="717" spans="1:32" ht="15.75" customHeight="1" x14ac:dyDescent="0.25">
      <c r="A717" s="4"/>
      <c r="B717" s="11"/>
      <c r="C717" s="4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4"/>
      <c r="AC717" s="4"/>
      <c r="AD717" s="4"/>
      <c r="AE717" s="4"/>
      <c r="AF717" s="4"/>
    </row>
    <row r="718" spans="1:32" ht="15.75" customHeight="1" x14ac:dyDescent="0.25">
      <c r="A718" s="4"/>
      <c r="B718" s="11"/>
      <c r="C718" s="4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4"/>
      <c r="AC718" s="4"/>
      <c r="AD718" s="4"/>
      <c r="AE718" s="4"/>
      <c r="AF718" s="4"/>
    </row>
    <row r="719" spans="1:32" ht="15.75" customHeight="1" x14ac:dyDescent="0.25">
      <c r="A719" s="4"/>
      <c r="B719" s="11"/>
      <c r="C719" s="4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4"/>
      <c r="AC719" s="4"/>
      <c r="AD719" s="4"/>
      <c r="AE719" s="4"/>
      <c r="AF719" s="4"/>
    </row>
    <row r="720" spans="1:32" ht="15.75" customHeight="1" x14ac:dyDescent="0.25">
      <c r="A720" s="4"/>
      <c r="B720" s="11"/>
      <c r="C720" s="4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4"/>
      <c r="AC720" s="4"/>
      <c r="AD720" s="4"/>
      <c r="AE720" s="4"/>
      <c r="AF720" s="4"/>
    </row>
    <row r="721" spans="1:32" ht="15.75" customHeight="1" x14ac:dyDescent="0.25">
      <c r="A721" s="4"/>
      <c r="B721" s="11"/>
      <c r="C721" s="4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4"/>
      <c r="AC721" s="4"/>
      <c r="AD721" s="4"/>
      <c r="AE721" s="4"/>
      <c r="AF721" s="4"/>
    </row>
    <row r="722" spans="1:32" ht="15.75" customHeight="1" x14ac:dyDescent="0.25">
      <c r="A722" s="4"/>
      <c r="B722" s="11"/>
      <c r="C722" s="4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4"/>
      <c r="AC722" s="4"/>
      <c r="AD722" s="4"/>
      <c r="AE722" s="4"/>
      <c r="AF722" s="4"/>
    </row>
    <row r="723" spans="1:32" ht="15.75" customHeight="1" x14ac:dyDescent="0.25">
      <c r="A723" s="4"/>
      <c r="B723" s="11"/>
      <c r="C723" s="4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4"/>
      <c r="AC723" s="4"/>
      <c r="AD723" s="4"/>
      <c r="AE723" s="4"/>
      <c r="AF723" s="4"/>
    </row>
    <row r="724" spans="1:32" ht="15.75" customHeight="1" x14ac:dyDescent="0.25">
      <c r="A724" s="4"/>
      <c r="B724" s="11"/>
      <c r="C724" s="4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4"/>
      <c r="AC724" s="4"/>
      <c r="AD724" s="4"/>
      <c r="AE724" s="4"/>
      <c r="AF724" s="4"/>
    </row>
    <row r="725" spans="1:32" ht="15.75" customHeight="1" x14ac:dyDescent="0.25">
      <c r="A725" s="4"/>
      <c r="B725" s="11"/>
      <c r="C725" s="4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4"/>
      <c r="AC725" s="4"/>
      <c r="AD725" s="4"/>
      <c r="AE725" s="4"/>
      <c r="AF725" s="4"/>
    </row>
    <row r="726" spans="1:32" ht="15.75" customHeight="1" x14ac:dyDescent="0.25">
      <c r="A726" s="4"/>
      <c r="B726" s="11"/>
      <c r="C726" s="4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4"/>
      <c r="AC726" s="4"/>
      <c r="AD726" s="4"/>
      <c r="AE726" s="4"/>
      <c r="AF726" s="4"/>
    </row>
    <row r="727" spans="1:32" ht="15.75" customHeight="1" x14ac:dyDescent="0.25">
      <c r="A727" s="4"/>
      <c r="B727" s="11"/>
      <c r="C727" s="4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4"/>
      <c r="AC727" s="4"/>
      <c r="AD727" s="4"/>
      <c r="AE727" s="4"/>
      <c r="AF727" s="4"/>
    </row>
    <row r="728" spans="1:32" ht="15.75" customHeight="1" x14ac:dyDescent="0.25">
      <c r="A728" s="4"/>
      <c r="B728" s="11"/>
      <c r="C728" s="4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4"/>
      <c r="AC728" s="4"/>
      <c r="AD728" s="4"/>
      <c r="AE728" s="4"/>
      <c r="AF728" s="4"/>
    </row>
    <row r="729" spans="1:32" ht="15.75" customHeight="1" x14ac:dyDescent="0.25">
      <c r="A729" s="4"/>
      <c r="B729" s="11"/>
      <c r="C729" s="4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4"/>
      <c r="AC729" s="4"/>
      <c r="AD729" s="4"/>
      <c r="AE729" s="4"/>
      <c r="AF729" s="4"/>
    </row>
    <row r="730" spans="1:32" ht="15.75" customHeight="1" x14ac:dyDescent="0.25">
      <c r="A730" s="4"/>
      <c r="B730" s="11"/>
      <c r="C730" s="4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4"/>
      <c r="AC730" s="4"/>
      <c r="AD730" s="4"/>
      <c r="AE730" s="4"/>
      <c r="AF730" s="4"/>
    </row>
    <row r="731" spans="1:32" ht="15.75" customHeight="1" x14ac:dyDescent="0.25">
      <c r="A731" s="4"/>
      <c r="B731" s="11"/>
      <c r="C731" s="4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4"/>
      <c r="AC731" s="4"/>
      <c r="AD731" s="4"/>
      <c r="AE731" s="4"/>
      <c r="AF731" s="4"/>
    </row>
    <row r="732" spans="1:32" ht="15.75" customHeight="1" x14ac:dyDescent="0.25">
      <c r="A732" s="4"/>
      <c r="B732" s="11"/>
      <c r="C732" s="4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4"/>
      <c r="AC732" s="4"/>
      <c r="AD732" s="4"/>
      <c r="AE732" s="4"/>
      <c r="AF732" s="4"/>
    </row>
    <row r="733" spans="1:32" ht="15.75" customHeight="1" x14ac:dyDescent="0.25">
      <c r="A733" s="4"/>
      <c r="B733" s="11"/>
      <c r="C733" s="4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4"/>
      <c r="AC733" s="4"/>
      <c r="AD733" s="4"/>
      <c r="AE733" s="4"/>
      <c r="AF733" s="4"/>
    </row>
    <row r="734" spans="1:32" ht="15.75" customHeight="1" x14ac:dyDescent="0.25">
      <c r="A734" s="4"/>
      <c r="B734" s="11"/>
      <c r="C734" s="4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4"/>
      <c r="AC734" s="4"/>
      <c r="AD734" s="4"/>
      <c r="AE734" s="4"/>
      <c r="AF734" s="4"/>
    </row>
    <row r="735" spans="1:32" ht="15.75" customHeight="1" x14ac:dyDescent="0.25">
      <c r="A735" s="4"/>
      <c r="B735" s="11"/>
      <c r="C735" s="4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4"/>
      <c r="AC735" s="4"/>
      <c r="AD735" s="4"/>
      <c r="AE735" s="4"/>
      <c r="AF735" s="4"/>
    </row>
    <row r="736" spans="1:32" ht="15.75" customHeight="1" x14ac:dyDescent="0.25">
      <c r="A736" s="4"/>
      <c r="B736" s="11"/>
      <c r="C736" s="4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4"/>
      <c r="AC736" s="4"/>
      <c r="AD736" s="4"/>
      <c r="AE736" s="4"/>
      <c r="AF736" s="4"/>
    </row>
    <row r="737" spans="1:32" ht="15.75" customHeight="1" x14ac:dyDescent="0.25">
      <c r="A737" s="4"/>
      <c r="B737" s="11"/>
      <c r="C737" s="4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4"/>
      <c r="AC737" s="4"/>
      <c r="AD737" s="4"/>
      <c r="AE737" s="4"/>
      <c r="AF737" s="4"/>
    </row>
    <row r="738" spans="1:32" ht="15.75" customHeight="1" x14ac:dyDescent="0.25">
      <c r="A738" s="4"/>
      <c r="B738" s="11"/>
      <c r="C738" s="4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4"/>
      <c r="AC738" s="4"/>
      <c r="AD738" s="4"/>
      <c r="AE738" s="4"/>
      <c r="AF738" s="4"/>
    </row>
    <row r="739" spans="1:32" ht="15.75" customHeight="1" x14ac:dyDescent="0.25">
      <c r="A739" s="4"/>
      <c r="B739" s="11"/>
      <c r="C739" s="4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4"/>
      <c r="AC739" s="4"/>
      <c r="AD739" s="4"/>
      <c r="AE739" s="4"/>
      <c r="AF739" s="4"/>
    </row>
    <row r="740" spans="1:32" ht="15.75" customHeight="1" x14ac:dyDescent="0.25">
      <c r="A740" s="4"/>
      <c r="B740" s="11"/>
      <c r="C740" s="4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4"/>
      <c r="AC740" s="4"/>
      <c r="AD740" s="4"/>
      <c r="AE740" s="4"/>
      <c r="AF740" s="4"/>
    </row>
    <row r="741" spans="1:32" ht="15.75" customHeight="1" x14ac:dyDescent="0.25">
      <c r="A741" s="4"/>
      <c r="B741" s="11"/>
      <c r="C741" s="4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4"/>
      <c r="AC741" s="4"/>
      <c r="AD741" s="4"/>
      <c r="AE741" s="4"/>
      <c r="AF741" s="4"/>
    </row>
    <row r="742" spans="1:32" ht="15.75" customHeight="1" x14ac:dyDescent="0.25">
      <c r="A742" s="4"/>
      <c r="B742" s="11"/>
      <c r="C742" s="4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4"/>
      <c r="AC742" s="4"/>
      <c r="AD742" s="4"/>
      <c r="AE742" s="4"/>
      <c r="AF742" s="4"/>
    </row>
    <row r="743" spans="1:32" ht="15.75" customHeight="1" x14ac:dyDescent="0.25">
      <c r="A743" s="4"/>
      <c r="B743" s="11"/>
      <c r="C743" s="4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4"/>
      <c r="AC743" s="4"/>
      <c r="AD743" s="4"/>
      <c r="AE743" s="4"/>
      <c r="AF743" s="4"/>
    </row>
    <row r="744" spans="1:32" ht="15.75" customHeight="1" x14ac:dyDescent="0.25">
      <c r="A744" s="4"/>
      <c r="B744" s="11"/>
      <c r="C744" s="4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4"/>
      <c r="AC744" s="4"/>
      <c r="AD744" s="4"/>
      <c r="AE744" s="4"/>
      <c r="AF744" s="4"/>
    </row>
    <row r="745" spans="1:32" ht="15.75" customHeight="1" x14ac:dyDescent="0.25">
      <c r="A745" s="4"/>
      <c r="B745" s="11"/>
      <c r="C745" s="4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4"/>
      <c r="AC745" s="4"/>
      <c r="AD745" s="4"/>
      <c r="AE745" s="4"/>
      <c r="AF745" s="4"/>
    </row>
    <row r="746" spans="1:32" ht="15.75" customHeight="1" x14ac:dyDescent="0.25">
      <c r="A746" s="4"/>
      <c r="B746" s="11"/>
      <c r="C746" s="4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4"/>
      <c r="AC746" s="4"/>
      <c r="AD746" s="4"/>
      <c r="AE746" s="4"/>
      <c r="AF746" s="4"/>
    </row>
    <row r="747" spans="1:32" ht="15.75" customHeight="1" x14ac:dyDescent="0.25">
      <c r="A747" s="4"/>
      <c r="B747" s="11"/>
      <c r="C747" s="4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4"/>
      <c r="AC747" s="4"/>
      <c r="AD747" s="4"/>
      <c r="AE747" s="4"/>
      <c r="AF747" s="4"/>
    </row>
    <row r="748" spans="1:32" ht="15.75" customHeight="1" x14ac:dyDescent="0.25">
      <c r="A748" s="4"/>
      <c r="B748" s="11"/>
      <c r="C748" s="4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4"/>
      <c r="AC748" s="4"/>
      <c r="AD748" s="4"/>
      <c r="AE748" s="4"/>
      <c r="AF748" s="4"/>
    </row>
    <row r="749" spans="1:32" ht="15.75" customHeight="1" x14ac:dyDescent="0.25">
      <c r="A749" s="4"/>
      <c r="B749" s="11"/>
      <c r="C749" s="4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4"/>
      <c r="AC749" s="4"/>
      <c r="AD749" s="4"/>
      <c r="AE749" s="4"/>
      <c r="AF749" s="4"/>
    </row>
    <row r="750" spans="1:32" ht="15.75" customHeight="1" x14ac:dyDescent="0.25">
      <c r="A750" s="4"/>
      <c r="B750" s="11"/>
      <c r="C750" s="4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4"/>
      <c r="AC750" s="4"/>
      <c r="AD750" s="4"/>
      <c r="AE750" s="4"/>
      <c r="AF750" s="4"/>
    </row>
    <row r="751" spans="1:32" ht="15.75" customHeight="1" x14ac:dyDescent="0.25">
      <c r="A751" s="4"/>
      <c r="B751" s="11"/>
      <c r="C751" s="4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4"/>
      <c r="AC751" s="4"/>
      <c r="AD751" s="4"/>
      <c r="AE751" s="4"/>
      <c r="AF751" s="4"/>
    </row>
    <row r="752" spans="1:32" ht="15.75" customHeight="1" x14ac:dyDescent="0.25">
      <c r="A752" s="4"/>
      <c r="B752" s="11"/>
      <c r="C752" s="4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4"/>
      <c r="AC752" s="4"/>
      <c r="AD752" s="4"/>
      <c r="AE752" s="4"/>
      <c r="AF752" s="4"/>
    </row>
    <row r="753" spans="1:32" ht="15.75" customHeight="1" x14ac:dyDescent="0.25">
      <c r="A753" s="4"/>
      <c r="B753" s="11"/>
      <c r="C753" s="4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4"/>
      <c r="AC753" s="4"/>
      <c r="AD753" s="4"/>
      <c r="AE753" s="4"/>
      <c r="AF753" s="4"/>
    </row>
    <row r="754" spans="1:32" ht="15.75" customHeight="1" x14ac:dyDescent="0.25">
      <c r="A754" s="4"/>
      <c r="B754" s="11"/>
      <c r="C754" s="4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4"/>
      <c r="AC754" s="4"/>
      <c r="AD754" s="4"/>
      <c r="AE754" s="4"/>
      <c r="AF754" s="4"/>
    </row>
    <row r="755" spans="1:32" ht="15.75" customHeight="1" x14ac:dyDescent="0.25">
      <c r="A755" s="4"/>
      <c r="B755" s="11"/>
      <c r="C755" s="4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4"/>
      <c r="AC755" s="4"/>
      <c r="AD755" s="4"/>
      <c r="AE755" s="4"/>
      <c r="AF755" s="4"/>
    </row>
    <row r="756" spans="1:32" ht="15.75" customHeight="1" x14ac:dyDescent="0.25">
      <c r="A756" s="4"/>
      <c r="B756" s="11"/>
      <c r="C756" s="4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4"/>
      <c r="AC756" s="4"/>
      <c r="AD756" s="4"/>
      <c r="AE756" s="4"/>
      <c r="AF756" s="4"/>
    </row>
    <row r="757" spans="1:32" ht="15.75" customHeight="1" x14ac:dyDescent="0.25">
      <c r="A757" s="4"/>
      <c r="B757" s="11"/>
      <c r="C757" s="4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4"/>
      <c r="AC757" s="4"/>
      <c r="AD757" s="4"/>
      <c r="AE757" s="4"/>
      <c r="AF757" s="4"/>
    </row>
    <row r="758" spans="1:32" ht="15.75" customHeight="1" x14ac:dyDescent="0.25">
      <c r="A758" s="4"/>
      <c r="B758" s="11"/>
      <c r="C758" s="4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4"/>
      <c r="AC758" s="4"/>
      <c r="AD758" s="4"/>
      <c r="AE758" s="4"/>
      <c r="AF758" s="4"/>
    </row>
    <row r="759" spans="1:32" ht="15.75" customHeight="1" x14ac:dyDescent="0.25">
      <c r="A759" s="4"/>
      <c r="B759" s="11"/>
      <c r="C759" s="4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4"/>
      <c r="AC759" s="4"/>
      <c r="AD759" s="4"/>
      <c r="AE759" s="4"/>
      <c r="AF759" s="4"/>
    </row>
    <row r="760" spans="1:32" ht="15.75" customHeight="1" x14ac:dyDescent="0.25">
      <c r="A760" s="4"/>
      <c r="B760" s="11"/>
      <c r="C760" s="4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4"/>
      <c r="AC760" s="4"/>
      <c r="AD760" s="4"/>
      <c r="AE760" s="4"/>
      <c r="AF760" s="4"/>
    </row>
    <row r="761" spans="1:32" ht="15.75" customHeight="1" x14ac:dyDescent="0.25">
      <c r="A761" s="4"/>
      <c r="B761" s="11"/>
      <c r="C761" s="4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4"/>
      <c r="AC761" s="4"/>
      <c r="AD761" s="4"/>
      <c r="AE761" s="4"/>
      <c r="AF761" s="4"/>
    </row>
    <row r="762" spans="1:32" ht="15.75" customHeight="1" x14ac:dyDescent="0.25">
      <c r="A762" s="4"/>
      <c r="B762" s="11"/>
      <c r="C762" s="4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4"/>
      <c r="AC762" s="4"/>
      <c r="AD762" s="4"/>
      <c r="AE762" s="4"/>
      <c r="AF762" s="4"/>
    </row>
    <row r="763" spans="1:32" ht="15.75" customHeight="1" x14ac:dyDescent="0.25">
      <c r="A763" s="4"/>
      <c r="B763" s="11"/>
      <c r="C763" s="4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4"/>
      <c r="AC763" s="4"/>
      <c r="AD763" s="4"/>
      <c r="AE763" s="4"/>
      <c r="AF763" s="4"/>
    </row>
    <row r="764" spans="1:32" ht="15.75" customHeight="1" x14ac:dyDescent="0.25">
      <c r="A764" s="4"/>
      <c r="B764" s="11"/>
      <c r="C764" s="4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4"/>
      <c r="AC764" s="4"/>
      <c r="AD764" s="4"/>
      <c r="AE764" s="4"/>
      <c r="AF764" s="4"/>
    </row>
    <row r="765" spans="1:32" ht="15.75" customHeight="1" x14ac:dyDescent="0.25">
      <c r="A765" s="4"/>
      <c r="B765" s="11"/>
      <c r="C765" s="4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4"/>
      <c r="AC765" s="4"/>
      <c r="AD765" s="4"/>
      <c r="AE765" s="4"/>
      <c r="AF765" s="4"/>
    </row>
    <row r="766" spans="1:32" ht="15.75" customHeight="1" x14ac:dyDescent="0.25">
      <c r="A766" s="4"/>
      <c r="B766" s="11"/>
      <c r="C766" s="4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4"/>
      <c r="AC766" s="4"/>
      <c r="AD766" s="4"/>
      <c r="AE766" s="4"/>
      <c r="AF766" s="4"/>
    </row>
    <row r="767" spans="1:32" ht="15.75" customHeight="1" x14ac:dyDescent="0.25">
      <c r="A767" s="4"/>
      <c r="B767" s="11"/>
      <c r="C767" s="4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4"/>
      <c r="AC767" s="4"/>
      <c r="AD767" s="4"/>
      <c r="AE767" s="4"/>
      <c r="AF767" s="4"/>
    </row>
    <row r="768" spans="1:32" ht="15.75" customHeight="1" x14ac:dyDescent="0.25">
      <c r="A768" s="4"/>
      <c r="B768" s="11"/>
      <c r="C768" s="4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4"/>
      <c r="AC768" s="4"/>
      <c r="AD768" s="4"/>
      <c r="AE768" s="4"/>
      <c r="AF768" s="4"/>
    </row>
    <row r="769" spans="1:32" ht="15.75" customHeight="1" x14ac:dyDescent="0.25">
      <c r="A769" s="4"/>
      <c r="B769" s="11"/>
      <c r="C769" s="4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4"/>
      <c r="AC769" s="4"/>
      <c r="AD769" s="4"/>
      <c r="AE769" s="4"/>
      <c r="AF769" s="4"/>
    </row>
    <row r="770" spans="1:32" ht="15.75" customHeight="1" x14ac:dyDescent="0.25">
      <c r="A770" s="4"/>
      <c r="B770" s="11"/>
      <c r="C770" s="4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4"/>
      <c r="AC770" s="4"/>
      <c r="AD770" s="4"/>
      <c r="AE770" s="4"/>
      <c r="AF770" s="4"/>
    </row>
    <row r="771" spans="1:32" ht="15.75" customHeight="1" x14ac:dyDescent="0.25">
      <c r="A771" s="4"/>
      <c r="B771" s="11"/>
      <c r="C771" s="4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4"/>
      <c r="AC771" s="4"/>
      <c r="AD771" s="4"/>
      <c r="AE771" s="4"/>
      <c r="AF771" s="4"/>
    </row>
    <row r="772" spans="1:32" ht="15.75" customHeight="1" x14ac:dyDescent="0.25">
      <c r="A772" s="4"/>
      <c r="B772" s="11"/>
      <c r="C772" s="4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4"/>
      <c r="AC772" s="4"/>
      <c r="AD772" s="4"/>
      <c r="AE772" s="4"/>
      <c r="AF772" s="4"/>
    </row>
    <row r="773" spans="1:32" ht="15.75" customHeight="1" x14ac:dyDescent="0.25">
      <c r="A773" s="4"/>
      <c r="B773" s="11"/>
      <c r="C773" s="4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4"/>
      <c r="AC773" s="4"/>
      <c r="AD773" s="4"/>
      <c r="AE773" s="4"/>
      <c r="AF773" s="4"/>
    </row>
    <row r="774" spans="1:32" ht="15.75" customHeight="1" x14ac:dyDescent="0.25">
      <c r="A774" s="4"/>
      <c r="B774" s="11"/>
      <c r="C774" s="4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4"/>
      <c r="AC774" s="4"/>
      <c r="AD774" s="4"/>
      <c r="AE774" s="4"/>
      <c r="AF774" s="4"/>
    </row>
    <row r="775" spans="1:32" ht="15.75" customHeight="1" x14ac:dyDescent="0.25">
      <c r="A775" s="4"/>
      <c r="B775" s="11"/>
      <c r="C775" s="4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4"/>
      <c r="AC775" s="4"/>
      <c r="AD775" s="4"/>
      <c r="AE775" s="4"/>
      <c r="AF775" s="4"/>
    </row>
    <row r="776" spans="1:32" ht="15.75" customHeight="1" x14ac:dyDescent="0.25">
      <c r="A776" s="4"/>
      <c r="B776" s="11"/>
      <c r="C776" s="4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4"/>
      <c r="AC776" s="4"/>
      <c r="AD776" s="4"/>
      <c r="AE776" s="4"/>
      <c r="AF776" s="4"/>
    </row>
    <row r="777" spans="1:32" ht="15.75" customHeight="1" x14ac:dyDescent="0.25">
      <c r="A777" s="4"/>
      <c r="B777" s="11"/>
      <c r="C777" s="4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4"/>
      <c r="AC777" s="4"/>
      <c r="AD777" s="4"/>
      <c r="AE777" s="4"/>
      <c r="AF777" s="4"/>
    </row>
    <row r="778" spans="1:32" ht="15.75" customHeight="1" x14ac:dyDescent="0.25">
      <c r="A778" s="4"/>
      <c r="B778" s="11"/>
      <c r="C778" s="4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4"/>
      <c r="AC778" s="4"/>
      <c r="AD778" s="4"/>
      <c r="AE778" s="4"/>
      <c r="AF778" s="4"/>
    </row>
    <row r="779" spans="1:32" ht="15.75" customHeight="1" x14ac:dyDescent="0.25">
      <c r="A779" s="4"/>
      <c r="B779" s="11"/>
      <c r="C779" s="4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4"/>
      <c r="AC779" s="4"/>
      <c r="AD779" s="4"/>
      <c r="AE779" s="4"/>
      <c r="AF779" s="4"/>
    </row>
    <row r="780" spans="1:32" ht="15.75" customHeight="1" x14ac:dyDescent="0.25">
      <c r="A780" s="4"/>
      <c r="B780" s="11"/>
      <c r="C780" s="4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4"/>
      <c r="AC780" s="4"/>
      <c r="AD780" s="4"/>
      <c r="AE780" s="4"/>
      <c r="AF780" s="4"/>
    </row>
    <row r="781" spans="1:32" ht="15.75" customHeight="1" x14ac:dyDescent="0.25">
      <c r="A781" s="4"/>
      <c r="B781" s="11"/>
      <c r="C781" s="4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4"/>
      <c r="AC781" s="4"/>
      <c r="AD781" s="4"/>
      <c r="AE781" s="4"/>
      <c r="AF781" s="4"/>
    </row>
    <row r="782" spans="1:32" ht="15.75" customHeight="1" x14ac:dyDescent="0.25">
      <c r="A782" s="4"/>
      <c r="B782" s="11"/>
      <c r="C782" s="4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4"/>
      <c r="AC782" s="4"/>
      <c r="AD782" s="4"/>
      <c r="AE782" s="4"/>
      <c r="AF782" s="4"/>
    </row>
    <row r="783" spans="1:32" ht="15.75" customHeight="1" x14ac:dyDescent="0.25">
      <c r="A783" s="4"/>
      <c r="B783" s="11"/>
      <c r="C783" s="4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4"/>
      <c r="AC783" s="4"/>
      <c r="AD783" s="4"/>
      <c r="AE783" s="4"/>
      <c r="AF783" s="4"/>
    </row>
    <row r="784" spans="1:32" ht="15.75" customHeight="1" x14ac:dyDescent="0.25">
      <c r="A784" s="4"/>
      <c r="B784" s="11"/>
      <c r="C784" s="4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4"/>
      <c r="AC784" s="4"/>
      <c r="AD784" s="4"/>
      <c r="AE784" s="4"/>
      <c r="AF784" s="4"/>
    </row>
    <row r="785" spans="1:32" ht="15.75" customHeight="1" x14ac:dyDescent="0.25">
      <c r="A785" s="4"/>
      <c r="B785" s="11"/>
      <c r="C785" s="4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4"/>
      <c r="AC785" s="4"/>
      <c r="AD785" s="4"/>
      <c r="AE785" s="4"/>
      <c r="AF785" s="4"/>
    </row>
    <row r="786" spans="1:32" ht="15.75" customHeight="1" x14ac:dyDescent="0.25">
      <c r="A786" s="4"/>
      <c r="B786" s="11"/>
      <c r="C786" s="4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4"/>
      <c r="AC786" s="4"/>
      <c r="AD786" s="4"/>
      <c r="AE786" s="4"/>
      <c r="AF786" s="4"/>
    </row>
    <row r="787" spans="1:32" ht="15.75" customHeight="1" x14ac:dyDescent="0.25">
      <c r="A787" s="4"/>
      <c r="B787" s="11"/>
      <c r="C787" s="4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4"/>
      <c r="AC787" s="4"/>
      <c r="AD787" s="4"/>
      <c r="AE787" s="4"/>
      <c r="AF787" s="4"/>
    </row>
    <row r="788" spans="1:32" ht="15.75" customHeight="1" x14ac:dyDescent="0.25">
      <c r="A788" s="4"/>
      <c r="B788" s="11"/>
      <c r="C788" s="4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4"/>
      <c r="AC788" s="4"/>
      <c r="AD788" s="4"/>
      <c r="AE788" s="4"/>
      <c r="AF788" s="4"/>
    </row>
    <row r="789" spans="1:32" ht="15.75" customHeight="1" x14ac:dyDescent="0.25">
      <c r="A789" s="4"/>
      <c r="B789" s="11"/>
      <c r="C789" s="4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4"/>
      <c r="AC789" s="4"/>
      <c r="AD789" s="4"/>
      <c r="AE789" s="4"/>
      <c r="AF789" s="4"/>
    </row>
    <row r="790" spans="1:32" ht="15.75" customHeight="1" x14ac:dyDescent="0.25">
      <c r="A790" s="4"/>
      <c r="B790" s="11"/>
      <c r="C790" s="4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4"/>
      <c r="AC790" s="4"/>
      <c r="AD790" s="4"/>
      <c r="AE790" s="4"/>
      <c r="AF790" s="4"/>
    </row>
    <row r="791" spans="1:32" ht="15.75" customHeight="1" x14ac:dyDescent="0.25">
      <c r="A791" s="4"/>
      <c r="B791" s="11"/>
      <c r="C791" s="4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4"/>
      <c r="AC791" s="4"/>
      <c r="AD791" s="4"/>
      <c r="AE791" s="4"/>
      <c r="AF791" s="4"/>
    </row>
    <row r="792" spans="1:32" ht="15.75" customHeight="1" x14ac:dyDescent="0.25">
      <c r="A792" s="4"/>
      <c r="B792" s="11"/>
      <c r="C792" s="4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4"/>
      <c r="AC792" s="4"/>
      <c r="AD792" s="4"/>
      <c r="AE792" s="4"/>
      <c r="AF792" s="4"/>
    </row>
    <row r="793" spans="1:32" ht="15.75" customHeight="1" x14ac:dyDescent="0.25">
      <c r="A793" s="4"/>
      <c r="B793" s="11"/>
      <c r="C793" s="4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4"/>
      <c r="AC793" s="4"/>
      <c r="AD793" s="4"/>
      <c r="AE793" s="4"/>
      <c r="AF793" s="4"/>
    </row>
    <row r="794" spans="1:32" ht="15.75" customHeight="1" x14ac:dyDescent="0.25">
      <c r="A794" s="4"/>
      <c r="B794" s="11"/>
      <c r="C794" s="4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4"/>
      <c r="AC794" s="4"/>
      <c r="AD794" s="4"/>
      <c r="AE794" s="4"/>
      <c r="AF794" s="4"/>
    </row>
    <row r="795" spans="1:32" ht="15.75" customHeight="1" x14ac:dyDescent="0.25">
      <c r="A795" s="4"/>
      <c r="B795" s="11"/>
      <c r="C795" s="4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4"/>
      <c r="AC795" s="4"/>
      <c r="AD795" s="4"/>
      <c r="AE795" s="4"/>
      <c r="AF795" s="4"/>
    </row>
    <row r="796" spans="1:32" ht="15.75" customHeight="1" x14ac:dyDescent="0.25">
      <c r="A796" s="4"/>
      <c r="B796" s="11"/>
      <c r="C796" s="4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4"/>
      <c r="AC796" s="4"/>
      <c r="AD796" s="4"/>
      <c r="AE796" s="4"/>
      <c r="AF796" s="4"/>
    </row>
    <row r="797" spans="1:32" ht="15.75" customHeight="1" x14ac:dyDescent="0.25">
      <c r="A797" s="4"/>
      <c r="B797" s="11"/>
      <c r="C797" s="4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4"/>
      <c r="AC797" s="4"/>
      <c r="AD797" s="4"/>
      <c r="AE797" s="4"/>
      <c r="AF797" s="4"/>
    </row>
    <row r="798" spans="1:32" ht="15.75" customHeight="1" x14ac:dyDescent="0.25">
      <c r="A798" s="4"/>
      <c r="B798" s="11"/>
      <c r="C798" s="4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4"/>
      <c r="AC798" s="4"/>
      <c r="AD798" s="4"/>
      <c r="AE798" s="4"/>
      <c r="AF798" s="4"/>
    </row>
    <row r="799" spans="1:32" ht="15.75" customHeight="1" x14ac:dyDescent="0.25">
      <c r="A799" s="4"/>
      <c r="B799" s="11"/>
      <c r="C799" s="4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4"/>
      <c r="AC799" s="4"/>
      <c r="AD799" s="4"/>
      <c r="AE799" s="4"/>
      <c r="AF799" s="4"/>
    </row>
    <row r="800" spans="1:32" ht="15.75" customHeight="1" x14ac:dyDescent="0.25">
      <c r="A800" s="4"/>
      <c r="B800" s="11"/>
      <c r="C800" s="4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4"/>
      <c r="AC800" s="4"/>
      <c r="AD800" s="4"/>
      <c r="AE800" s="4"/>
      <c r="AF800" s="4"/>
    </row>
    <row r="801" spans="1:32" ht="15.75" customHeight="1" x14ac:dyDescent="0.25">
      <c r="A801" s="4"/>
      <c r="B801" s="11"/>
      <c r="C801" s="4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4"/>
      <c r="AC801" s="4"/>
      <c r="AD801" s="4"/>
      <c r="AE801" s="4"/>
      <c r="AF801" s="4"/>
    </row>
    <row r="802" spans="1:32" ht="15.75" customHeight="1" x14ac:dyDescent="0.25">
      <c r="A802" s="4"/>
      <c r="B802" s="11"/>
      <c r="C802" s="4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4"/>
      <c r="AC802" s="4"/>
      <c r="AD802" s="4"/>
      <c r="AE802" s="4"/>
      <c r="AF802" s="4"/>
    </row>
    <row r="803" spans="1:32" ht="15.75" customHeight="1" x14ac:dyDescent="0.25">
      <c r="A803" s="4"/>
      <c r="B803" s="11"/>
      <c r="C803" s="4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4"/>
      <c r="AC803" s="4"/>
      <c r="AD803" s="4"/>
      <c r="AE803" s="4"/>
      <c r="AF803" s="4"/>
    </row>
    <row r="804" spans="1:32" ht="15.75" customHeight="1" x14ac:dyDescent="0.25">
      <c r="A804" s="4"/>
      <c r="B804" s="11"/>
      <c r="C804" s="4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4"/>
      <c r="AC804" s="4"/>
      <c r="AD804" s="4"/>
      <c r="AE804" s="4"/>
      <c r="AF804" s="4"/>
    </row>
    <row r="805" spans="1:32" ht="15.75" customHeight="1" x14ac:dyDescent="0.25">
      <c r="A805" s="4"/>
      <c r="B805" s="11"/>
      <c r="C805" s="4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4"/>
      <c r="AC805" s="4"/>
      <c r="AD805" s="4"/>
      <c r="AE805" s="4"/>
      <c r="AF805" s="4"/>
    </row>
    <row r="806" spans="1:32" ht="15.75" customHeight="1" x14ac:dyDescent="0.25">
      <c r="A806" s="4"/>
      <c r="B806" s="11"/>
      <c r="C806" s="4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4"/>
      <c r="AC806" s="4"/>
      <c r="AD806" s="4"/>
      <c r="AE806" s="4"/>
      <c r="AF806" s="4"/>
    </row>
    <row r="807" spans="1:32" ht="15.75" customHeight="1" x14ac:dyDescent="0.25">
      <c r="A807" s="4"/>
      <c r="B807" s="11"/>
      <c r="C807" s="4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4"/>
      <c r="AC807" s="4"/>
      <c r="AD807" s="4"/>
      <c r="AE807" s="4"/>
      <c r="AF807" s="4"/>
    </row>
    <row r="808" spans="1:32" ht="15.75" customHeight="1" x14ac:dyDescent="0.25">
      <c r="A808" s="4"/>
      <c r="B808" s="11"/>
      <c r="C808" s="4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4"/>
      <c r="AC808" s="4"/>
      <c r="AD808" s="4"/>
      <c r="AE808" s="4"/>
      <c r="AF808" s="4"/>
    </row>
    <row r="809" spans="1:32" ht="15.75" customHeight="1" x14ac:dyDescent="0.25">
      <c r="A809" s="4"/>
      <c r="B809" s="11"/>
      <c r="C809" s="4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4"/>
      <c r="AC809" s="4"/>
      <c r="AD809" s="4"/>
      <c r="AE809" s="4"/>
      <c r="AF809" s="4"/>
    </row>
    <row r="810" spans="1:32" ht="15.75" customHeight="1" x14ac:dyDescent="0.25">
      <c r="A810" s="4"/>
      <c r="B810" s="11"/>
      <c r="C810" s="4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4"/>
      <c r="AC810" s="4"/>
      <c r="AD810" s="4"/>
      <c r="AE810" s="4"/>
      <c r="AF810" s="4"/>
    </row>
    <row r="811" spans="1:32" ht="15.75" customHeight="1" x14ac:dyDescent="0.25">
      <c r="A811" s="4"/>
      <c r="B811" s="11"/>
      <c r="C811" s="4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4"/>
      <c r="AC811" s="4"/>
      <c r="AD811" s="4"/>
      <c r="AE811" s="4"/>
      <c r="AF811" s="4"/>
    </row>
    <row r="812" spans="1:32" ht="15.75" customHeight="1" x14ac:dyDescent="0.25">
      <c r="A812" s="4"/>
      <c r="B812" s="11"/>
      <c r="C812" s="4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4"/>
      <c r="AC812" s="4"/>
      <c r="AD812" s="4"/>
      <c r="AE812" s="4"/>
      <c r="AF812" s="4"/>
    </row>
    <row r="813" spans="1:32" ht="15.75" customHeight="1" x14ac:dyDescent="0.25">
      <c r="A813" s="4"/>
      <c r="B813" s="11"/>
      <c r="C813" s="4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4"/>
      <c r="AC813" s="4"/>
      <c r="AD813" s="4"/>
      <c r="AE813" s="4"/>
      <c r="AF813" s="4"/>
    </row>
    <row r="814" spans="1:32" ht="15.75" customHeight="1" x14ac:dyDescent="0.25">
      <c r="A814" s="4"/>
      <c r="B814" s="11"/>
      <c r="C814" s="4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4"/>
      <c r="AC814" s="4"/>
      <c r="AD814" s="4"/>
      <c r="AE814" s="4"/>
      <c r="AF814" s="4"/>
    </row>
    <row r="815" spans="1:32" ht="15.75" customHeight="1" x14ac:dyDescent="0.25">
      <c r="A815" s="4"/>
      <c r="B815" s="11"/>
      <c r="C815" s="4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4"/>
      <c r="AC815" s="4"/>
      <c r="AD815" s="4"/>
      <c r="AE815" s="4"/>
      <c r="AF815" s="4"/>
    </row>
    <row r="816" spans="1:32" ht="15.75" customHeight="1" x14ac:dyDescent="0.25">
      <c r="A816" s="4"/>
      <c r="B816" s="11"/>
      <c r="C816" s="4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4"/>
      <c r="AC816" s="4"/>
      <c r="AD816" s="4"/>
      <c r="AE816" s="4"/>
      <c r="AF816" s="4"/>
    </row>
    <row r="817" spans="1:32" ht="15.75" customHeight="1" x14ac:dyDescent="0.25">
      <c r="A817" s="4"/>
      <c r="B817" s="11"/>
      <c r="C817" s="4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4"/>
      <c r="AC817" s="4"/>
      <c r="AD817" s="4"/>
      <c r="AE817" s="4"/>
      <c r="AF817" s="4"/>
    </row>
    <row r="818" spans="1:32" ht="15.75" customHeight="1" x14ac:dyDescent="0.25">
      <c r="A818" s="4"/>
      <c r="B818" s="11"/>
      <c r="C818" s="4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4"/>
      <c r="AC818" s="4"/>
      <c r="AD818" s="4"/>
      <c r="AE818" s="4"/>
      <c r="AF818" s="4"/>
    </row>
    <row r="819" spans="1:32" ht="15.75" customHeight="1" x14ac:dyDescent="0.25">
      <c r="A819" s="4"/>
      <c r="B819" s="11"/>
      <c r="C819" s="4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4"/>
      <c r="AC819" s="4"/>
      <c r="AD819" s="4"/>
      <c r="AE819" s="4"/>
      <c r="AF819" s="4"/>
    </row>
    <row r="820" spans="1:32" ht="15.75" customHeight="1" x14ac:dyDescent="0.25">
      <c r="A820" s="4"/>
      <c r="B820" s="11"/>
      <c r="C820" s="4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4"/>
      <c r="AC820" s="4"/>
      <c r="AD820" s="4"/>
      <c r="AE820" s="4"/>
      <c r="AF820" s="4"/>
    </row>
    <row r="821" spans="1:32" ht="15.75" customHeight="1" x14ac:dyDescent="0.25">
      <c r="A821" s="4"/>
      <c r="B821" s="11"/>
      <c r="C821" s="4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4"/>
      <c r="AC821" s="4"/>
      <c r="AD821" s="4"/>
      <c r="AE821" s="4"/>
      <c r="AF821" s="4"/>
    </row>
    <row r="822" spans="1:32" ht="15.75" customHeight="1" x14ac:dyDescent="0.25">
      <c r="A822" s="4"/>
      <c r="B822" s="11"/>
      <c r="C822" s="4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4"/>
      <c r="AC822" s="4"/>
      <c r="AD822" s="4"/>
      <c r="AE822" s="4"/>
      <c r="AF822" s="4"/>
    </row>
    <row r="823" spans="1:32" ht="15.75" customHeight="1" x14ac:dyDescent="0.25">
      <c r="A823" s="4"/>
      <c r="B823" s="11"/>
      <c r="C823" s="4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4"/>
      <c r="AC823" s="4"/>
      <c r="AD823" s="4"/>
      <c r="AE823" s="4"/>
      <c r="AF823" s="4"/>
    </row>
    <row r="824" spans="1:32" ht="15.75" customHeight="1" x14ac:dyDescent="0.25">
      <c r="A824" s="4"/>
      <c r="B824" s="11"/>
      <c r="C824" s="4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4"/>
      <c r="AC824" s="4"/>
      <c r="AD824" s="4"/>
      <c r="AE824" s="4"/>
      <c r="AF824" s="4"/>
    </row>
    <row r="825" spans="1:32" ht="15.75" customHeight="1" x14ac:dyDescent="0.25">
      <c r="A825" s="4"/>
      <c r="B825" s="11"/>
      <c r="C825" s="4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4"/>
      <c r="AC825" s="4"/>
      <c r="AD825" s="4"/>
      <c r="AE825" s="4"/>
      <c r="AF825" s="4"/>
    </row>
    <row r="826" spans="1:32" ht="15.75" customHeight="1" x14ac:dyDescent="0.25">
      <c r="A826" s="4"/>
      <c r="B826" s="11"/>
      <c r="C826" s="4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4"/>
      <c r="AC826" s="4"/>
      <c r="AD826" s="4"/>
      <c r="AE826" s="4"/>
      <c r="AF826" s="4"/>
    </row>
    <row r="827" spans="1:32" ht="15.75" customHeight="1" x14ac:dyDescent="0.25">
      <c r="A827" s="4"/>
      <c r="B827" s="11"/>
      <c r="C827" s="4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4"/>
      <c r="AC827" s="4"/>
      <c r="AD827" s="4"/>
      <c r="AE827" s="4"/>
      <c r="AF827" s="4"/>
    </row>
    <row r="828" spans="1:32" ht="15.75" customHeight="1" x14ac:dyDescent="0.25">
      <c r="A828" s="4"/>
      <c r="B828" s="11"/>
      <c r="C828" s="4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4"/>
      <c r="AC828" s="4"/>
      <c r="AD828" s="4"/>
      <c r="AE828" s="4"/>
      <c r="AF828" s="4"/>
    </row>
    <row r="829" spans="1:32" ht="15.75" customHeight="1" x14ac:dyDescent="0.25">
      <c r="A829" s="4"/>
      <c r="B829" s="11"/>
      <c r="C829" s="4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4"/>
      <c r="AC829" s="4"/>
      <c r="AD829" s="4"/>
      <c r="AE829" s="4"/>
      <c r="AF829" s="4"/>
    </row>
    <row r="830" spans="1:32" ht="15.75" customHeight="1" x14ac:dyDescent="0.25">
      <c r="A830" s="4"/>
      <c r="B830" s="11"/>
      <c r="C830" s="4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4"/>
      <c r="AC830" s="4"/>
      <c r="AD830" s="4"/>
      <c r="AE830" s="4"/>
      <c r="AF830" s="4"/>
    </row>
    <row r="831" spans="1:32" ht="15.75" customHeight="1" x14ac:dyDescent="0.25">
      <c r="A831" s="4"/>
      <c r="B831" s="11"/>
      <c r="C831" s="4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4"/>
      <c r="AC831" s="4"/>
      <c r="AD831" s="4"/>
      <c r="AE831" s="4"/>
      <c r="AF831" s="4"/>
    </row>
    <row r="832" spans="1:32" ht="15.75" customHeight="1" x14ac:dyDescent="0.25">
      <c r="A832" s="4"/>
      <c r="B832" s="11"/>
      <c r="C832" s="4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4"/>
      <c r="AC832" s="4"/>
      <c r="AD832" s="4"/>
      <c r="AE832" s="4"/>
      <c r="AF832" s="4"/>
    </row>
    <row r="833" spans="1:32" ht="15.75" customHeight="1" x14ac:dyDescent="0.25">
      <c r="A833" s="4"/>
      <c r="B833" s="11"/>
      <c r="C833" s="4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4"/>
      <c r="AC833" s="4"/>
      <c r="AD833" s="4"/>
      <c r="AE833" s="4"/>
      <c r="AF833" s="4"/>
    </row>
    <row r="834" spans="1:32" ht="15.75" customHeight="1" x14ac:dyDescent="0.25">
      <c r="A834" s="4"/>
      <c r="B834" s="11"/>
      <c r="C834" s="4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4"/>
      <c r="AC834" s="4"/>
      <c r="AD834" s="4"/>
      <c r="AE834" s="4"/>
      <c r="AF834" s="4"/>
    </row>
    <row r="835" spans="1:32" ht="15.75" customHeight="1" x14ac:dyDescent="0.25">
      <c r="A835" s="4"/>
      <c r="B835" s="11"/>
      <c r="C835" s="4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4"/>
      <c r="AC835" s="4"/>
      <c r="AD835" s="4"/>
      <c r="AE835" s="4"/>
      <c r="AF835" s="4"/>
    </row>
    <row r="836" spans="1:32" ht="15.75" customHeight="1" x14ac:dyDescent="0.25">
      <c r="A836" s="4"/>
      <c r="B836" s="11"/>
      <c r="C836" s="4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4"/>
      <c r="AC836" s="4"/>
      <c r="AD836" s="4"/>
      <c r="AE836" s="4"/>
      <c r="AF836" s="4"/>
    </row>
    <row r="837" spans="1:32" ht="15.75" customHeight="1" x14ac:dyDescent="0.25">
      <c r="A837" s="4"/>
      <c r="B837" s="11"/>
      <c r="C837" s="4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4"/>
      <c r="AC837" s="4"/>
      <c r="AD837" s="4"/>
      <c r="AE837" s="4"/>
      <c r="AF837" s="4"/>
    </row>
    <row r="838" spans="1:32" ht="15.75" customHeight="1" x14ac:dyDescent="0.25">
      <c r="A838" s="4"/>
      <c r="B838" s="11"/>
      <c r="C838" s="4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4"/>
      <c r="AC838" s="4"/>
      <c r="AD838" s="4"/>
      <c r="AE838" s="4"/>
      <c r="AF838" s="4"/>
    </row>
    <row r="839" spans="1:32" ht="15.75" customHeight="1" x14ac:dyDescent="0.25">
      <c r="A839" s="4"/>
      <c r="B839" s="11"/>
      <c r="C839" s="4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4"/>
      <c r="AC839" s="4"/>
      <c r="AD839" s="4"/>
      <c r="AE839" s="4"/>
      <c r="AF839" s="4"/>
    </row>
    <row r="840" spans="1:32" ht="15.75" customHeight="1" x14ac:dyDescent="0.25">
      <c r="A840" s="4"/>
      <c r="B840" s="11"/>
      <c r="C840" s="4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4"/>
      <c r="AC840" s="4"/>
      <c r="AD840" s="4"/>
      <c r="AE840" s="4"/>
      <c r="AF840" s="4"/>
    </row>
    <row r="841" spans="1:32" ht="15.75" customHeight="1" x14ac:dyDescent="0.25">
      <c r="A841" s="4"/>
      <c r="B841" s="11"/>
      <c r="C841" s="4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4"/>
      <c r="AC841" s="4"/>
      <c r="AD841" s="4"/>
      <c r="AE841" s="4"/>
      <c r="AF841" s="4"/>
    </row>
    <row r="842" spans="1:32" ht="15.75" customHeight="1" x14ac:dyDescent="0.25">
      <c r="A842" s="4"/>
      <c r="B842" s="11"/>
      <c r="C842" s="4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4"/>
      <c r="AC842" s="4"/>
      <c r="AD842" s="4"/>
      <c r="AE842" s="4"/>
      <c r="AF842" s="4"/>
    </row>
    <row r="843" spans="1:32" ht="15.75" customHeight="1" x14ac:dyDescent="0.25">
      <c r="A843" s="4"/>
      <c r="B843" s="11"/>
      <c r="C843" s="4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4"/>
      <c r="AC843" s="4"/>
      <c r="AD843" s="4"/>
      <c r="AE843" s="4"/>
      <c r="AF843" s="4"/>
    </row>
    <row r="844" spans="1:32" ht="15.75" customHeight="1" x14ac:dyDescent="0.25">
      <c r="A844" s="4"/>
      <c r="B844" s="11"/>
      <c r="C844" s="4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4"/>
      <c r="AC844" s="4"/>
      <c r="AD844" s="4"/>
      <c r="AE844" s="4"/>
      <c r="AF844" s="4"/>
    </row>
    <row r="845" spans="1:32" ht="15.75" customHeight="1" x14ac:dyDescent="0.25">
      <c r="A845" s="4"/>
      <c r="B845" s="11"/>
      <c r="C845" s="4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4"/>
      <c r="AC845" s="4"/>
      <c r="AD845" s="4"/>
      <c r="AE845" s="4"/>
      <c r="AF845" s="4"/>
    </row>
    <row r="846" spans="1:32" ht="15.75" customHeight="1" x14ac:dyDescent="0.25">
      <c r="A846" s="4"/>
      <c r="B846" s="11"/>
      <c r="C846" s="4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4"/>
      <c r="AC846" s="4"/>
      <c r="AD846" s="4"/>
      <c r="AE846" s="4"/>
      <c r="AF846" s="4"/>
    </row>
    <row r="847" spans="1:32" ht="15.75" customHeight="1" x14ac:dyDescent="0.25">
      <c r="A847" s="4"/>
      <c r="B847" s="11"/>
      <c r="C847" s="4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4"/>
      <c r="AC847" s="4"/>
      <c r="AD847" s="4"/>
      <c r="AE847" s="4"/>
      <c r="AF847" s="4"/>
    </row>
    <row r="848" spans="1:32" ht="15.75" customHeight="1" x14ac:dyDescent="0.25">
      <c r="A848" s="4"/>
      <c r="B848" s="11"/>
      <c r="C848" s="4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4"/>
      <c r="AC848" s="4"/>
      <c r="AD848" s="4"/>
      <c r="AE848" s="4"/>
      <c r="AF848" s="4"/>
    </row>
    <row r="849" spans="1:32" ht="15.75" customHeight="1" x14ac:dyDescent="0.25">
      <c r="A849" s="4"/>
      <c r="B849" s="11"/>
      <c r="C849" s="4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4"/>
      <c r="AC849" s="4"/>
      <c r="AD849" s="4"/>
      <c r="AE849" s="4"/>
      <c r="AF849" s="4"/>
    </row>
    <row r="850" spans="1:32" ht="15.75" customHeight="1" x14ac:dyDescent="0.25">
      <c r="A850" s="4"/>
      <c r="B850" s="11"/>
      <c r="C850" s="4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4"/>
      <c r="AC850" s="4"/>
      <c r="AD850" s="4"/>
      <c r="AE850" s="4"/>
      <c r="AF850" s="4"/>
    </row>
    <row r="851" spans="1:32" ht="15.75" customHeight="1" x14ac:dyDescent="0.25">
      <c r="A851" s="4"/>
      <c r="B851" s="11"/>
      <c r="C851" s="4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4"/>
      <c r="AC851" s="4"/>
      <c r="AD851" s="4"/>
      <c r="AE851" s="4"/>
      <c r="AF851" s="4"/>
    </row>
    <row r="852" spans="1:32" ht="15.75" customHeight="1" x14ac:dyDescent="0.25">
      <c r="A852" s="4"/>
      <c r="B852" s="11"/>
      <c r="C852" s="4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4"/>
      <c r="AC852" s="4"/>
      <c r="AD852" s="4"/>
      <c r="AE852" s="4"/>
      <c r="AF852" s="4"/>
    </row>
    <row r="853" spans="1:32" ht="15.75" customHeight="1" x14ac:dyDescent="0.25">
      <c r="A853" s="4"/>
      <c r="B853" s="11"/>
      <c r="C853" s="4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4"/>
      <c r="AC853" s="4"/>
      <c r="AD853" s="4"/>
      <c r="AE853" s="4"/>
      <c r="AF853" s="4"/>
    </row>
    <row r="854" spans="1:32" ht="15.75" customHeight="1" x14ac:dyDescent="0.25">
      <c r="A854" s="4"/>
      <c r="B854" s="11"/>
      <c r="C854" s="4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4"/>
      <c r="AC854" s="4"/>
      <c r="AD854" s="4"/>
      <c r="AE854" s="4"/>
      <c r="AF854" s="4"/>
    </row>
    <row r="855" spans="1:32" ht="15.75" customHeight="1" x14ac:dyDescent="0.25">
      <c r="A855" s="4"/>
      <c r="B855" s="11"/>
      <c r="C855" s="4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4"/>
      <c r="AC855" s="4"/>
      <c r="AD855" s="4"/>
      <c r="AE855" s="4"/>
      <c r="AF855" s="4"/>
    </row>
    <row r="856" spans="1:32" ht="15.75" customHeight="1" x14ac:dyDescent="0.25">
      <c r="A856" s="4"/>
      <c r="B856" s="11"/>
      <c r="C856" s="4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4"/>
      <c r="AC856" s="4"/>
      <c r="AD856" s="4"/>
      <c r="AE856" s="4"/>
      <c r="AF856" s="4"/>
    </row>
    <row r="857" spans="1:32" ht="15.75" customHeight="1" x14ac:dyDescent="0.25">
      <c r="A857" s="4"/>
      <c r="B857" s="11"/>
      <c r="C857" s="4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4"/>
      <c r="AC857" s="4"/>
      <c r="AD857" s="4"/>
      <c r="AE857" s="4"/>
      <c r="AF857" s="4"/>
    </row>
    <row r="858" spans="1:32" ht="15.75" customHeight="1" x14ac:dyDescent="0.25">
      <c r="A858" s="4"/>
      <c r="B858" s="11"/>
      <c r="C858" s="4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4"/>
      <c r="AC858" s="4"/>
      <c r="AD858" s="4"/>
      <c r="AE858" s="4"/>
      <c r="AF858" s="4"/>
    </row>
    <row r="859" spans="1:32" ht="15.75" customHeight="1" x14ac:dyDescent="0.25">
      <c r="A859" s="4"/>
      <c r="B859" s="11"/>
      <c r="C859" s="4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4"/>
      <c r="AC859" s="4"/>
      <c r="AD859" s="4"/>
      <c r="AE859" s="4"/>
      <c r="AF859" s="4"/>
    </row>
    <row r="860" spans="1:32" ht="15.75" customHeight="1" x14ac:dyDescent="0.25">
      <c r="A860" s="4"/>
      <c r="B860" s="11"/>
      <c r="C860" s="4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4"/>
      <c r="AC860" s="4"/>
      <c r="AD860" s="4"/>
      <c r="AE860" s="4"/>
      <c r="AF860" s="4"/>
    </row>
    <row r="861" spans="1:32" ht="15.75" customHeight="1" x14ac:dyDescent="0.25">
      <c r="A861" s="4"/>
      <c r="B861" s="11"/>
      <c r="C861" s="4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4"/>
      <c r="AC861" s="4"/>
      <c r="AD861" s="4"/>
      <c r="AE861" s="4"/>
      <c r="AF861" s="4"/>
    </row>
    <row r="862" spans="1:32" ht="15.75" customHeight="1" x14ac:dyDescent="0.25">
      <c r="A862" s="4"/>
      <c r="B862" s="11"/>
      <c r="C862" s="4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4"/>
      <c r="AC862" s="4"/>
      <c r="AD862" s="4"/>
      <c r="AE862" s="4"/>
      <c r="AF862" s="4"/>
    </row>
    <row r="863" spans="1:32" ht="15.75" customHeight="1" x14ac:dyDescent="0.25">
      <c r="A863" s="4"/>
      <c r="B863" s="11"/>
      <c r="C863" s="4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4"/>
      <c r="AC863" s="4"/>
      <c r="AD863" s="4"/>
      <c r="AE863" s="4"/>
      <c r="AF863" s="4"/>
    </row>
    <row r="864" spans="1:32" ht="15.75" customHeight="1" x14ac:dyDescent="0.25">
      <c r="A864" s="4"/>
      <c r="B864" s="11"/>
      <c r="C864" s="4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4"/>
      <c r="AC864" s="4"/>
      <c r="AD864" s="4"/>
      <c r="AE864" s="4"/>
      <c r="AF864" s="4"/>
    </row>
    <row r="865" spans="1:32" ht="15.75" customHeight="1" x14ac:dyDescent="0.25">
      <c r="A865" s="4"/>
      <c r="B865" s="11"/>
      <c r="C865" s="4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4"/>
      <c r="AC865" s="4"/>
      <c r="AD865" s="4"/>
      <c r="AE865" s="4"/>
      <c r="AF865" s="4"/>
    </row>
    <row r="866" spans="1:32" ht="15.75" customHeight="1" x14ac:dyDescent="0.25">
      <c r="A866" s="4"/>
      <c r="B866" s="11"/>
      <c r="C866" s="4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4"/>
      <c r="AC866" s="4"/>
      <c r="AD866" s="4"/>
      <c r="AE866" s="4"/>
      <c r="AF866" s="4"/>
    </row>
    <row r="867" spans="1:32" ht="15.75" customHeight="1" x14ac:dyDescent="0.25">
      <c r="A867" s="4"/>
      <c r="B867" s="11"/>
      <c r="C867" s="4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4"/>
      <c r="AC867" s="4"/>
      <c r="AD867" s="4"/>
      <c r="AE867" s="4"/>
      <c r="AF867" s="4"/>
    </row>
    <row r="868" spans="1:32" ht="15.75" customHeight="1" x14ac:dyDescent="0.25">
      <c r="A868" s="4"/>
      <c r="B868" s="11"/>
      <c r="C868" s="4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4"/>
      <c r="AC868" s="4"/>
      <c r="AD868" s="4"/>
      <c r="AE868" s="4"/>
      <c r="AF868" s="4"/>
    </row>
    <row r="869" spans="1:32" ht="15.75" customHeight="1" x14ac:dyDescent="0.25">
      <c r="A869" s="4"/>
      <c r="B869" s="11"/>
      <c r="C869" s="4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4"/>
      <c r="AC869" s="4"/>
      <c r="AD869" s="4"/>
      <c r="AE869" s="4"/>
      <c r="AF869" s="4"/>
    </row>
    <row r="870" spans="1:32" ht="15.75" customHeight="1" x14ac:dyDescent="0.25">
      <c r="A870" s="4"/>
      <c r="B870" s="11"/>
      <c r="C870" s="4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4"/>
      <c r="AC870" s="4"/>
      <c r="AD870" s="4"/>
      <c r="AE870" s="4"/>
      <c r="AF870" s="4"/>
    </row>
    <row r="871" spans="1:32" ht="15.75" customHeight="1" x14ac:dyDescent="0.25">
      <c r="A871" s="4"/>
      <c r="B871" s="11"/>
      <c r="C871" s="4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4"/>
      <c r="AC871" s="4"/>
      <c r="AD871" s="4"/>
      <c r="AE871" s="4"/>
      <c r="AF871" s="4"/>
    </row>
    <row r="872" spans="1:32" ht="15.75" customHeight="1" x14ac:dyDescent="0.25">
      <c r="A872" s="4"/>
      <c r="B872" s="11"/>
      <c r="C872" s="4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4"/>
      <c r="AC872" s="4"/>
      <c r="AD872" s="4"/>
      <c r="AE872" s="4"/>
      <c r="AF872" s="4"/>
    </row>
    <row r="873" spans="1:32" ht="15.75" customHeight="1" x14ac:dyDescent="0.25">
      <c r="A873" s="4"/>
      <c r="B873" s="11"/>
      <c r="C873" s="4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4"/>
      <c r="AC873" s="4"/>
      <c r="AD873" s="4"/>
      <c r="AE873" s="4"/>
      <c r="AF873" s="4"/>
    </row>
    <row r="874" spans="1:32" ht="15.75" customHeight="1" x14ac:dyDescent="0.25">
      <c r="A874" s="4"/>
      <c r="B874" s="11"/>
      <c r="C874" s="4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4"/>
      <c r="AC874" s="4"/>
      <c r="AD874" s="4"/>
      <c r="AE874" s="4"/>
      <c r="AF874" s="4"/>
    </row>
    <row r="875" spans="1:32" ht="15.75" customHeight="1" x14ac:dyDescent="0.25">
      <c r="A875" s="4"/>
      <c r="B875" s="11"/>
      <c r="C875" s="4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4"/>
      <c r="AC875" s="4"/>
      <c r="AD875" s="4"/>
      <c r="AE875" s="4"/>
      <c r="AF875" s="4"/>
    </row>
    <row r="876" spans="1:32" ht="15.75" customHeight="1" x14ac:dyDescent="0.25">
      <c r="A876" s="4"/>
      <c r="B876" s="11"/>
      <c r="C876" s="4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4"/>
      <c r="AC876" s="4"/>
      <c r="AD876" s="4"/>
      <c r="AE876" s="4"/>
      <c r="AF876" s="4"/>
    </row>
    <row r="877" spans="1:32" ht="15.75" customHeight="1" x14ac:dyDescent="0.25">
      <c r="A877" s="4"/>
      <c r="B877" s="11"/>
      <c r="C877" s="4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4"/>
      <c r="AC877" s="4"/>
      <c r="AD877" s="4"/>
      <c r="AE877" s="4"/>
      <c r="AF877" s="4"/>
    </row>
    <row r="878" spans="1:32" ht="15.75" customHeight="1" x14ac:dyDescent="0.25">
      <c r="A878" s="4"/>
      <c r="B878" s="11"/>
      <c r="C878" s="4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4"/>
      <c r="AC878" s="4"/>
      <c r="AD878" s="4"/>
      <c r="AE878" s="4"/>
      <c r="AF878" s="4"/>
    </row>
    <row r="879" spans="1:32" ht="15.75" customHeight="1" x14ac:dyDescent="0.25">
      <c r="A879" s="4"/>
      <c r="B879" s="11"/>
      <c r="C879" s="4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4"/>
      <c r="AC879" s="4"/>
      <c r="AD879" s="4"/>
      <c r="AE879" s="4"/>
      <c r="AF879" s="4"/>
    </row>
    <row r="880" spans="1:32" ht="15.75" customHeight="1" x14ac:dyDescent="0.25">
      <c r="A880" s="4"/>
      <c r="B880" s="11"/>
      <c r="C880" s="4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4"/>
      <c r="AC880" s="4"/>
      <c r="AD880" s="4"/>
      <c r="AE880" s="4"/>
      <c r="AF880" s="4"/>
    </row>
    <row r="881" spans="1:32" ht="15.75" customHeight="1" x14ac:dyDescent="0.25">
      <c r="A881" s="4"/>
      <c r="B881" s="11"/>
      <c r="C881" s="4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4"/>
      <c r="AC881" s="4"/>
      <c r="AD881" s="4"/>
      <c r="AE881" s="4"/>
      <c r="AF881" s="4"/>
    </row>
    <row r="882" spans="1:32" ht="15.75" customHeight="1" x14ac:dyDescent="0.25">
      <c r="A882" s="4"/>
      <c r="B882" s="11"/>
      <c r="C882" s="4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4"/>
      <c r="AC882" s="4"/>
      <c r="AD882" s="4"/>
      <c r="AE882" s="4"/>
      <c r="AF882" s="4"/>
    </row>
    <row r="883" spans="1:32" ht="15.75" customHeight="1" x14ac:dyDescent="0.25">
      <c r="A883" s="4"/>
      <c r="B883" s="11"/>
      <c r="C883" s="4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4"/>
      <c r="AC883" s="4"/>
      <c r="AD883" s="4"/>
      <c r="AE883" s="4"/>
      <c r="AF883" s="4"/>
    </row>
    <row r="884" spans="1:32" ht="15.75" customHeight="1" x14ac:dyDescent="0.25">
      <c r="A884" s="4"/>
      <c r="B884" s="11"/>
      <c r="C884" s="4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4"/>
      <c r="AC884" s="4"/>
      <c r="AD884" s="4"/>
      <c r="AE884" s="4"/>
      <c r="AF884" s="4"/>
    </row>
    <row r="885" spans="1:32" ht="15.75" customHeight="1" x14ac:dyDescent="0.25">
      <c r="A885" s="4"/>
      <c r="B885" s="11"/>
      <c r="C885" s="4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4"/>
      <c r="AC885" s="4"/>
      <c r="AD885" s="4"/>
      <c r="AE885" s="4"/>
      <c r="AF885" s="4"/>
    </row>
    <row r="886" spans="1:32" ht="15.75" customHeight="1" x14ac:dyDescent="0.25">
      <c r="A886" s="4"/>
      <c r="B886" s="11"/>
      <c r="C886" s="4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4"/>
      <c r="AC886" s="4"/>
      <c r="AD886" s="4"/>
      <c r="AE886" s="4"/>
      <c r="AF886" s="4"/>
    </row>
    <row r="887" spans="1:32" ht="15.75" customHeight="1" x14ac:dyDescent="0.25">
      <c r="A887" s="4"/>
      <c r="B887" s="11"/>
      <c r="C887" s="4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4"/>
      <c r="AC887" s="4"/>
      <c r="AD887" s="4"/>
      <c r="AE887" s="4"/>
      <c r="AF887" s="4"/>
    </row>
    <row r="888" spans="1:32" ht="15.75" customHeight="1" x14ac:dyDescent="0.25">
      <c r="A888" s="4"/>
      <c r="B888" s="11"/>
      <c r="C888" s="4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4"/>
      <c r="AC888" s="4"/>
      <c r="AD888" s="4"/>
      <c r="AE888" s="4"/>
      <c r="AF888" s="4"/>
    </row>
    <row r="889" spans="1:32" ht="15.75" customHeight="1" x14ac:dyDescent="0.25">
      <c r="A889" s="4"/>
      <c r="B889" s="11"/>
      <c r="C889" s="4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4"/>
      <c r="AC889" s="4"/>
      <c r="AD889" s="4"/>
      <c r="AE889" s="4"/>
      <c r="AF889" s="4"/>
    </row>
    <row r="890" spans="1:32" ht="15.75" customHeight="1" x14ac:dyDescent="0.25">
      <c r="A890" s="4"/>
      <c r="B890" s="11"/>
      <c r="C890" s="4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4"/>
      <c r="AC890" s="4"/>
      <c r="AD890" s="4"/>
      <c r="AE890" s="4"/>
      <c r="AF890" s="4"/>
    </row>
    <row r="891" spans="1:32" ht="15.75" customHeight="1" x14ac:dyDescent="0.25">
      <c r="A891" s="4"/>
      <c r="B891" s="11"/>
      <c r="C891" s="4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4"/>
      <c r="AC891" s="4"/>
      <c r="AD891" s="4"/>
      <c r="AE891" s="4"/>
      <c r="AF891" s="4"/>
    </row>
    <row r="892" spans="1:32" ht="15.75" customHeight="1" x14ac:dyDescent="0.25">
      <c r="A892" s="4"/>
      <c r="B892" s="11"/>
      <c r="C892" s="4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4"/>
      <c r="AC892" s="4"/>
      <c r="AD892" s="4"/>
      <c r="AE892" s="4"/>
      <c r="AF892" s="4"/>
    </row>
    <row r="893" spans="1:32" ht="15.75" customHeight="1" x14ac:dyDescent="0.25">
      <c r="A893" s="4"/>
      <c r="B893" s="11"/>
      <c r="C893" s="4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4"/>
      <c r="AC893" s="4"/>
      <c r="AD893" s="4"/>
      <c r="AE893" s="4"/>
      <c r="AF893" s="4"/>
    </row>
    <row r="894" spans="1:32" ht="15.75" customHeight="1" x14ac:dyDescent="0.25">
      <c r="A894" s="4"/>
      <c r="B894" s="11"/>
      <c r="C894" s="4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4"/>
      <c r="AC894" s="4"/>
      <c r="AD894" s="4"/>
      <c r="AE894" s="4"/>
      <c r="AF894" s="4"/>
    </row>
    <row r="895" spans="1:32" ht="15.75" customHeight="1" x14ac:dyDescent="0.25">
      <c r="A895" s="4"/>
      <c r="B895" s="11"/>
      <c r="C895" s="4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4"/>
      <c r="AC895" s="4"/>
      <c r="AD895" s="4"/>
      <c r="AE895" s="4"/>
      <c r="AF895" s="4"/>
    </row>
    <row r="896" spans="1:32" ht="15.75" customHeight="1" x14ac:dyDescent="0.25">
      <c r="A896" s="4"/>
      <c r="B896" s="11"/>
      <c r="C896" s="4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4"/>
      <c r="AC896" s="4"/>
      <c r="AD896" s="4"/>
      <c r="AE896" s="4"/>
      <c r="AF896" s="4"/>
    </row>
    <row r="897" spans="1:32" ht="15.75" customHeight="1" x14ac:dyDescent="0.25">
      <c r="A897" s="4"/>
      <c r="B897" s="11"/>
      <c r="C897" s="4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4"/>
      <c r="AC897" s="4"/>
      <c r="AD897" s="4"/>
      <c r="AE897" s="4"/>
      <c r="AF897" s="4"/>
    </row>
    <row r="898" spans="1:32" ht="15.75" customHeight="1" x14ac:dyDescent="0.25">
      <c r="A898" s="4"/>
      <c r="B898" s="11"/>
      <c r="C898" s="4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4"/>
      <c r="AC898" s="4"/>
      <c r="AD898" s="4"/>
      <c r="AE898" s="4"/>
      <c r="AF898" s="4"/>
    </row>
    <row r="899" spans="1:32" ht="15.75" customHeight="1" x14ac:dyDescent="0.25">
      <c r="A899" s="4"/>
      <c r="B899" s="11"/>
      <c r="C899" s="4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4"/>
      <c r="AC899" s="4"/>
      <c r="AD899" s="4"/>
      <c r="AE899" s="4"/>
      <c r="AF899" s="4"/>
    </row>
    <row r="900" spans="1:32" ht="15.75" customHeight="1" x14ac:dyDescent="0.25">
      <c r="A900" s="4"/>
      <c r="B900" s="11"/>
      <c r="C900" s="4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4"/>
      <c r="AC900" s="4"/>
      <c r="AD900" s="4"/>
      <c r="AE900" s="4"/>
      <c r="AF900" s="4"/>
    </row>
    <row r="901" spans="1:32" ht="15.75" customHeight="1" x14ac:dyDescent="0.25">
      <c r="A901" s="4"/>
      <c r="B901" s="11"/>
      <c r="C901" s="4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4"/>
      <c r="AC901" s="4"/>
      <c r="AD901" s="4"/>
      <c r="AE901" s="4"/>
      <c r="AF901" s="4"/>
    </row>
    <row r="902" spans="1:32" ht="15.75" customHeight="1" x14ac:dyDescent="0.25">
      <c r="A902" s="4"/>
      <c r="B902" s="11"/>
      <c r="C902" s="4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4"/>
      <c r="AC902" s="4"/>
      <c r="AD902" s="4"/>
      <c r="AE902" s="4"/>
      <c r="AF902" s="4"/>
    </row>
    <row r="903" spans="1:32" ht="15.75" customHeight="1" x14ac:dyDescent="0.25">
      <c r="A903" s="4"/>
      <c r="B903" s="11"/>
      <c r="C903" s="4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4"/>
      <c r="AC903" s="4"/>
      <c r="AD903" s="4"/>
      <c r="AE903" s="4"/>
      <c r="AF903" s="4"/>
    </row>
    <row r="904" spans="1:32" ht="15.75" customHeight="1" x14ac:dyDescent="0.25">
      <c r="A904" s="4"/>
      <c r="B904" s="11"/>
      <c r="C904" s="4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4"/>
      <c r="AC904" s="4"/>
      <c r="AD904" s="4"/>
      <c r="AE904" s="4"/>
      <c r="AF904" s="4"/>
    </row>
    <row r="905" spans="1:32" ht="15.75" customHeight="1" x14ac:dyDescent="0.25">
      <c r="A905" s="4"/>
      <c r="B905" s="11"/>
      <c r="C905" s="4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4"/>
      <c r="AC905" s="4"/>
      <c r="AD905" s="4"/>
      <c r="AE905" s="4"/>
      <c r="AF905" s="4"/>
    </row>
    <row r="906" spans="1:32" ht="15.75" customHeight="1" x14ac:dyDescent="0.25">
      <c r="A906" s="4"/>
      <c r="B906" s="11"/>
      <c r="C906" s="4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4"/>
      <c r="AC906" s="4"/>
      <c r="AD906" s="4"/>
      <c r="AE906" s="4"/>
      <c r="AF906" s="4"/>
    </row>
    <row r="907" spans="1:32" ht="15.75" customHeight="1" x14ac:dyDescent="0.25">
      <c r="A907" s="4"/>
      <c r="B907" s="11"/>
      <c r="C907" s="4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4"/>
      <c r="AC907" s="4"/>
      <c r="AD907" s="4"/>
      <c r="AE907" s="4"/>
      <c r="AF907" s="4"/>
    </row>
    <row r="908" spans="1:32" ht="15.75" customHeight="1" x14ac:dyDescent="0.25">
      <c r="A908" s="4"/>
      <c r="B908" s="11"/>
      <c r="C908" s="4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4"/>
      <c r="AC908" s="4"/>
      <c r="AD908" s="4"/>
      <c r="AE908" s="4"/>
      <c r="AF908" s="4"/>
    </row>
    <row r="909" spans="1:32" ht="15.75" customHeight="1" x14ac:dyDescent="0.25">
      <c r="A909" s="4"/>
      <c r="B909" s="11"/>
      <c r="C909" s="4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4"/>
      <c r="AC909" s="4"/>
      <c r="AD909" s="4"/>
      <c r="AE909" s="4"/>
      <c r="AF909" s="4"/>
    </row>
    <row r="910" spans="1:32" ht="15.75" customHeight="1" x14ac:dyDescent="0.25">
      <c r="A910" s="4"/>
      <c r="B910" s="11"/>
      <c r="C910" s="4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4"/>
      <c r="AC910" s="4"/>
      <c r="AD910" s="4"/>
      <c r="AE910" s="4"/>
      <c r="AF910" s="4"/>
    </row>
    <row r="911" spans="1:32" ht="15.75" customHeight="1" x14ac:dyDescent="0.25">
      <c r="A911" s="4"/>
      <c r="B911" s="11"/>
      <c r="C911" s="4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4"/>
      <c r="AC911" s="4"/>
      <c r="AD911" s="4"/>
      <c r="AE911" s="4"/>
      <c r="AF911" s="4"/>
    </row>
    <row r="912" spans="1:32" ht="15.75" customHeight="1" x14ac:dyDescent="0.25">
      <c r="A912" s="4"/>
      <c r="B912" s="11"/>
      <c r="C912" s="4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4"/>
      <c r="AC912" s="4"/>
      <c r="AD912" s="4"/>
      <c r="AE912" s="4"/>
      <c r="AF912" s="4"/>
    </row>
    <row r="913" spans="1:32" ht="15.75" customHeight="1" x14ac:dyDescent="0.25">
      <c r="A913" s="4"/>
      <c r="B913" s="11"/>
      <c r="C913" s="4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4"/>
      <c r="AC913" s="4"/>
      <c r="AD913" s="4"/>
      <c r="AE913" s="4"/>
      <c r="AF913" s="4"/>
    </row>
    <row r="914" spans="1:32" ht="15.75" customHeight="1" x14ac:dyDescent="0.25">
      <c r="A914" s="4"/>
      <c r="B914" s="11"/>
      <c r="C914" s="4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4"/>
      <c r="AC914" s="4"/>
      <c r="AD914" s="4"/>
      <c r="AE914" s="4"/>
      <c r="AF914" s="4"/>
    </row>
    <row r="915" spans="1:32" ht="15.75" customHeight="1" x14ac:dyDescent="0.25">
      <c r="A915" s="4"/>
      <c r="B915" s="11"/>
      <c r="C915" s="4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4"/>
      <c r="AC915" s="4"/>
      <c r="AD915" s="4"/>
      <c r="AE915" s="4"/>
      <c r="AF915" s="4"/>
    </row>
    <row r="916" spans="1:32" ht="15.75" customHeight="1" x14ac:dyDescent="0.25">
      <c r="A916" s="4"/>
      <c r="B916" s="11"/>
      <c r="C916" s="4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4"/>
      <c r="AC916" s="4"/>
      <c r="AD916" s="4"/>
      <c r="AE916" s="4"/>
      <c r="AF916" s="4"/>
    </row>
    <row r="917" spans="1:32" ht="15.75" customHeight="1" x14ac:dyDescent="0.25">
      <c r="A917" s="4"/>
      <c r="B917" s="11"/>
      <c r="C917" s="4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4"/>
      <c r="AC917" s="4"/>
      <c r="AD917" s="4"/>
      <c r="AE917" s="4"/>
      <c r="AF917" s="4"/>
    </row>
    <row r="918" spans="1:32" ht="15.75" customHeight="1" x14ac:dyDescent="0.25">
      <c r="A918" s="4"/>
      <c r="B918" s="11"/>
      <c r="C918" s="4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4"/>
      <c r="AC918" s="4"/>
      <c r="AD918" s="4"/>
      <c r="AE918" s="4"/>
      <c r="AF918" s="4"/>
    </row>
    <row r="919" spans="1:32" ht="15.75" customHeight="1" x14ac:dyDescent="0.25">
      <c r="A919" s="4"/>
      <c r="B919" s="11"/>
      <c r="C919" s="4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4"/>
      <c r="AC919" s="4"/>
      <c r="AD919" s="4"/>
      <c r="AE919" s="4"/>
      <c r="AF919" s="4"/>
    </row>
    <row r="920" spans="1:32" ht="15.75" customHeight="1" x14ac:dyDescent="0.25">
      <c r="A920" s="4"/>
      <c r="B920" s="11"/>
      <c r="C920" s="4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4"/>
      <c r="AC920" s="4"/>
      <c r="AD920" s="4"/>
      <c r="AE920" s="4"/>
      <c r="AF920" s="4"/>
    </row>
    <row r="921" spans="1:32" ht="15.75" customHeight="1" x14ac:dyDescent="0.25">
      <c r="A921" s="4"/>
      <c r="B921" s="11"/>
      <c r="C921" s="4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4"/>
      <c r="AC921" s="4"/>
      <c r="AD921" s="4"/>
      <c r="AE921" s="4"/>
      <c r="AF921" s="4"/>
    </row>
    <row r="922" spans="1:32" ht="15.75" customHeight="1" x14ac:dyDescent="0.25">
      <c r="A922" s="4"/>
      <c r="B922" s="11"/>
      <c r="C922" s="4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4"/>
      <c r="AC922" s="4"/>
      <c r="AD922" s="4"/>
      <c r="AE922" s="4"/>
      <c r="AF922" s="4"/>
    </row>
    <row r="923" spans="1:32" ht="15.75" customHeight="1" x14ac:dyDescent="0.25">
      <c r="A923" s="4"/>
      <c r="B923" s="11"/>
      <c r="C923" s="4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4"/>
      <c r="AC923" s="4"/>
      <c r="AD923" s="4"/>
      <c r="AE923" s="4"/>
      <c r="AF923" s="4"/>
    </row>
    <row r="924" spans="1:32" ht="15.75" customHeight="1" x14ac:dyDescent="0.25">
      <c r="A924" s="4"/>
      <c r="B924" s="11"/>
      <c r="C924" s="4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4"/>
      <c r="AC924" s="4"/>
      <c r="AD924" s="4"/>
      <c r="AE924" s="4"/>
      <c r="AF924" s="4"/>
    </row>
    <row r="925" spans="1:32" ht="15.75" customHeight="1" x14ac:dyDescent="0.25">
      <c r="A925" s="4"/>
      <c r="B925" s="11"/>
      <c r="C925" s="4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4"/>
      <c r="AC925" s="4"/>
      <c r="AD925" s="4"/>
      <c r="AE925" s="4"/>
      <c r="AF925" s="4"/>
    </row>
    <row r="926" spans="1:32" ht="15.75" customHeight="1" x14ac:dyDescent="0.25">
      <c r="A926" s="4"/>
      <c r="B926" s="11"/>
      <c r="C926" s="4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4"/>
      <c r="AC926" s="4"/>
      <c r="AD926" s="4"/>
      <c r="AE926" s="4"/>
      <c r="AF926" s="4"/>
    </row>
    <row r="927" spans="1:32" ht="15.75" customHeight="1" x14ac:dyDescent="0.25">
      <c r="A927" s="4"/>
      <c r="B927" s="11"/>
      <c r="C927" s="4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4"/>
      <c r="AC927" s="4"/>
      <c r="AD927" s="4"/>
      <c r="AE927" s="4"/>
      <c r="AF927" s="4"/>
    </row>
    <row r="928" spans="1:32" ht="15.75" customHeight="1" x14ac:dyDescent="0.25">
      <c r="A928" s="4"/>
      <c r="B928" s="11"/>
      <c r="C928" s="4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4"/>
      <c r="AC928" s="4"/>
      <c r="AD928" s="4"/>
      <c r="AE928" s="4"/>
      <c r="AF928" s="4"/>
    </row>
    <row r="929" spans="1:32" ht="15.75" customHeight="1" x14ac:dyDescent="0.25">
      <c r="A929" s="4"/>
      <c r="B929" s="11"/>
      <c r="C929" s="4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4"/>
      <c r="AC929" s="4"/>
      <c r="AD929" s="4"/>
      <c r="AE929" s="4"/>
      <c r="AF929" s="4"/>
    </row>
    <row r="930" spans="1:32" ht="15.75" customHeight="1" x14ac:dyDescent="0.25">
      <c r="A930" s="4"/>
      <c r="B930" s="11"/>
      <c r="C930" s="4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4"/>
      <c r="AC930" s="4"/>
      <c r="AD930" s="4"/>
      <c r="AE930" s="4"/>
      <c r="AF930" s="4"/>
    </row>
    <row r="931" spans="1:32" ht="15.75" customHeight="1" x14ac:dyDescent="0.25">
      <c r="A931" s="4"/>
      <c r="B931" s="11"/>
      <c r="C931" s="4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4"/>
      <c r="AC931" s="4"/>
      <c r="AD931" s="4"/>
      <c r="AE931" s="4"/>
      <c r="AF931" s="4"/>
    </row>
    <row r="932" spans="1:32" ht="15.75" customHeight="1" x14ac:dyDescent="0.25">
      <c r="A932" s="4"/>
      <c r="B932" s="11"/>
      <c r="C932" s="4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4"/>
      <c r="AC932" s="4"/>
      <c r="AD932" s="4"/>
      <c r="AE932" s="4"/>
      <c r="AF932" s="4"/>
    </row>
    <row r="933" spans="1:32" ht="15.75" customHeight="1" x14ac:dyDescent="0.25">
      <c r="A933" s="4"/>
      <c r="B933" s="11"/>
      <c r="C933" s="4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4"/>
      <c r="AC933" s="4"/>
      <c r="AD933" s="4"/>
      <c r="AE933" s="4"/>
      <c r="AF933" s="4"/>
    </row>
    <row r="934" spans="1:32" ht="15.75" customHeight="1" x14ac:dyDescent="0.25">
      <c r="A934" s="4"/>
      <c r="B934" s="11"/>
      <c r="C934" s="4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4"/>
      <c r="AC934" s="4"/>
      <c r="AD934" s="4"/>
      <c r="AE934" s="4"/>
      <c r="AF934" s="4"/>
    </row>
    <row r="935" spans="1:32" ht="15.75" customHeight="1" x14ac:dyDescent="0.25">
      <c r="A935" s="4"/>
      <c r="B935" s="11"/>
      <c r="C935" s="4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4"/>
      <c r="AC935" s="4"/>
      <c r="AD935" s="4"/>
      <c r="AE935" s="4"/>
      <c r="AF935" s="4"/>
    </row>
    <row r="936" spans="1:32" ht="15.75" customHeight="1" x14ac:dyDescent="0.25">
      <c r="A936" s="4"/>
      <c r="B936" s="11"/>
      <c r="C936" s="4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4"/>
      <c r="AC936" s="4"/>
      <c r="AD936" s="4"/>
      <c r="AE936" s="4"/>
      <c r="AF936" s="4"/>
    </row>
    <row r="937" spans="1:32" ht="15.75" customHeight="1" x14ac:dyDescent="0.25">
      <c r="A937" s="4"/>
      <c r="B937" s="11"/>
      <c r="C937" s="4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4"/>
      <c r="AC937" s="4"/>
      <c r="AD937" s="4"/>
      <c r="AE937" s="4"/>
      <c r="AF937" s="4"/>
    </row>
    <row r="938" spans="1:32" ht="15.75" customHeight="1" x14ac:dyDescent="0.25">
      <c r="A938" s="4"/>
      <c r="B938" s="11"/>
      <c r="C938" s="4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4"/>
      <c r="AC938" s="4"/>
      <c r="AD938" s="4"/>
      <c r="AE938" s="4"/>
      <c r="AF938" s="4"/>
    </row>
    <row r="939" spans="1:32" ht="15.75" customHeight="1" x14ac:dyDescent="0.25">
      <c r="A939" s="4"/>
      <c r="B939" s="11"/>
      <c r="C939" s="4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4"/>
      <c r="AC939" s="4"/>
      <c r="AD939" s="4"/>
      <c r="AE939" s="4"/>
      <c r="AF939" s="4"/>
    </row>
    <row r="940" spans="1:32" ht="15.75" customHeight="1" x14ac:dyDescent="0.25">
      <c r="A940" s="4"/>
      <c r="B940" s="11"/>
      <c r="C940" s="4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4"/>
      <c r="AC940" s="4"/>
      <c r="AD940" s="4"/>
      <c r="AE940" s="4"/>
      <c r="AF940" s="4"/>
    </row>
    <row r="941" spans="1:32" ht="15.75" customHeight="1" x14ac:dyDescent="0.25">
      <c r="A941" s="4"/>
      <c r="B941" s="11"/>
      <c r="C941" s="4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4"/>
      <c r="AC941" s="4"/>
      <c r="AD941" s="4"/>
      <c r="AE941" s="4"/>
      <c r="AF941" s="4"/>
    </row>
    <row r="942" spans="1:32" ht="15.75" customHeight="1" x14ac:dyDescent="0.25">
      <c r="A942" s="4"/>
      <c r="B942" s="11"/>
      <c r="C942" s="4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4"/>
      <c r="AC942" s="4"/>
      <c r="AD942" s="4"/>
      <c r="AE942" s="4"/>
      <c r="AF942" s="4"/>
    </row>
    <row r="943" spans="1:32" ht="15.75" customHeight="1" x14ac:dyDescent="0.25">
      <c r="A943" s="4"/>
      <c r="B943" s="11"/>
      <c r="C943" s="4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4"/>
      <c r="AC943" s="4"/>
      <c r="AD943" s="4"/>
      <c r="AE943" s="4"/>
      <c r="AF943" s="4"/>
    </row>
    <row r="944" spans="1:32" ht="15.75" customHeight="1" x14ac:dyDescent="0.25">
      <c r="A944" s="4"/>
      <c r="B944" s="11"/>
      <c r="C944" s="4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4"/>
      <c r="AC944" s="4"/>
      <c r="AD944" s="4"/>
      <c r="AE944" s="4"/>
      <c r="AF944" s="4"/>
    </row>
    <row r="945" spans="1:32" ht="15.75" customHeight="1" x14ac:dyDescent="0.25">
      <c r="A945" s="4"/>
      <c r="B945" s="11"/>
      <c r="C945" s="4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4"/>
      <c r="AC945" s="4"/>
      <c r="AD945" s="4"/>
      <c r="AE945" s="4"/>
      <c r="AF945" s="4"/>
    </row>
    <row r="946" spans="1:32" ht="15.75" customHeight="1" x14ac:dyDescent="0.25">
      <c r="A946" s="4"/>
      <c r="B946" s="11"/>
      <c r="C946" s="4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4"/>
      <c r="AC946" s="4"/>
      <c r="AD946" s="4"/>
      <c r="AE946" s="4"/>
      <c r="AF946" s="4"/>
    </row>
    <row r="947" spans="1:32" ht="15.75" customHeight="1" x14ac:dyDescent="0.25">
      <c r="A947" s="4"/>
      <c r="B947" s="11"/>
      <c r="C947" s="4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4"/>
      <c r="AC947" s="4"/>
      <c r="AD947" s="4"/>
      <c r="AE947" s="4"/>
      <c r="AF947" s="4"/>
    </row>
    <row r="948" spans="1:32" ht="15.75" customHeight="1" x14ac:dyDescent="0.25">
      <c r="A948" s="4"/>
      <c r="B948" s="11"/>
      <c r="C948" s="4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4"/>
      <c r="AC948" s="4"/>
      <c r="AD948" s="4"/>
      <c r="AE948" s="4"/>
      <c r="AF948" s="4"/>
    </row>
    <row r="949" spans="1:32" ht="15.75" customHeight="1" x14ac:dyDescent="0.25">
      <c r="A949" s="4"/>
      <c r="B949" s="11"/>
      <c r="C949" s="4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4"/>
      <c r="AC949" s="4"/>
      <c r="AD949" s="4"/>
      <c r="AE949" s="4"/>
      <c r="AF949" s="4"/>
    </row>
    <row r="950" spans="1:32" ht="15.75" customHeight="1" x14ac:dyDescent="0.25">
      <c r="A950" s="4"/>
      <c r="B950" s="11"/>
      <c r="C950" s="4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4"/>
      <c r="AC950" s="4"/>
      <c r="AD950" s="4"/>
      <c r="AE950" s="4"/>
      <c r="AF950" s="4"/>
    </row>
    <row r="951" spans="1:32" ht="15.75" customHeight="1" x14ac:dyDescent="0.25">
      <c r="A951" s="4"/>
      <c r="B951" s="11"/>
      <c r="C951" s="4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4"/>
      <c r="AC951" s="4"/>
      <c r="AD951" s="4"/>
      <c r="AE951" s="4"/>
      <c r="AF951" s="4"/>
    </row>
    <row r="952" spans="1:32" ht="15.75" customHeight="1" x14ac:dyDescent="0.25">
      <c r="A952" s="4"/>
      <c r="B952" s="11"/>
      <c r="C952" s="4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4"/>
      <c r="AC952" s="4"/>
      <c r="AD952" s="4"/>
      <c r="AE952" s="4"/>
      <c r="AF952" s="4"/>
    </row>
    <row r="953" spans="1:32" ht="15.75" customHeight="1" x14ac:dyDescent="0.25">
      <c r="A953" s="4"/>
      <c r="B953" s="11"/>
      <c r="C953" s="4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4"/>
      <c r="AC953" s="4"/>
      <c r="AD953" s="4"/>
      <c r="AE953" s="4"/>
      <c r="AF953" s="4"/>
    </row>
    <row r="954" spans="1:32" ht="15.75" customHeight="1" x14ac:dyDescent="0.25">
      <c r="A954" s="4"/>
      <c r="B954" s="11"/>
      <c r="C954" s="4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4"/>
      <c r="AC954" s="4"/>
      <c r="AD954" s="4"/>
      <c r="AE954" s="4"/>
      <c r="AF954" s="4"/>
    </row>
    <row r="955" spans="1:32" ht="15.75" customHeight="1" x14ac:dyDescent="0.25">
      <c r="A955" s="4"/>
      <c r="B955" s="11"/>
      <c r="C955" s="4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4"/>
      <c r="AC955" s="4"/>
      <c r="AD955" s="4"/>
      <c r="AE955" s="4"/>
      <c r="AF955" s="4"/>
    </row>
    <row r="956" spans="1:32" ht="15.75" customHeight="1" x14ac:dyDescent="0.25">
      <c r="A956" s="4"/>
      <c r="B956" s="11"/>
      <c r="C956" s="4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4"/>
      <c r="AC956" s="4"/>
      <c r="AD956" s="4"/>
      <c r="AE956" s="4"/>
      <c r="AF956" s="4"/>
    </row>
    <row r="957" spans="1:32" ht="15.75" customHeight="1" x14ac:dyDescent="0.25">
      <c r="A957" s="4"/>
      <c r="B957" s="11"/>
      <c r="C957" s="4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4"/>
      <c r="AC957" s="4"/>
      <c r="AD957" s="4"/>
      <c r="AE957" s="4"/>
      <c r="AF957" s="4"/>
    </row>
    <row r="958" spans="1:32" ht="15.75" customHeight="1" x14ac:dyDescent="0.25">
      <c r="A958" s="4"/>
      <c r="B958" s="11"/>
      <c r="C958" s="4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4"/>
      <c r="AC958" s="4"/>
      <c r="AD958" s="4"/>
      <c r="AE958" s="4"/>
      <c r="AF958" s="4"/>
    </row>
    <row r="959" spans="1:32" ht="15.75" customHeight="1" x14ac:dyDescent="0.25">
      <c r="A959" s="4"/>
      <c r="B959" s="11"/>
      <c r="C959" s="4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4"/>
      <c r="AC959" s="4"/>
      <c r="AD959" s="4"/>
      <c r="AE959" s="4"/>
      <c r="AF959" s="4"/>
    </row>
    <row r="960" spans="1:32" ht="15.75" customHeight="1" x14ac:dyDescent="0.25">
      <c r="A960" s="4"/>
      <c r="B960" s="11"/>
      <c r="C960" s="4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4"/>
      <c r="AC960" s="4"/>
      <c r="AD960" s="4"/>
      <c r="AE960" s="4"/>
      <c r="AF960" s="4"/>
    </row>
    <row r="961" spans="1:32" ht="15.75" customHeight="1" x14ac:dyDescent="0.25">
      <c r="A961" s="4"/>
      <c r="B961" s="11"/>
      <c r="C961" s="4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4"/>
      <c r="AC961" s="4"/>
      <c r="AD961" s="4"/>
      <c r="AE961" s="4"/>
      <c r="AF961" s="4"/>
    </row>
    <row r="962" spans="1:32" ht="15.75" customHeight="1" x14ac:dyDescent="0.25">
      <c r="A962" s="4"/>
      <c r="B962" s="11"/>
      <c r="C962" s="4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4"/>
      <c r="AC962" s="4"/>
      <c r="AD962" s="4"/>
      <c r="AE962" s="4"/>
      <c r="AF962" s="4"/>
    </row>
    <row r="963" spans="1:32" ht="15.75" customHeight="1" x14ac:dyDescent="0.25">
      <c r="A963" s="4"/>
      <c r="B963" s="11"/>
      <c r="C963" s="4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4"/>
      <c r="AC963" s="4"/>
      <c r="AD963" s="4"/>
      <c r="AE963" s="4"/>
      <c r="AF963" s="4"/>
    </row>
    <row r="964" spans="1:32" ht="15.75" customHeight="1" x14ac:dyDescent="0.25">
      <c r="A964" s="4"/>
      <c r="B964" s="11"/>
      <c r="C964" s="4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4"/>
      <c r="AC964" s="4"/>
      <c r="AD964" s="4"/>
      <c r="AE964" s="4"/>
      <c r="AF964" s="4"/>
    </row>
    <row r="965" spans="1:32" ht="15.75" customHeight="1" x14ac:dyDescent="0.25">
      <c r="A965" s="4"/>
      <c r="B965" s="11"/>
      <c r="C965" s="4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4"/>
      <c r="AC965" s="4"/>
      <c r="AD965" s="4"/>
      <c r="AE965" s="4"/>
      <c r="AF965" s="4"/>
    </row>
    <row r="966" spans="1:32" ht="15.75" customHeight="1" x14ac:dyDescent="0.25">
      <c r="A966" s="4"/>
      <c r="B966" s="11"/>
      <c r="C966" s="4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4"/>
      <c r="AC966" s="4"/>
      <c r="AD966" s="4"/>
      <c r="AE966" s="4"/>
      <c r="AF966" s="4"/>
    </row>
    <row r="967" spans="1:32" ht="15.75" customHeight="1" x14ac:dyDescent="0.25">
      <c r="A967" s="4"/>
      <c r="B967" s="11"/>
      <c r="C967" s="4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4"/>
      <c r="AC967" s="4"/>
      <c r="AD967" s="4"/>
      <c r="AE967" s="4"/>
      <c r="AF967" s="4"/>
    </row>
    <row r="968" spans="1:32" ht="15.75" customHeight="1" x14ac:dyDescent="0.25">
      <c r="A968" s="4"/>
      <c r="B968" s="11"/>
      <c r="C968" s="4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4"/>
      <c r="AC968" s="4"/>
      <c r="AD968" s="4"/>
      <c r="AE968" s="4"/>
      <c r="AF968" s="4"/>
    </row>
    <row r="969" spans="1:32" ht="15.75" customHeight="1" x14ac:dyDescent="0.25">
      <c r="A969" s="4"/>
      <c r="B969" s="11"/>
      <c r="C969" s="4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4"/>
      <c r="AC969" s="4"/>
      <c r="AD969" s="4"/>
      <c r="AE969" s="4"/>
      <c r="AF969" s="4"/>
    </row>
    <row r="970" spans="1:32" ht="15.75" customHeight="1" x14ac:dyDescent="0.25">
      <c r="A970" s="4"/>
      <c r="B970" s="11"/>
      <c r="C970" s="4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4"/>
      <c r="AC970" s="4"/>
      <c r="AD970" s="4"/>
      <c r="AE970" s="4"/>
      <c r="AF970" s="4"/>
    </row>
    <row r="971" spans="1:32" ht="15.75" customHeight="1" x14ac:dyDescent="0.25">
      <c r="A971" s="4"/>
      <c r="B971" s="11"/>
      <c r="C971" s="4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4"/>
      <c r="AC971" s="4"/>
      <c r="AD971" s="4"/>
      <c r="AE971" s="4"/>
      <c r="AF971" s="4"/>
    </row>
    <row r="972" spans="1:32" ht="15.75" customHeight="1" x14ac:dyDescent="0.25">
      <c r="A972" s="4"/>
      <c r="B972" s="11"/>
      <c r="C972" s="4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4"/>
      <c r="AC972" s="4"/>
      <c r="AD972" s="4"/>
      <c r="AE972" s="4"/>
      <c r="AF972" s="4"/>
    </row>
    <row r="973" spans="1:32" ht="15.75" customHeight="1" x14ac:dyDescent="0.25">
      <c r="A973" s="4"/>
      <c r="B973" s="11"/>
      <c r="C973" s="4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4"/>
      <c r="AC973" s="4"/>
      <c r="AD973" s="4"/>
      <c r="AE973" s="4"/>
      <c r="AF973" s="4"/>
    </row>
  </sheetData>
  <autoFilter ref="A1:AA310" xr:uid="{00000000-0009-0000-0000-000001000000}"/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975"/>
  <sheetViews>
    <sheetView workbookViewId="0">
      <pane ySplit="1" topLeftCell="A396" activePane="bottomLeft" state="frozen"/>
      <selection pane="bottomLeft" activeCell="C413" sqref="C413"/>
    </sheetView>
  </sheetViews>
  <sheetFormatPr defaultColWidth="14.42578125" defaultRowHeight="15" customHeight="1" x14ac:dyDescent="0.25"/>
  <cols>
    <col min="1" max="1" width="76.85546875" customWidth="1"/>
    <col min="2" max="2" width="15.42578125" customWidth="1"/>
    <col min="3" max="3" width="61.5703125" customWidth="1"/>
    <col min="4" max="45" width="20.7109375" customWidth="1"/>
    <col min="46" max="46" width="28.42578125" customWidth="1"/>
    <col min="47" max="47" width="33.7109375" customWidth="1"/>
  </cols>
  <sheetData>
    <row r="1" spans="1:49" ht="22.5" customHeight="1" x14ac:dyDescent="0.3">
      <c r="A1" s="1" t="s">
        <v>0</v>
      </c>
      <c r="B1" s="1" t="s">
        <v>16</v>
      </c>
      <c r="C1" s="1" t="s">
        <v>1077</v>
      </c>
      <c r="D1" s="1" t="s">
        <v>1078</v>
      </c>
      <c r="E1" s="1" t="s">
        <v>17</v>
      </c>
      <c r="F1" s="23" t="s">
        <v>1151</v>
      </c>
      <c r="G1" s="23" t="s">
        <v>1152</v>
      </c>
      <c r="H1" s="23" t="s">
        <v>303</v>
      </c>
      <c r="I1" s="23" t="s">
        <v>304</v>
      </c>
      <c r="J1" s="23" t="s">
        <v>305</v>
      </c>
      <c r="K1" s="23" t="s">
        <v>685</v>
      </c>
      <c r="L1" s="23" t="s">
        <v>687</v>
      </c>
      <c r="M1" s="23" t="s">
        <v>1153</v>
      </c>
      <c r="N1" s="23" t="s">
        <v>688</v>
      </c>
      <c r="O1" s="23" t="s">
        <v>689</v>
      </c>
      <c r="P1" s="23" t="s">
        <v>686</v>
      </c>
      <c r="Q1" s="23" t="s">
        <v>684</v>
      </c>
      <c r="R1" s="23" t="s">
        <v>694</v>
      </c>
      <c r="S1" s="23" t="s">
        <v>692</v>
      </c>
      <c r="T1" s="23" t="s">
        <v>1154</v>
      </c>
      <c r="U1" s="23" t="s">
        <v>693</v>
      </c>
      <c r="V1" s="23" t="s">
        <v>690</v>
      </c>
      <c r="W1" s="23" t="s">
        <v>691</v>
      </c>
      <c r="X1" s="2" t="s">
        <v>1071</v>
      </c>
      <c r="Y1" s="3" t="s">
        <v>1072</v>
      </c>
      <c r="Z1" s="3" t="s">
        <v>1087</v>
      </c>
      <c r="AA1" s="23" t="s">
        <v>695</v>
      </c>
      <c r="AB1" s="23" t="s">
        <v>696</v>
      </c>
      <c r="AC1" s="23" t="s">
        <v>697</v>
      </c>
      <c r="AD1" s="23" t="s">
        <v>1155</v>
      </c>
      <c r="AE1" s="23" t="s">
        <v>698</v>
      </c>
      <c r="AF1" s="23" t="s">
        <v>699</v>
      </c>
      <c r="AG1" s="23" t="s">
        <v>700</v>
      </c>
      <c r="AH1" s="23" t="s">
        <v>701</v>
      </c>
      <c r="AI1" s="23" t="s">
        <v>702</v>
      </c>
      <c r="AJ1" s="23" t="s">
        <v>703</v>
      </c>
      <c r="AK1" s="23" t="s">
        <v>704</v>
      </c>
      <c r="AL1" s="23" t="s">
        <v>1156</v>
      </c>
      <c r="AM1" s="23" t="s">
        <v>705</v>
      </c>
      <c r="AN1" s="23" t="s">
        <v>1157</v>
      </c>
      <c r="AO1" s="23" t="s">
        <v>1158</v>
      </c>
      <c r="AP1" s="23" t="s">
        <v>706</v>
      </c>
      <c r="AQ1" s="23" t="s">
        <v>707</v>
      </c>
      <c r="AR1" s="23" t="s">
        <v>708</v>
      </c>
      <c r="AS1" s="2" t="s">
        <v>1071</v>
      </c>
      <c r="AT1" s="3" t="s">
        <v>1072</v>
      </c>
      <c r="AU1" s="3" t="s">
        <v>1073</v>
      </c>
      <c r="AV1" s="2" t="s">
        <v>18</v>
      </c>
      <c r="AW1" s="3" t="s">
        <v>19</v>
      </c>
    </row>
    <row r="2" spans="1:49" ht="15.75" x14ac:dyDescent="0.25">
      <c r="A2" s="5" t="s">
        <v>3</v>
      </c>
      <c r="B2" s="6" t="s">
        <v>1069</v>
      </c>
      <c r="C2" s="6" t="s">
        <v>1103</v>
      </c>
      <c r="D2" s="6" t="s">
        <v>1097</v>
      </c>
      <c r="E2" s="5" t="s">
        <v>306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0</v>
      </c>
      <c r="N2" s="7">
        <v>0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7">
        <v>16</v>
      </c>
      <c r="Y2" s="8">
        <v>0.88888888888888884</v>
      </c>
      <c r="Z2" s="14" t="s">
        <v>1120</v>
      </c>
      <c r="AA2" s="7">
        <v>1</v>
      </c>
      <c r="AB2" s="7">
        <v>0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7">
        <v>0</v>
      </c>
      <c r="AJ2" s="7">
        <v>1</v>
      </c>
      <c r="AK2" s="7">
        <v>1</v>
      </c>
      <c r="AL2" s="7">
        <v>1</v>
      </c>
      <c r="AM2" s="7">
        <v>0</v>
      </c>
      <c r="AN2" s="7">
        <v>0</v>
      </c>
      <c r="AO2" s="7">
        <v>1</v>
      </c>
      <c r="AP2" s="7">
        <v>0</v>
      </c>
      <c r="AQ2" s="7">
        <v>1</v>
      </c>
      <c r="AR2" s="7">
        <v>1</v>
      </c>
      <c r="AS2" s="7">
        <v>13</v>
      </c>
      <c r="AT2" s="8">
        <v>0.72222222222222232</v>
      </c>
      <c r="AU2" s="14" t="s">
        <v>1120</v>
      </c>
      <c r="AV2" s="7">
        <v>29</v>
      </c>
      <c r="AW2" s="8">
        <v>0.80555555555555558</v>
      </c>
    </row>
    <row r="3" spans="1:49" ht="15.75" x14ac:dyDescent="0.25">
      <c r="A3" s="5" t="s">
        <v>3</v>
      </c>
      <c r="B3" s="6" t="s">
        <v>1069</v>
      </c>
      <c r="C3" s="6" t="s">
        <v>1103</v>
      </c>
      <c r="D3" s="6" t="s">
        <v>1097</v>
      </c>
      <c r="E3" s="5" t="s">
        <v>307</v>
      </c>
      <c r="F3" s="7">
        <v>1</v>
      </c>
      <c r="G3" s="7">
        <v>0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18</v>
      </c>
      <c r="Y3" s="8">
        <v>1</v>
      </c>
      <c r="Z3" s="14" t="s">
        <v>1120</v>
      </c>
      <c r="AA3" s="7">
        <v>1</v>
      </c>
      <c r="AB3" s="7">
        <v>1</v>
      </c>
      <c r="AC3" s="7">
        <v>0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7">
        <v>1</v>
      </c>
      <c r="AL3" s="7">
        <v>1</v>
      </c>
      <c r="AM3" s="7">
        <v>0</v>
      </c>
      <c r="AN3" s="7">
        <v>1</v>
      </c>
      <c r="AO3" s="7">
        <v>1</v>
      </c>
      <c r="AP3" s="7">
        <v>1</v>
      </c>
      <c r="AQ3" s="7">
        <v>1</v>
      </c>
      <c r="AR3" s="7">
        <v>1</v>
      </c>
      <c r="AS3" s="7">
        <v>16</v>
      </c>
      <c r="AT3" s="8">
        <v>0.88888888888888884</v>
      </c>
      <c r="AU3" s="14" t="s">
        <v>1120</v>
      </c>
      <c r="AV3" s="7">
        <v>33</v>
      </c>
      <c r="AW3" s="8">
        <v>0.91666666666666674</v>
      </c>
    </row>
    <row r="4" spans="1:49" ht="15.75" x14ac:dyDescent="0.25">
      <c r="A4" s="5" t="s">
        <v>3</v>
      </c>
      <c r="B4" s="6" t="s">
        <v>1069</v>
      </c>
      <c r="C4" s="6" t="s">
        <v>1099</v>
      </c>
      <c r="D4" s="6" t="s">
        <v>1097</v>
      </c>
      <c r="E4" s="5" t="s">
        <v>308</v>
      </c>
      <c r="F4" s="7">
        <v>1</v>
      </c>
      <c r="G4" s="7">
        <v>1</v>
      </c>
      <c r="H4" s="7">
        <v>1</v>
      </c>
      <c r="I4" s="7">
        <v>0</v>
      </c>
      <c r="J4" s="7">
        <v>1</v>
      </c>
      <c r="K4" s="7">
        <v>1</v>
      </c>
      <c r="L4" s="7">
        <v>1</v>
      </c>
      <c r="M4" s="7">
        <v>1</v>
      </c>
      <c r="N4" s="7">
        <v>0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8</v>
      </c>
      <c r="Y4" s="8">
        <v>0.44444444444444442</v>
      </c>
      <c r="Z4" s="14" t="s">
        <v>1119</v>
      </c>
      <c r="AA4" s="7">
        <v>0</v>
      </c>
      <c r="AB4" s="7">
        <v>0</v>
      </c>
      <c r="AC4" s="7">
        <v>1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1</v>
      </c>
      <c r="AL4" s="7">
        <v>0</v>
      </c>
      <c r="AM4" s="7">
        <v>1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3</v>
      </c>
      <c r="AT4" s="8">
        <v>0.16666666666666669</v>
      </c>
      <c r="AU4" s="14" t="s">
        <v>1102</v>
      </c>
      <c r="AV4" s="7">
        <v>11</v>
      </c>
      <c r="AW4" s="8">
        <v>0.30555555555555558</v>
      </c>
    </row>
    <row r="5" spans="1:49" ht="15.75" x14ac:dyDescent="0.25">
      <c r="A5" s="5" t="s">
        <v>3</v>
      </c>
      <c r="B5" s="6" t="s">
        <v>1069</v>
      </c>
      <c r="C5" s="6" t="s">
        <v>1103</v>
      </c>
      <c r="D5" s="6" t="s">
        <v>1097</v>
      </c>
      <c r="E5" s="5" t="s">
        <v>309</v>
      </c>
      <c r="F5" s="7">
        <v>1</v>
      </c>
      <c r="G5" s="7">
        <v>1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1</v>
      </c>
      <c r="P5" s="7">
        <v>0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5</v>
      </c>
      <c r="Y5" s="8">
        <v>0.27777777777777779</v>
      </c>
      <c r="Z5" s="14" t="s">
        <v>1102</v>
      </c>
      <c r="AA5" s="7">
        <v>0</v>
      </c>
      <c r="AB5" s="7">
        <v>0</v>
      </c>
      <c r="AC5" s="7">
        <v>1</v>
      </c>
      <c r="AD5" s="7">
        <v>1</v>
      </c>
      <c r="AE5" s="7">
        <v>0</v>
      </c>
      <c r="AF5" s="7">
        <v>1</v>
      </c>
      <c r="AG5" s="7">
        <v>0</v>
      </c>
      <c r="AH5" s="7">
        <v>1</v>
      </c>
      <c r="AI5" s="7">
        <v>0</v>
      </c>
      <c r="AJ5" s="7">
        <v>1</v>
      </c>
      <c r="AK5" s="7">
        <v>1</v>
      </c>
      <c r="AL5" s="7">
        <v>0</v>
      </c>
      <c r="AM5" s="7">
        <v>0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11</v>
      </c>
      <c r="AT5" s="8">
        <v>0.61111111111111116</v>
      </c>
      <c r="AU5" s="14" t="s">
        <v>1119</v>
      </c>
      <c r="AV5" s="7">
        <v>16</v>
      </c>
      <c r="AW5" s="8">
        <v>0.44444444444444442</v>
      </c>
    </row>
    <row r="6" spans="1:49" ht="15.75" x14ac:dyDescent="0.25">
      <c r="A6" s="5" t="s">
        <v>3</v>
      </c>
      <c r="B6" s="6" t="s">
        <v>1069</v>
      </c>
      <c r="C6" s="6" t="s">
        <v>1103</v>
      </c>
      <c r="D6" s="6" t="s">
        <v>1097</v>
      </c>
      <c r="E6" s="5" t="s">
        <v>310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0</v>
      </c>
      <c r="N6" s="7">
        <v>1</v>
      </c>
      <c r="O6" s="7">
        <v>1</v>
      </c>
      <c r="P6" s="7">
        <v>1</v>
      </c>
      <c r="Q6" s="7">
        <v>0</v>
      </c>
      <c r="R6" s="7">
        <v>1</v>
      </c>
      <c r="S6" s="7">
        <v>1</v>
      </c>
      <c r="T6" s="7">
        <v>0</v>
      </c>
      <c r="U6" s="7">
        <v>1</v>
      </c>
      <c r="V6" s="7">
        <v>1</v>
      </c>
      <c r="W6" s="7">
        <v>1</v>
      </c>
      <c r="X6" s="7">
        <v>15</v>
      </c>
      <c r="Y6" s="8">
        <v>0.83333333333333326</v>
      </c>
      <c r="Z6" s="14" t="s">
        <v>1120</v>
      </c>
      <c r="AA6" s="7">
        <v>1</v>
      </c>
      <c r="AB6" s="7">
        <v>1</v>
      </c>
      <c r="AC6" s="7">
        <v>1</v>
      </c>
      <c r="AD6" s="7">
        <v>0</v>
      </c>
      <c r="AE6" s="7">
        <v>0</v>
      </c>
      <c r="AF6" s="7">
        <v>1</v>
      </c>
      <c r="AG6" s="7">
        <v>0</v>
      </c>
      <c r="AH6" s="7">
        <v>1</v>
      </c>
      <c r="AI6" s="7">
        <v>0</v>
      </c>
      <c r="AJ6" s="7">
        <v>1</v>
      </c>
      <c r="AK6" s="7">
        <v>0</v>
      </c>
      <c r="AL6" s="7">
        <v>0</v>
      </c>
      <c r="AM6" s="7">
        <v>1</v>
      </c>
      <c r="AN6" s="7">
        <v>0</v>
      </c>
      <c r="AO6" s="7">
        <v>1</v>
      </c>
      <c r="AP6" s="7">
        <v>0</v>
      </c>
      <c r="AQ6" s="7">
        <v>1</v>
      </c>
      <c r="AR6" s="7">
        <v>1</v>
      </c>
      <c r="AS6" s="7">
        <v>10</v>
      </c>
      <c r="AT6" s="8">
        <v>0.55555555555555558</v>
      </c>
      <c r="AU6" s="14" t="s">
        <v>1119</v>
      </c>
      <c r="AV6" s="7">
        <v>25</v>
      </c>
      <c r="AW6" s="8">
        <v>0.69444444444444442</v>
      </c>
    </row>
    <row r="7" spans="1:49" ht="15.75" x14ac:dyDescent="0.25">
      <c r="A7" s="5" t="s">
        <v>3</v>
      </c>
      <c r="B7" s="6" t="s">
        <v>1069</v>
      </c>
      <c r="C7" s="6" t="s">
        <v>1103</v>
      </c>
      <c r="D7" s="6" t="s">
        <v>1097</v>
      </c>
      <c r="E7" s="5" t="s">
        <v>311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0</v>
      </c>
      <c r="M7" s="7">
        <v>0</v>
      </c>
      <c r="N7" s="7">
        <v>0</v>
      </c>
      <c r="O7" s="7">
        <v>1</v>
      </c>
      <c r="P7" s="7">
        <v>1</v>
      </c>
      <c r="Q7" s="7">
        <v>1</v>
      </c>
      <c r="R7" s="7">
        <v>0</v>
      </c>
      <c r="S7" s="7">
        <v>1</v>
      </c>
      <c r="T7" s="7">
        <v>1</v>
      </c>
      <c r="U7" s="7">
        <v>1</v>
      </c>
      <c r="V7" s="7">
        <v>0</v>
      </c>
      <c r="W7" s="7">
        <v>1</v>
      </c>
      <c r="X7" s="7">
        <v>13</v>
      </c>
      <c r="Y7" s="8">
        <v>0.72222222222222232</v>
      </c>
      <c r="Z7" s="14" t="s">
        <v>1120</v>
      </c>
      <c r="AA7" s="7">
        <v>1</v>
      </c>
      <c r="AB7" s="7">
        <v>1</v>
      </c>
      <c r="AC7" s="7">
        <v>1</v>
      </c>
      <c r="AD7" s="7">
        <v>0</v>
      </c>
      <c r="AE7" s="7">
        <v>0</v>
      </c>
      <c r="AF7" s="7">
        <v>0</v>
      </c>
      <c r="AG7" s="7">
        <v>1</v>
      </c>
      <c r="AH7" s="7">
        <v>1</v>
      </c>
      <c r="AI7" s="7">
        <v>0</v>
      </c>
      <c r="AJ7" s="7">
        <v>1</v>
      </c>
      <c r="AK7" s="7">
        <v>1</v>
      </c>
      <c r="AL7" s="7">
        <v>0</v>
      </c>
      <c r="AM7" s="7">
        <v>0</v>
      </c>
      <c r="AN7" s="7">
        <v>1</v>
      </c>
      <c r="AO7" s="7">
        <v>1</v>
      </c>
      <c r="AP7" s="7">
        <v>0</v>
      </c>
      <c r="AQ7" s="7">
        <v>1</v>
      </c>
      <c r="AR7" s="7">
        <v>0</v>
      </c>
      <c r="AS7" s="7">
        <v>10</v>
      </c>
      <c r="AT7" s="8">
        <v>0.55555555555555558</v>
      </c>
      <c r="AU7" s="14" t="s">
        <v>1119</v>
      </c>
      <c r="AV7" s="7">
        <v>23</v>
      </c>
      <c r="AW7" s="8">
        <v>0.63888888888888884</v>
      </c>
    </row>
    <row r="8" spans="1:49" ht="15.75" x14ac:dyDescent="0.25">
      <c r="A8" s="5" t="s">
        <v>3</v>
      </c>
      <c r="B8" s="6" t="s">
        <v>1069</v>
      </c>
      <c r="C8" s="6" t="s">
        <v>1104</v>
      </c>
      <c r="D8" s="6" t="s">
        <v>1097</v>
      </c>
      <c r="E8" s="5" t="s">
        <v>312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1</v>
      </c>
      <c r="L8" s="7">
        <v>1</v>
      </c>
      <c r="M8" s="7">
        <v>1</v>
      </c>
      <c r="N8" s="7">
        <v>0</v>
      </c>
      <c r="O8" s="7">
        <v>0</v>
      </c>
      <c r="P8" s="7">
        <v>1</v>
      </c>
      <c r="Q8" s="7">
        <v>1</v>
      </c>
      <c r="R8" s="7">
        <v>0</v>
      </c>
      <c r="S8" s="7">
        <v>1</v>
      </c>
      <c r="T8" s="7">
        <v>0</v>
      </c>
      <c r="U8" s="7">
        <v>0</v>
      </c>
      <c r="V8" s="7">
        <v>0</v>
      </c>
      <c r="W8" s="7">
        <v>1</v>
      </c>
      <c r="X8" s="7">
        <v>9</v>
      </c>
      <c r="Y8" s="8">
        <v>0.5</v>
      </c>
      <c r="Z8" s="14" t="s">
        <v>1119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0</v>
      </c>
      <c r="AG8" s="7">
        <v>0</v>
      </c>
      <c r="AH8" s="7">
        <v>1</v>
      </c>
      <c r="AI8" s="7">
        <v>0</v>
      </c>
      <c r="AJ8" s="7">
        <v>1</v>
      </c>
      <c r="AK8" s="7">
        <v>0</v>
      </c>
      <c r="AL8" s="7">
        <v>0</v>
      </c>
      <c r="AM8" s="7">
        <v>0</v>
      </c>
      <c r="AN8" s="7">
        <v>0</v>
      </c>
      <c r="AO8" s="7">
        <v>1</v>
      </c>
      <c r="AP8" s="7">
        <v>0</v>
      </c>
      <c r="AQ8" s="7">
        <v>1</v>
      </c>
      <c r="AR8" s="7">
        <v>1</v>
      </c>
      <c r="AS8" s="7">
        <v>10</v>
      </c>
      <c r="AT8" s="8">
        <v>0.55555555555555558</v>
      </c>
      <c r="AU8" s="14" t="s">
        <v>1119</v>
      </c>
      <c r="AV8" s="7">
        <v>19</v>
      </c>
      <c r="AW8" s="8">
        <v>0.52777777777777779</v>
      </c>
    </row>
    <row r="9" spans="1:49" ht="15.75" x14ac:dyDescent="0.25">
      <c r="A9" s="5" t="s">
        <v>3</v>
      </c>
      <c r="B9" s="6" t="s">
        <v>1069</v>
      </c>
      <c r="C9" s="6" t="s">
        <v>1096</v>
      </c>
      <c r="D9" s="6" t="s">
        <v>1097</v>
      </c>
      <c r="E9" s="5" t="s">
        <v>313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0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17</v>
      </c>
      <c r="Y9" s="8">
        <v>0.94444444444444442</v>
      </c>
      <c r="Z9" s="14" t="s">
        <v>1120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0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0</v>
      </c>
      <c r="AM9" s="7">
        <v>1</v>
      </c>
      <c r="AN9" s="7">
        <v>0</v>
      </c>
      <c r="AO9" s="7">
        <v>1</v>
      </c>
      <c r="AP9" s="7">
        <v>1</v>
      </c>
      <c r="AQ9" s="7">
        <v>1</v>
      </c>
      <c r="AR9" s="7">
        <v>1</v>
      </c>
      <c r="AS9" s="7">
        <v>15</v>
      </c>
      <c r="AT9" s="8">
        <v>0.83333333333333326</v>
      </c>
      <c r="AU9" s="14" t="s">
        <v>1120</v>
      </c>
      <c r="AV9" s="7">
        <v>32</v>
      </c>
      <c r="AW9" s="8">
        <v>0.88888888888888884</v>
      </c>
    </row>
    <row r="10" spans="1:49" ht="15.75" x14ac:dyDescent="0.25">
      <c r="A10" s="5" t="s">
        <v>3</v>
      </c>
      <c r="B10" s="6" t="s">
        <v>1069</v>
      </c>
      <c r="C10" s="6" t="s">
        <v>1103</v>
      </c>
      <c r="D10" s="6" t="s">
        <v>1097</v>
      </c>
      <c r="E10" s="5" t="s">
        <v>314</v>
      </c>
      <c r="F10" s="7">
        <v>1</v>
      </c>
      <c r="G10" s="7">
        <v>0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0</v>
      </c>
      <c r="O10" s="7">
        <v>1</v>
      </c>
      <c r="P10" s="7">
        <v>1</v>
      </c>
      <c r="Q10" s="7">
        <v>1</v>
      </c>
      <c r="R10" s="7">
        <v>0</v>
      </c>
      <c r="S10" s="7">
        <v>1</v>
      </c>
      <c r="T10" s="7">
        <v>0</v>
      </c>
      <c r="U10" s="7">
        <v>0</v>
      </c>
      <c r="V10" s="7">
        <v>0</v>
      </c>
      <c r="W10" s="7">
        <v>1</v>
      </c>
      <c r="X10" s="7">
        <v>12</v>
      </c>
      <c r="Y10" s="8">
        <v>0.66666666666666674</v>
      </c>
      <c r="Z10" s="14" t="s">
        <v>1119</v>
      </c>
      <c r="AA10" s="7">
        <v>1</v>
      </c>
      <c r="AB10" s="7">
        <v>1</v>
      </c>
      <c r="AC10" s="7">
        <v>0</v>
      </c>
      <c r="AD10" s="7">
        <v>1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1</v>
      </c>
      <c r="AK10" s="7">
        <v>0</v>
      </c>
      <c r="AL10" s="7">
        <v>0</v>
      </c>
      <c r="AM10" s="7">
        <v>0</v>
      </c>
      <c r="AN10" s="7">
        <v>1</v>
      </c>
      <c r="AO10" s="7">
        <v>0</v>
      </c>
      <c r="AP10" s="7">
        <v>1</v>
      </c>
      <c r="AQ10" s="7">
        <v>1</v>
      </c>
      <c r="AR10" s="7">
        <v>1</v>
      </c>
      <c r="AS10" s="7">
        <v>9</v>
      </c>
      <c r="AT10" s="8">
        <v>0.5</v>
      </c>
      <c r="AU10" s="14" t="s">
        <v>1119</v>
      </c>
      <c r="AV10" s="7">
        <v>21</v>
      </c>
      <c r="AW10" s="8">
        <v>0.58333333333333337</v>
      </c>
    </row>
    <row r="11" spans="1:49" ht="15.75" x14ac:dyDescent="0.25">
      <c r="A11" s="5" t="s">
        <v>4</v>
      </c>
      <c r="B11" s="6" t="s">
        <v>1069</v>
      </c>
      <c r="C11" s="6" t="s">
        <v>1103</v>
      </c>
      <c r="D11" s="6" t="s">
        <v>1097</v>
      </c>
      <c r="E11" s="5" t="s">
        <v>315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18</v>
      </c>
      <c r="Y11" s="8">
        <v>1</v>
      </c>
      <c r="Z11" s="14" t="s">
        <v>1120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0</v>
      </c>
      <c r="AG11" s="7">
        <v>1</v>
      </c>
      <c r="AH11" s="7">
        <v>1</v>
      </c>
      <c r="AI11" s="7">
        <v>1</v>
      </c>
      <c r="AJ11" s="7">
        <v>1</v>
      </c>
      <c r="AK11" s="7">
        <v>0</v>
      </c>
      <c r="AL11" s="7">
        <v>0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15</v>
      </c>
      <c r="AT11" s="8">
        <v>0.83333333333333326</v>
      </c>
      <c r="AU11" s="14" t="s">
        <v>1120</v>
      </c>
      <c r="AV11" s="7">
        <v>33</v>
      </c>
      <c r="AW11" s="8">
        <v>0.91666666666666674</v>
      </c>
    </row>
    <row r="12" spans="1:49" ht="15.75" x14ac:dyDescent="0.25">
      <c r="A12" s="5" t="s">
        <v>4</v>
      </c>
      <c r="B12" s="6" t="s">
        <v>1069</v>
      </c>
      <c r="C12" s="6" t="s">
        <v>1103</v>
      </c>
      <c r="D12" s="6" t="s">
        <v>1097</v>
      </c>
      <c r="E12" s="5" t="s">
        <v>316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0</v>
      </c>
      <c r="M12" s="7">
        <v>0</v>
      </c>
      <c r="N12" s="7">
        <v>1</v>
      </c>
      <c r="O12" s="7">
        <v>1</v>
      </c>
      <c r="P12" s="7">
        <v>1</v>
      </c>
      <c r="Q12" s="7">
        <v>1</v>
      </c>
      <c r="R12" s="7">
        <v>0</v>
      </c>
      <c r="S12" s="7">
        <v>0</v>
      </c>
      <c r="T12" s="7">
        <v>0</v>
      </c>
      <c r="U12" s="7">
        <v>1</v>
      </c>
      <c r="V12" s="7">
        <v>1</v>
      </c>
      <c r="W12" s="7">
        <v>1</v>
      </c>
      <c r="X12" s="7">
        <v>13</v>
      </c>
      <c r="Y12" s="8">
        <v>0.72222222222222232</v>
      </c>
      <c r="Z12" s="14" t="s">
        <v>1120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0</v>
      </c>
      <c r="AG12" s="7">
        <v>1</v>
      </c>
      <c r="AH12" s="7">
        <v>1</v>
      </c>
      <c r="AI12" s="7">
        <v>0</v>
      </c>
      <c r="AJ12" s="7">
        <v>1</v>
      </c>
      <c r="AK12" s="7">
        <v>1</v>
      </c>
      <c r="AL12" s="7">
        <v>1</v>
      </c>
      <c r="AM12" s="7">
        <v>0</v>
      </c>
      <c r="AN12" s="7">
        <v>1</v>
      </c>
      <c r="AO12" s="7">
        <v>1</v>
      </c>
      <c r="AP12" s="7">
        <v>0</v>
      </c>
      <c r="AQ12" s="7">
        <v>1</v>
      </c>
      <c r="AR12" s="7">
        <v>1</v>
      </c>
      <c r="AS12" s="7">
        <v>14</v>
      </c>
      <c r="AT12" s="8">
        <v>0.77777777777777768</v>
      </c>
      <c r="AU12" s="14" t="s">
        <v>1120</v>
      </c>
      <c r="AV12" s="7">
        <v>27</v>
      </c>
      <c r="AW12" s="8">
        <v>0.75</v>
      </c>
    </row>
    <row r="13" spans="1:49" ht="15.75" x14ac:dyDescent="0.25">
      <c r="A13" s="5" t="s">
        <v>4</v>
      </c>
      <c r="B13" s="6" t="s">
        <v>1069</v>
      </c>
      <c r="C13" s="6" t="s">
        <v>1103</v>
      </c>
      <c r="D13" s="6" t="s">
        <v>1097</v>
      </c>
      <c r="E13" s="5" t="s">
        <v>317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0</v>
      </c>
      <c r="O13" s="7">
        <v>1</v>
      </c>
      <c r="P13" s="7">
        <v>0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0</v>
      </c>
      <c r="X13" s="7">
        <v>15</v>
      </c>
      <c r="Y13" s="8">
        <v>0.83333333333333326</v>
      </c>
      <c r="Z13" s="14" t="s">
        <v>1120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0</v>
      </c>
      <c r="AH13" s="7">
        <v>1</v>
      </c>
      <c r="AI13" s="7">
        <v>0</v>
      </c>
      <c r="AJ13" s="7">
        <v>1</v>
      </c>
      <c r="AK13" s="7">
        <v>1</v>
      </c>
      <c r="AL13" s="7">
        <v>0</v>
      </c>
      <c r="AM13" s="7">
        <v>0</v>
      </c>
      <c r="AN13" s="7">
        <v>1</v>
      </c>
      <c r="AO13" s="7">
        <v>0</v>
      </c>
      <c r="AP13" s="7">
        <v>1</v>
      </c>
      <c r="AQ13" s="7">
        <v>1</v>
      </c>
      <c r="AR13" s="7">
        <v>1</v>
      </c>
      <c r="AS13" s="7">
        <v>13</v>
      </c>
      <c r="AT13" s="8">
        <v>0.72222222222222232</v>
      </c>
      <c r="AU13" s="14" t="s">
        <v>1120</v>
      </c>
      <c r="AV13" s="7">
        <v>28</v>
      </c>
      <c r="AW13" s="8">
        <v>0.77777777777777768</v>
      </c>
    </row>
    <row r="14" spans="1:49" ht="15.75" x14ac:dyDescent="0.25">
      <c r="A14" s="5" t="s">
        <v>4</v>
      </c>
      <c r="B14" s="6" t="s">
        <v>1069</v>
      </c>
      <c r="C14" s="6" t="s">
        <v>1103</v>
      </c>
      <c r="D14" s="6" t="s">
        <v>1097</v>
      </c>
      <c r="E14" s="5" t="s">
        <v>318</v>
      </c>
      <c r="F14" s="7">
        <v>0</v>
      </c>
      <c r="G14" s="7">
        <v>1</v>
      </c>
      <c r="H14" s="7">
        <v>0</v>
      </c>
      <c r="I14" s="7">
        <v>1</v>
      </c>
      <c r="J14" s="7">
        <v>1</v>
      </c>
      <c r="K14" s="7">
        <v>1</v>
      </c>
      <c r="L14" s="7">
        <v>0</v>
      </c>
      <c r="M14" s="7">
        <v>1</v>
      </c>
      <c r="N14" s="7">
        <v>0</v>
      </c>
      <c r="O14" s="7">
        <v>0</v>
      </c>
      <c r="P14" s="7">
        <v>1</v>
      </c>
      <c r="Q14" s="7">
        <v>0</v>
      </c>
      <c r="R14" s="7">
        <v>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7</v>
      </c>
      <c r="Y14" s="8">
        <v>0.38888888888888884</v>
      </c>
      <c r="Z14" s="14" t="s">
        <v>1102</v>
      </c>
      <c r="AA14" s="7">
        <v>1</v>
      </c>
      <c r="AB14" s="7">
        <v>1</v>
      </c>
      <c r="AC14" s="7">
        <v>0</v>
      </c>
      <c r="AD14" s="7">
        <v>0</v>
      </c>
      <c r="AE14" s="7">
        <v>0</v>
      </c>
      <c r="AF14" s="7">
        <v>1</v>
      </c>
      <c r="AG14" s="7">
        <v>0</v>
      </c>
      <c r="AH14" s="7">
        <v>0</v>
      </c>
      <c r="AI14" s="7">
        <v>0</v>
      </c>
      <c r="AJ14" s="7">
        <v>1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1</v>
      </c>
      <c r="AR14" s="7">
        <v>1</v>
      </c>
      <c r="AS14" s="7">
        <v>6</v>
      </c>
      <c r="AT14" s="8">
        <v>0.33333333333333337</v>
      </c>
      <c r="AU14" s="14" t="s">
        <v>1102</v>
      </c>
      <c r="AV14" s="7">
        <v>13</v>
      </c>
      <c r="AW14" s="8">
        <v>0.36111111111111116</v>
      </c>
    </row>
    <row r="15" spans="1:49" ht="15.75" x14ac:dyDescent="0.25">
      <c r="A15" s="5" t="s">
        <v>4</v>
      </c>
      <c r="B15" s="6" t="s">
        <v>1069</v>
      </c>
      <c r="C15" s="6" t="s">
        <v>1103</v>
      </c>
      <c r="D15" s="6" t="s">
        <v>1097</v>
      </c>
      <c r="E15" s="5" t="s">
        <v>319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0</v>
      </c>
      <c r="M15" s="7">
        <v>0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0</v>
      </c>
      <c r="T15" s="7">
        <v>0</v>
      </c>
      <c r="U15" s="7">
        <v>1</v>
      </c>
      <c r="V15" s="7">
        <v>0</v>
      </c>
      <c r="W15" s="7">
        <v>1</v>
      </c>
      <c r="X15" s="7">
        <v>13</v>
      </c>
      <c r="Y15" s="8">
        <v>0.72222222222222232</v>
      </c>
      <c r="Z15" s="14" t="s">
        <v>1120</v>
      </c>
      <c r="AA15" s="7">
        <v>0</v>
      </c>
      <c r="AB15" s="7">
        <v>1</v>
      </c>
      <c r="AC15" s="7">
        <v>1</v>
      </c>
      <c r="AD15" s="7">
        <v>1</v>
      </c>
      <c r="AE15" s="7">
        <v>1</v>
      </c>
      <c r="AF15" s="7">
        <v>0</v>
      </c>
      <c r="AG15" s="7">
        <v>0</v>
      </c>
      <c r="AH15" s="7">
        <v>0</v>
      </c>
      <c r="AI15" s="7">
        <v>0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0</v>
      </c>
      <c r="AQ15" s="7">
        <v>1</v>
      </c>
      <c r="AR15" s="7">
        <v>1</v>
      </c>
      <c r="AS15" s="7">
        <v>12</v>
      </c>
      <c r="AT15" s="8">
        <v>0.66666666666666674</v>
      </c>
      <c r="AU15" s="14" t="s">
        <v>1119</v>
      </c>
      <c r="AV15" s="7">
        <v>25</v>
      </c>
      <c r="AW15" s="8">
        <v>0.69444444444444442</v>
      </c>
    </row>
    <row r="16" spans="1:49" ht="15.75" x14ac:dyDescent="0.25">
      <c r="A16" s="5" t="s">
        <v>4</v>
      </c>
      <c r="B16" s="6" t="s">
        <v>1069</v>
      </c>
      <c r="C16" s="6" t="s">
        <v>1104</v>
      </c>
      <c r="D16" s="6" t="s">
        <v>1097</v>
      </c>
      <c r="E16" s="5" t="s">
        <v>320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1</v>
      </c>
      <c r="L16" s="7">
        <v>1</v>
      </c>
      <c r="M16" s="7">
        <v>1</v>
      </c>
      <c r="N16" s="7">
        <v>0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4</v>
      </c>
      <c r="Y16" s="8">
        <v>0.22222222222222221</v>
      </c>
      <c r="Z16" s="14" t="s">
        <v>1102</v>
      </c>
      <c r="AA16" s="7">
        <v>0</v>
      </c>
      <c r="AB16" s="7">
        <v>1</v>
      </c>
      <c r="AC16" s="7">
        <v>0</v>
      </c>
      <c r="AD16" s="7">
        <v>1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1</v>
      </c>
      <c r="AM16" s="7">
        <v>1</v>
      </c>
      <c r="AN16" s="7">
        <v>0</v>
      </c>
      <c r="AO16" s="7">
        <v>0</v>
      </c>
      <c r="AP16" s="7">
        <v>1</v>
      </c>
      <c r="AQ16" s="7">
        <v>1</v>
      </c>
      <c r="AR16" s="7">
        <v>0</v>
      </c>
      <c r="AS16" s="7">
        <v>6</v>
      </c>
      <c r="AT16" s="8">
        <v>0.33333333333333337</v>
      </c>
      <c r="AU16" s="14" t="s">
        <v>1102</v>
      </c>
      <c r="AV16" s="7">
        <v>10</v>
      </c>
      <c r="AW16" s="8">
        <v>0.27777777777777779</v>
      </c>
    </row>
    <row r="17" spans="1:49" ht="15.75" x14ac:dyDescent="0.25">
      <c r="A17" s="5" t="s">
        <v>4</v>
      </c>
      <c r="B17" s="6" t="s">
        <v>1069</v>
      </c>
      <c r="C17" s="6" t="s">
        <v>1103</v>
      </c>
      <c r="D17" s="6" t="s">
        <v>1097</v>
      </c>
      <c r="E17" s="5" t="s">
        <v>321</v>
      </c>
      <c r="F17" s="7">
        <v>1</v>
      </c>
      <c r="G17" s="7">
        <v>1</v>
      </c>
      <c r="H17" s="7">
        <v>0</v>
      </c>
      <c r="I17" s="7">
        <v>1</v>
      </c>
      <c r="J17" s="7">
        <v>0</v>
      </c>
      <c r="K17" s="7">
        <v>1</v>
      </c>
      <c r="L17" s="7">
        <v>0</v>
      </c>
      <c r="M17" s="7">
        <v>0</v>
      </c>
      <c r="N17" s="7">
        <v>1</v>
      </c>
      <c r="O17" s="7">
        <v>0</v>
      </c>
      <c r="P17" s="7">
        <v>1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6</v>
      </c>
      <c r="Y17" s="8">
        <v>0.33333333333333337</v>
      </c>
      <c r="Z17" s="14" t="s">
        <v>1102</v>
      </c>
      <c r="AA17" s="7">
        <v>1</v>
      </c>
      <c r="AB17" s="7">
        <v>1</v>
      </c>
      <c r="AC17" s="7">
        <v>0</v>
      </c>
      <c r="AD17" s="7">
        <v>0</v>
      </c>
      <c r="AE17" s="7">
        <v>0</v>
      </c>
      <c r="AF17" s="7">
        <v>0</v>
      </c>
      <c r="AG17" s="7">
        <v>1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</v>
      </c>
      <c r="AR17" s="7">
        <v>1</v>
      </c>
      <c r="AS17" s="7">
        <v>5</v>
      </c>
      <c r="AT17" s="8">
        <v>0.27777777777777779</v>
      </c>
      <c r="AU17" s="14" t="s">
        <v>1102</v>
      </c>
      <c r="AV17" s="7">
        <v>11</v>
      </c>
      <c r="AW17" s="8">
        <v>0.30555555555555558</v>
      </c>
    </row>
    <row r="18" spans="1:49" ht="15.75" x14ac:dyDescent="0.25">
      <c r="A18" s="5" t="s">
        <v>4</v>
      </c>
      <c r="B18" s="6" t="s">
        <v>1069</v>
      </c>
      <c r="C18" s="6" t="s">
        <v>1103</v>
      </c>
      <c r="D18" s="6" t="s">
        <v>1097</v>
      </c>
      <c r="E18" s="5" t="s">
        <v>322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0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0</v>
      </c>
      <c r="W18" s="7">
        <v>1</v>
      </c>
      <c r="X18" s="7">
        <v>16</v>
      </c>
      <c r="Y18" s="8">
        <v>0.88888888888888884</v>
      </c>
      <c r="Z18" s="14" t="s">
        <v>1120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0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0</v>
      </c>
      <c r="AM18" s="7">
        <v>0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15</v>
      </c>
      <c r="AT18" s="8">
        <v>0.83333333333333326</v>
      </c>
      <c r="AU18" s="14" t="s">
        <v>1120</v>
      </c>
      <c r="AV18" s="7">
        <v>31</v>
      </c>
      <c r="AW18" s="8">
        <v>0.86111111111111116</v>
      </c>
    </row>
    <row r="19" spans="1:49" ht="15.75" x14ac:dyDescent="0.25">
      <c r="A19" s="5" t="s">
        <v>4</v>
      </c>
      <c r="B19" s="6" t="s">
        <v>1069</v>
      </c>
      <c r="C19" s="6" t="s">
        <v>1103</v>
      </c>
      <c r="D19" s="6" t="s">
        <v>1097</v>
      </c>
      <c r="E19" s="5" t="s">
        <v>323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0</v>
      </c>
      <c r="T19" s="7">
        <v>1</v>
      </c>
      <c r="U19" s="7">
        <v>1</v>
      </c>
      <c r="V19" s="7">
        <v>1</v>
      </c>
      <c r="W19" s="7">
        <v>1</v>
      </c>
      <c r="X19" s="7">
        <v>17</v>
      </c>
      <c r="Y19" s="8">
        <v>0.94444444444444442</v>
      </c>
      <c r="Z19" s="14" t="s">
        <v>1120</v>
      </c>
      <c r="AA19" s="7">
        <v>0</v>
      </c>
      <c r="AB19" s="7">
        <v>1</v>
      </c>
      <c r="AC19" s="7">
        <v>1</v>
      </c>
      <c r="AD19" s="7">
        <v>1</v>
      </c>
      <c r="AE19" s="7">
        <v>0</v>
      </c>
      <c r="AF19" s="7">
        <v>0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0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14</v>
      </c>
      <c r="AT19" s="8">
        <v>0.77777777777777768</v>
      </c>
      <c r="AU19" s="14" t="s">
        <v>1120</v>
      </c>
      <c r="AV19" s="7">
        <v>31</v>
      </c>
      <c r="AW19" s="8">
        <v>0.86111111111111116</v>
      </c>
    </row>
    <row r="20" spans="1:49" ht="15.75" x14ac:dyDescent="0.25">
      <c r="A20" s="5" t="s">
        <v>4</v>
      </c>
      <c r="B20" s="6" t="s">
        <v>1069</v>
      </c>
      <c r="C20" s="6" t="s">
        <v>1103</v>
      </c>
      <c r="D20" s="6" t="s">
        <v>1097</v>
      </c>
      <c r="E20" s="5" t="s">
        <v>324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18</v>
      </c>
      <c r="Y20" s="8">
        <v>1</v>
      </c>
      <c r="Z20" s="14" t="s">
        <v>1120</v>
      </c>
      <c r="AA20" s="7">
        <v>1</v>
      </c>
      <c r="AB20" s="7">
        <v>1</v>
      </c>
      <c r="AC20" s="7">
        <v>1</v>
      </c>
      <c r="AD20" s="7">
        <v>1</v>
      </c>
      <c r="AE20" s="7">
        <v>0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0</v>
      </c>
      <c r="AN20" s="7">
        <v>0</v>
      </c>
      <c r="AO20" s="7">
        <v>0</v>
      </c>
      <c r="AP20" s="7">
        <v>1</v>
      </c>
      <c r="AQ20" s="7">
        <v>1</v>
      </c>
      <c r="AR20" s="7">
        <v>1</v>
      </c>
      <c r="AS20" s="7">
        <v>14</v>
      </c>
      <c r="AT20" s="8">
        <v>0.77777777777777768</v>
      </c>
      <c r="AU20" s="14" t="s">
        <v>1120</v>
      </c>
      <c r="AV20" s="7">
        <v>32</v>
      </c>
      <c r="AW20" s="8">
        <v>0.88888888888888884</v>
      </c>
    </row>
    <row r="21" spans="1:49" ht="15.75" customHeight="1" x14ac:dyDescent="0.25">
      <c r="A21" s="5" t="s">
        <v>4</v>
      </c>
      <c r="B21" s="6" t="s">
        <v>1069</v>
      </c>
      <c r="C21" s="6" t="s">
        <v>1105</v>
      </c>
      <c r="D21" s="6" t="s">
        <v>1097</v>
      </c>
      <c r="E21" s="5" t="s">
        <v>325</v>
      </c>
      <c r="F21" s="7">
        <v>0</v>
      </c>
      <c r="G21" s="7">
        <v>1</v>
      </c>
      <c r="H21" s="7">
        <v>1</v>
      </c>
      <c r="I21" s="7">
        <v>0</v>
      </c>
      <c r="J21" s="7">
        <v>0</v>
      </c>
      <c r="K21" s="7">
        <v>1</v>
      </c>
      <c r="L21" s="7">
        <v>1</v>
      </c>
      <c r="M21" s="7">
        <v>0</v>
      </c>
      <c r="N21" s="7">
        <v>0</v>
      </c>
      <c r="O21" s="7">
        <v>1</v>
      </c>
      <c r="P21" s="7">
        <v>1</v>
      </c>
      <c r="Q21" s="7">
        <v>0</v>
      </c>
      <c r="R21" s="7">
        <v>0</v>
      </c>
      <c r="S21" s="7">
        <v>0</v>
      </c>
      <c r="T21" s="7">
        <v>0</v>
      </c>
      <c r="U21" s="7">
        <v>1</v>
      </c>
      <c r="V21" s="7">
        <v>0</v>
      </c>
      <c r="W21" s="7">
        <v>0</v>
      </c>
      <c r="X21" s="7">
        <v>7</v>
      </c>
      <c r="Y21" s="8">
        <v>0.38888888888888884</v>
      </c>
      <c r="Z21" s="14" t="s">
        <v>1102</v>
      </c>
      <c r="AA21" s="7">
        <v>0</v>
      </c>
      <c r="AB21" s="7">
        <v>0</v>
      </c>
      <c r="AC21" s="7">
        <v>1</v>
      </c>
      <c r="AD21" s="7">
        <v>1</v>
      </c>
      <c r="AE21" s="7">
        <v>0</v>
      </c>
      <c r="AF21" s="7">
        <v>0</v>
      </c>
      <c r="AG21" s="7">
        <v>0</v>
      </c>
      <c r="AH21" s="7">
        <v>0</v>
      </c>
      <c r="AI21" s="7">
        <v>1</v>
      </c>
      <c r="AJ21" s="7">
        <v>1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1</v>
      </c>
      <c r="AR21" s="7">
        <v>0</v>
      </c>
      <c r="AS21" s="7">
        <v>5</v>
      </c>
      <c r="AT21" s="8">
        <v>0.27777777777777779</v>
      </c>
      <c r="AU21" s="14" t="s">
        <v>1102</v>
      </c>
      <c r="AV21" s="7">
        <v>12</v>
      </c>
      <c r="AW21" s="8">
        <v>0.33333333333333337</v>
      </c>
    </row>
    <row r="22" spans="1:49" ht="15.75" customHeight="1" x14ac:dyDescent="0.25">
      <c r="A22" s="5" t="s">
        <v>4</v>
      </c>
      <c r="B22" s="6" t="s">
        <v>1069</v>
      </c>
      <c r="C22" s="6" t="s">
        <v>1105</v>
      </c>
      <c r="D22" s="6" t="s">
        <v>1097</v>
      </c>
      <c r="E22" s="5" t="s">
        <v>326</v>
      </c>
      <c r="F22" s="7">
        <v>1</v>
      </c>
      <c r="G22" s="7">
        <v>1</v>
      </c>
      <c r="H22" s="7">
        <v>0</v>
      </c>
      <c r="I22" s="7">
        <v>1</v>
      </c>
      <c r="J22" s="7">
        <v>1</v>
      </c>
      <c r="K22" s="7">
        <v>1</v>
      </c>
      <c r="L22" s="7">
        <v>0</v>
      </c>
      <c r="M22" s="7">
        <v>0</v>
      </c>
      <c r="N22" s="7">
        <v>0</v>
      </c>
      <c r="O22" s="7">
        <v>1</v>
      </c>
      <c r="P22" s="7">
        <v>1</v>
      </c>
      <c r="Q22" s="7">
        <v>0</v>
      </c>
      <c r="R22" s="7">
        <v>1</v>
      </c>
      <c r="S22" s="7">
        <v>1</v>
      </c>
      <c r="T22" s="7">
        <v>1</v>
      </c>
      <c r="U22" s="7">
        <v>1</v>
      </c>
      <c r="V22" s="7">
        <v>0</v>
      </c>
      <c r="W22" s="7">
        <v>1</v>
      </c>
      <c r="X22" s="7">
        <v>12</v>
      </c>
      <c r="Y22" s="8">
        <v>0.66666666666666674</v>
      </c>
      <c r="Z22" s="14" t="s">
        <v>1119</v>
      </c>
      <c r="AA22" s="7">
        <v>1</v>
      </c>
      <c r="AB22" s="7">
        <v>1</v>
      </c>
      <c r="AC22" s="7">
        <v>0</v>
      </c>
      <c r="AD22" s="7">
        <v>1</v>
      </c>
      <c r="AE22" s="7">
        <v>0</v>
      </c>
      <c r="AF22" s="7">
        <v>0</v>
      </c>
      <c r="AG22" s="7">
        <v>1</v>
      </c>
      <c r="AH22" s="7">
        <v>1</v>
      </c>
      <c r="AI22" s="7">
        <v>0</v>
      </c>
      <c r="AJ22" s="7">
        <v>1</v>
      </c>
      <c r="AK22" s="7">
        <v>1</v>
      </c>
      <c r="AL22" s="7">
        <v>1</v>
      </c>
      <c r="AM22" s="7">
        <v>0</v>
      </c>
      <c r="AN22" s="7">
        <v>0</v>
      </c>
      <c r="AO22" s="7">
        <v>1</v>
      </c>
      <c r="AP22" s="7">
        <v>1</v>
      </c>
      <c r="AQ22" s="7">
        <v>1</v>
      </c>
      <c r="AR22" s="7">
        <v>1</v>
      </c>
      <c r="AS22" s="7">
        <v>12</v>
      </c>
      <c r="AT22" s="8">
        <v>0.66666666666666674</v>
      </c>
      <c r="AU22" s="14" t="s">
        <v>1119</v>
      </c>
      <c r="AV22" s="7">
        <v>24</v>
      </c>
      <c r="AW22" s="8">
        <v>0.66666666666666674</v>
      </c>
    </row>
    <row r="23" spans="1:49" ht="15.75" customHeight="1" x14ac:dyDescent="0.25">
      <c r="A23" s="5" t="s">
        <v>4</v>
      </c>
      <c r="B23" s="6" t="s">
        <v>1069</v>
      </c>
      <c r="C23" s="6" t="s">
        <v>1103</v>
      </c>
      <c r="D23" s="6" t="s">
        <v>1097</v>
      </c>
      <c r="E23" s="5" t="s">
        <v>327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18</v>
      </c>
      <c r="Y23" s="8">
        <v>1</v>
      </c>
      <c r="Z23" s="14" t="s">
        <v>1120</v>
      </c>
      <c r="AA23" s="7">
        <v>0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0</v>
      </c>
      <c r="AI23" s="7">
        <v>1</v>
      </c>
      <c r="AJ23" s="7">
        <v>1</v>
      </c>
      <c r="AK23" s="7">
        <v>1</v>
      </c>
      <c r="AL23" s="7">
        <v>1</v>
      </c>
      <c r="AM23" s="7">
        <v>0</v>
      </c>
      <c r="AN23" s="7">
        <v>1</v>
      </c>
      <c r="AO23" s="7">
        <v>1</v>
      </c>
      <c r="AP23" s="7">
        <v>0</v>
      </c>
      <c r="AQ23" s="7">
        <v>1</v>
      </c>
      <c r="AR23" s="7">
        <v>1</v>
      </c>
      <c r="AS23" s="7">
        <v>14</v>
      </c>
      <c r="AT23" s="8">
        <v>0.77777777777777768</v>
      </c>
      <c r="AU23" s="14" t="s">
        <v>1120</v>
      </c>
      <c r="AV23" s="7">
        <v>32</v>
      </c>
      <c r="AW23" s="8">
        <v>0.88888888888888884</v>
      </c>
    </row>
    <row r="24" spans="1:49" ht="15.75" customHeight="1" x14ac:dyDescent="0.25">
      <c r="A24" s="5" t="s">
        <v>4</v>
      </c>
      <c r="B24" s="6" t="s">
        <v>1069</v>
      </c>
      <c r="C24" s="6" t="s">
        <v>1103</v>
      </c>
      <c r="D24" s="6" t="s">
        <v>1097</v>
      </c>
      <c r="E24" s="5" t="s">
        <v>328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0</v>
      </c>
      <c r="N24" s="7">
        <v>0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0</v>
      </c>
      <c r="U24" s="7">
        <v>1</v>
      </c>
      <c r="V24" s="7">
        <v>1</v>
      </c>
      <c r="W24" s="7">
        <v>1</v>
      </c>
      <c r="X24" s="7">
        <v>15</v>
      </c>
      <c r="Y24" s="8">
        <v>0.83333333333333326</v>
      </c>
      <c r="Z24" s="14" t="s">
        <v>1120</v>
      </c>
      <c r="AA24" s="7">
        <v>1</v>
      </c>
      <c r="AB24" s="7">
        <v>0</v>
      </c>
      <c r="AC24" s="7">
        <v>1</v>
      </c>
      <c r="AD24" s="7">
        <v>1</v>
      </c>
      <c r="AE24" s="7">
        <v>0</v>
      </c>
      <c r="AF24" s="7">
        <v>0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0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14</v>
      </c>
      <c r="AT24" s="8">
        <v>0.77777777777777768</v>
      </c>
      <c r="AU24" s="14" t="s">
        <v>1120</v>
      </c>
      <c r="AV24" s="7">
        <v>29</v>
      </c>
      <c r="AW24" s="8">
        <v>0.80555555555555558</v>
      </c>
    </row>
    <row r="25" spans="1:49" ht="15.75" customHeight="1" x14ac:dyDescent="0.25">
      <c r="A25" s="5" t="s">
        <v>4</v>
      </c>
      <c r="B25" s="6" t="s">
        <v>1069</v>
      </c>
      <c r="C25" s="6" t="s">
        <v>1103</v>
      </c>
      <c r="D25" s="6" t="s">
        <v>1097</v>
      </c>
      <c r="E25" s="5" t="s">
        <v>329</v>
      </c>
      <c r="F25" s="7">
        <v>0</v>
      </c>
      <c r="G25" s="7">
        <v>1</v>
      </c>
      <c r="H25" s="7">
        <v>1</v>
      </c>
      <c r="I25" s="7">
        <v>1</v>
      </c>
      <c r="J25" s="7">
        <v>0</v>
      </c>
      <c r="K25" s="7">
        <v>1</v>
      </c>
      <c r="L25" s="7">
        <v>1</v>
      </c>
      <c r="M25" s="7">
        <v>1</v>
      </c>
      <c r="N25" s="7">
        <v>0</v>
      </c>
      <c r="O25" s="7">
        <v>1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1</v>
      </c>
      <c r="W25" s="7">
        <v>0</v>
      </c>
      <c r="X25" s="7">
        <v>9</v>
      </c>
      <c r="Y25" s="8">
        <v>0.5</v>
      </c>
      <c r="Z25" s="14" t="s">
        <v>1119</v>
      </c>
      <c r="AA25" s="7">
        <v>1</v>
      </c>
      <c r="AB25" s="7">
        <v>1</v>
      </c>
      <c r="AC25" s="7">
        <v>1</v>
      </c>
      <c r="AD25" s="7">
        <v>1</v>
      </c>
      <c r="AE25" s="7">
        <v>0</v>
      </c>
      <c r="AF25" s="7">
        <v>0</v>
      </c>
      <c r="AG25" s="7">
        <v>1</v>
      </c>
      <c r="AH25" s="7">
        <v>0</v>
      </c>
      <c r="AI25" s="7">
        <v>1</v>
      </c>
      <c r="AJ25" s="7">
        <v>1</v>
      </c>
      <c r="AK25" s="7">
        <v>0</v>
      </c>
      <c r="AL25" s="7">
        <v>1</v>
      </c>
      <c r="AM25" s="7">
        <v>0</v>
      </c>
      <c r="AN25" s="7">
        <v>0</v>
      </c>
      <c r="AO25" s="7">
        <v>1</v>
      </c>
      <c r="AP25" s="7">
        <v>0</v>
      </c>
      <c r="AQ25" s="7">
        <v>1</v>
      </c>
      <c r="AR25" s="7">
        <v>1</v>
      </c>
      <c r="AS25" s="7">
        <v>11</v>
      </c>
      <c r="AT25" s="8">
        <v>0.61111111111111116</v>
      </c>
      <c r="AU25" s="14" t="s">
        <v>1119</v>
      </c>
      <c r="AV25" s="7">
        <v>20</v>
      </c>
      <c r="AW25" s="8">
        <v>0.55555555555555558</v>
      </c>
    </row>
    <row r="26" spans="1:49" ht="15.75" customHeight="1" x14ac:dyDescent="0.25">
      <c r="A26" s="5" t="s">
        <v>4</v>
      </c>
      <c r="B26" s="6" t="s">
        <v>1069</v>
      </c>
      <c r="C26" s="6" t="s">
        <v>1103</v>
      </c>
      <c r="D26" s="6" t="s">
        <v>1097</v>
      </c>
      <c r="E26" s="5" t="s">
        <v>330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0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17</v>
      </c>
      <c r="Y26" s="8">
        <v>0.94444444444444442</v>
      </c>
      <c r="Z26" s="14" t="s">
        <v>1120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18</v>
      </c>
      <c r="AT26" s="8">
        <v>1</v>
      </c>
      <c r="AU26" s="14" t="s">
        <v>1120</v>
      </c>
      <c r="AV26" s="7">
        <v>35</v>
      </c>
      <c r="AW26" s="8">
        <v>0.97222222222222232</v>
      </c>
    </row>
    <row r="27" spans="1:49" ht="15.75" customHeight="1" x14ac:dyDescent="0.25">
      <c r="A27" s="5" t="s">
        <v>4</v>
      </c>
      <c r="B27" s="6" t="s">
        <v>1069</v>
      </c>
      <c r="C27" s="6" t="s">
        <v>1096</v>
      </c>
      <c r="D27" s="6" t="s">
        <v>1097</v>
      </c>
      <c r="E27" s="5" t="s">
        <v>331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0</v>
      </c>
      <c r="N27" s="7">
        <v>0</v>
      </c>
      <c r="O27" s="7">
        <v>1</v>
      </c>
      <c r="P27" s="7">
        <v>1</v>
      </c>
      <c r="Q27" s="7">
        <v>1</v>
      </c>
      <c r="R27" s="7">
        <v>0</v>
      </c>
      <c r="S27" s="7">
        <v>0</v>
      </c>
      <c r="T27" s="7">
        <v>1</v>
      </c>
      <c r="U27" s="7">
        <v>1</v>
      </c>
      <c r="V27" s="7">
        <v>1</v>
      </c>
      <c r="W27" s="7">
        <v>1</v>
      </c>
      <c r="X27" s="7">
        <v>14</v>
      </c>
      <c r="Y27" s="8">
        <v>0.77777777777777768</v>
      </c>
      <c r="Z27" s="14" t="s">
        <v>1120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0</v>
      </c>
      <c r="AI27" s="7">
        <v>0</v>
      </c>
      <c r="AJ27" s="7">
        <v>1</v>
      </c>
      <c r="AK27" s="7">
        <v>1</v>
      </c>
      <c r="AL27" s="7">
        <v>0</v>
      </c>
      <c r="AM27" s="7">
        <v>0</v>
      </c>
      <c r="AN27" s="7">
        <v>1</v>
      </c>
      <c r="AO27" s="7">
        <v>1</v>
      </c>
      <c r="AP27" s="7">
        <v>0</v>
      </c>
      <c r="AQ27" s="7">
        <v>1</v>
      </c>
      <c r="AR27" s="7">
        <v>1</v>
      </c>
      <c r="AS27" s="7">
        <v>13</v>
      </c>
      <c r="AT27" s="8">
        <v>0.72222222222222232</v>
      </c>
      <c r="AU27" s="14" t="s">
        <v>1120</v>
      </c>
      <c r="AV27" s="7">
        <v>27</v>
      </c>
      <c r="AW27" s="8">
        <v>0.75</v>
      </c>
    </row>
    <row r="28" spans="1:49" ht="15.75" customHeight="1" x14ac:dyDescent="0.25">
      <c r="A28" s="5" t="s">
        <v>4</v>
      </c>
      <c r="B28" s="6" t="s">
        <v>1069</v>
      </c>
      <c r="C28" s="6" t="s">
        <v>1096</v>
      </c>
      <c r="D28" s="6" t="s">
        <v>1097</v>
      </c>
      <c r="E28" s="5" t="s">
        <v>332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0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17</v>
      </c>
      <c r="Y28" s="8">
        <v>0.94444444444444442</v>
      </c>
      <c r="Z28" s="14" t="s">
        <v>1120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0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0</v>
      </c>
      <c r="AQ28" s="7">
        <v>1</v>
      </c>
      <c r="AR28" s="7">
        <v>1</v>
      </c>
      <c r="AS28" s="7">
        <v>16</v>
      </c>
      <c r="AT28" s="8">
        <v>0.88888888888888884</v>
      </c>
      <c r="AU28" s="14" t="s">
        <v>1120</v>
      </c>
      <c r="AV28" s="7">
        <v>33</v>
      </c>
      <c r="AW28" s="8">
        <v>0.91666666666666674</v>
      </c>
    </row>
    <row r="29" spans="1:49" ht="15.75" customHeight="1" x14ac:dyDescent="0.25">
      <c r="A29" s="5" t="s">
        <v>4</v>
      </c>
      <c r="B29" s="6" t="s">
        <v>1069</v>
      </c>
      <c r="C29" s="6" t="s">
        <v>1096</v>
      </c>
      <c r="D29" s="6" t="s">
        <v>1097</v>
      </c>
      <c r="E29" s="5" t="s">
        <v>333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18</v>
      </c>
      <c r="Y29" s="8">
        <v>1</v>
      </c>
      <c r="Z29" s="14" t="s">
        <v>1120</v>
      </c>
      <c r="AA29" s="7">
        <v>1</v>
      </c>
      <c r="AB29" s="7">
        <v>1</v>
      </c>
      <c r="AC29" s="7">
        <v>0</v>
      </c>
      <c r="AD29" s="7">
        <v>1</v>
      </c>
      <c r="AE29" s="7">
        <v>1</v>
      </c>
      <c r="AF29" s="7">
        <v>0</v>
      </c>
      <c r="AG29" s="7">
        <v>1</v>
      </c>
      <c r="AH29" s="7">
        <v>0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15</v>
      </c>
      <c r="AT29" s="8">
        <v>0.83333333333333326</v>
      </c>
      <c r="AU29" s="14" t="s">
        <v>1120</v>
      </c>
      <c r="AV29" s="7">
        <v>33</v>
      </c>
      <c r="AW29" s="8">
        <v>0.91666666666666674</v>
      </c>
    </row>
    <row r="30" spans="1:49" ht="15.75" customHeight="1" x14ac:dyDescent="0.25">
      <c r="A30" s="5" t="s">
        <v>4</v>
      </c>
      <c r="B30" s="6" t="s">
        <v>1069</v>
      </c>
      <c r="C30" s="6" t="s">
        <v>1096</v>
      </c>
      <c r="D30" s="6" t="s">
        <v>1097</v>
      </c>
      <c r="E30" s="5" t="s">
        <v>334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0</v>
      </c>
      <c r="N30" s="7">
        <v>0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16</v>
      </c>
      <c r="Y30" s="8">
        <v>0.88888888888888884</v>
      </c>
      <c r="Z30" s="14" t="s">
        <v>1120</v>
      </c>
      <c r="AA30" s="7">
        <v>1</v>
      </c>
      <c r="AB30" s="7">
        <v>1</v>
      </c>
      <c r="AC30" s="7">
        <v>0</v>
      </c>
      <c r="AD30" s="7">
        <v>1</v>
      </c>
      <c r="AE30" s="7">
        <v>0</v>
      </c>
      <c r="AF30" s="7">
        <v>0</v>
      </c>
      <c r="AG30" s="7">
        <v>1</v>
      </c>
      <c r="AH30" s="7">
        <v>1</v>
      </c>
      <c r="AI30" s="7">
        <v>0</v>
      </c>
      <c r="AJ30" s="7">
        <v>1</v>
      </c>
      <c r="AK30" s="7">
        <v>1</v>
      </c>
      <c r="AL30" s="7">
        <v>1</v>
      </c>
      <c r="AM30" s="7">
        <v>0</v>
      </c>
      <c r="AN30" s="7">
        <v>1</v>
      </c>
      <c r="AO30" s="7">
        <v>1</v>
      </c>
      <c r="AP30" s="7">
        <v>0</v>
      </c>
      <c r="AQ30" s="7">
        <v>0</v>
      </c>
      <c r="AR30" s="7">
        <v>1</v>
      </c>
      <c r="AS30" s="7">
        <v>11</v>
      </c>
      <c r="AT30" s="8">
        <v>0.61111111111111116</v>
      </c>
      <c r="AU30" s="14" t="s">
        <v>1119</v>
      </c>
      <c r="AV30" s="7">
        <v>27</v>
      </c>
      <c r="AW30" s="8">
        <v>0.75</v>
      </c>
    </row>
    <row r="31" spans="1:49" ht="15.75" customHeight="1" x14ac:dyDescent="0.25">
      <c r="A31" s="5" t="s">
        <v>4</v>
      </c>
      <c r="B31" s="6" t="s">
        <v>1069</v>
      </c>
      <c r="C31" s="6" t="s">
        <v>1103</v>
      </c>
      <c r="D31" s="6" t="s">
        <v>1097</v>
      </c>
      <c r="E31" s="5" t="s">
        <v>335</v>
      </c>
      <c r="F31" s="7">
        <v>1</v>
      </c>
      <c r="G31" s="7">
        <v>1</v>
      </c>
      <c r="H31" s="7">
        <v>1</v>
      </c>
      <c r="I31" s="7">
        <v>1</v>
      </c>
      <c r="J31" s="7">
        <v>0</v>
      </c>
      <c r="K31" s="7">
        <v>1</v>
      </c>
      <c r="L31" s="7">
        <v>1</v>
      </c>
      <c r="M31" s="7">
        <v>0</v>
      </c>
      <c r="N31" s="7">
        <v>0</v>
      </c>
      <c r="O31" s="7">
        <v>1</v>
      </c>
      <c r="P31" s="7">
        <v>1</v>
      </c>
      <c r="Q31" s="7">
        <v>1</v>
      </c>
      <c r="R31" s="7">
        <v>0</v>
      </c>
      <c r="S31" s="7">
        <v>0</v>
      </c>
      <c r="T31" s="7">
        <v>0</v>
      </c>
      <c r="U31" s="7">
        <v>1</v>
      </c>
      <c r="V31" s="7">
        <v>0</v>
      </c>
      <c r="W31" s="7">
        <v>1</v>
      </c>
      <c r="X31" s="7">
        <v>11</v>
      </c>
      <c r="Y31" s="8">
        <v>0.61111111111111116</v>
      </c>
      <c r="Z31" s="14" t="s">
        <v>1119</v>
      </c>
      <c r="AA31" s="7">
        <v>0</v>
      </c>
      <c r="AB31" s="7">
        <v>1</v>
      </c>
      <c r="AC31" s="7">
        <v>0</v>
      </c>
      <c r="AD31" s="7">
        <v>0</v>
      </c>
      <c r="AE31" s="7">
        <v>0</v>
      </c>
      <c r="AF31" s="7">
        <v>0</v>
      </c>
      <c r="AG31" s="7">
        <v>1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</v>
      </c>
      <c r="AN31" s="7">
        <v>0</v>
      </c>
      <c r="AO31" s="7">
        <v>0</v>
      </c>
      <c r="AP31" s="7">
        <v>0</v>
      </c>
      <c r="AQ31" s="7">
        <v>1</v>
      </c>
      <c r="AR31" s="7">
        <v>0</v>
      </c>
      <c r="AS31" s="7">
        <v>4</v>
      </c>
      <c r="AT31" s="8">
        <v>0.22222222222222221</v>
      </c>
      <c r="AU31" s="14" t="s">
        <v>1102</v>
      </c>
      <c r="AV31" s="7">
        <v>15</v>
      </c>
      <c r="AW31" s="8">
        <v>0.41666666666666663</v>
      </c>
    </row>
    <row r="32" spans="1:49" ht="15.75" customHeight="1" x14ac:dyDescent="0.25">
      <c r="A32" s="5" t="s">
        <v>4</v>
      </c>
      <c r="B32" s="6" t="s">
        <v>1069</v>
      </c>
      <c r="C32" s="6" t="s">
        <v>1103</v>
      </c>
      <c r="D32" s="6" t="s">
        <v>1097</v>
      </c>
      <c r="E32" s="5" t="s">
        <v>336</v>
      </c>
      <c r="F32" s="7">
        <v>0</v>
      </c>
      <c r="G32" s="7">
        <v>1</v>
      </c>
      <c r="H32" s="7">
        <v>1</v>
      </c>
      <c r="I32" s="7">
        <v>1</v>
      </c>
      <c r="J32" s="7">
        <v>0</v>
      </c>
      <c r="K32" s="7">
        <v>1</v>
      </c>
      <c r="L32" s="7">
        <v>1</v>
      </c>
      <c r="M32" s="7">
        <v>0</v>
      </c>
      <c r="N32" s="7">
        <v>0</v>
      </c>
      <c r="O32" s="7">
        <v>1</v>
      </c>
      <c r="P32" s="7">
        <v>1</v>
      </c>
      <c r="Q32" s="7">
        <v>1</v>
      </c>
      <c r="R32" s="7">
        <v>0</v>
      </c>
      <c r="S32" s="7">
        <v>1</v>
      </c>
      <c r="T32" s="7">
        <v>0</v>
      </c>
      <c r="U32" s="7">
        <v>0</v>
      </c>
      <c r="V32" s="7">
        <v>0</v>
      </c>
      <c r="W32" s="7">
        <v>1</v>
      </c>
      <c r="X32" s="7">
        <v>10</v>
      </c>
      <c r="Y32" s="8">
        <v>0.55555555555555558</v>
      </c>
      <c r="Z32" s="14" t="s">
        <v>1119</v>
      </c>
      <c r="AA32" s="7">
        <v>0</v>
      </c>
      <c r="AB32" s="7">
        <v>1</v>
      </c>
      <c r="AC32" s="7">
        <v>1</v>
      </c>
      <c r="AD32" s="7">
        <v>1</v>
      </c>
      <c r="AE32" s="7">
        <v>1</v>
      </c>
      <c r="AF32" s="7">
        <v>0</v>
      </c>
      <c r="AG32" s="7">
        <v>1</v>
      </c>
      <c r="AH32" s="7">
        <v>0</v>
      </c>
      <c r="AI32" s="7">
        <v>0</v>
      </c>
      <c r="AJ32" s="7">
        <v>1</v>
      </c>
      <c r="AK32" s="7">
        <v>1</v>
      </c>
      <c r="AL32" s="7">
        <v>0</v>
      </c>
      <c r="AM32" s="7">
        <v>0</v>
      </c>
      <c r="AN32" s="7">
        <v>0</v>
      </c>
      <c r="AO32" s="7">
        <v>1</v>
      </c>
      <c r="AP32" s="7">
        <v>1</v>
      </c>
      <c r="AQ32" s="7">
        <v>1</v>
      </c>
      <c r="AR32" s="7">
        <v>0</v>
      </c>
      <c r="AS32" s="7">
        <v>10</v>
      </c>
      <c r="AT32" s="8">
        <v>0.55555555555555558</v>
      </c>
      <c r="AU32" s="14" t="s">
        <v>1119</v>
      </c>
      <c r="AV32" s="7">
        <v>20</v>
      </c>
      <c r="AW32" s="8">
        <v>0.55555555555555558</v>
      </c>
    </row>
    <row r="33" spans="1:49" ht="15.75" customHeight="1" x14ac:dyDescent="0.25">
      <c r="A33" s="5" t="s">
        <v>5</v>
      </c>
      <c r="B33" s="6" t="s">
        <v>1069</v>
      </c>
      <c r="C33" s="6" t="s">
        <v>1103</v>
      </c>
      <c r="D33" s="6" t="s">
        <v>1097</v>
      </c>
      <c r="E33" s="5" t="s">
        <v>337</v>
      </c>
      <c r="F33" s="7">
        <v>1</v>
      </c>
      <c r="G33" s="7">
        <v>1</v>
      </c>
      <c r="H33" s="7">
        <v>1</v>
      </c>
      <c r="I33" s="7">
        <v>1</v>
      </c>
      <c r="J33" s="7">
        <v>0</v>
      </c>
      <c r="K33" s="7">
        <v>1</v>
      </c>
      <c r="L33" s="7">
        <v>0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0</v>
      </c>
      <c r="W33" s="7">
        <v>0</v>
      </c>
      <c r="X33" s="7">
        <v>14</v>
      </c>
      <c r="Y33" s="8">
        <v>0.77777777777777768</v>
      </c>
      <c r="Z33" s="14" t="s">
        <v>1120</v>
      </c>
      <c r="AA33" s="7">
        <v>1</v>
      </c>
      <c r="AB33" s="7">
        <v>1</v>
      </c>
      <c r="AC33" s="7">
        <v>0</v>
      </c>
      <c r="AD33" s="7">
        <v>1</v>
      </c>
      <c r="AE33" s="7">
        <v>0</v>
      </c>
      <c r="AF33" s="7">
        <v>0</v>
      </c>
      <c r="AG33" s="7">
        <v>1</v>
      </c>
      <c r="AH33" s="7">
        <v>0</v>
      </c>
      <c r="AI33" s="7">
        <v>1</v>
      </c>
      <c r="AJ33" s="7">
        <v>1</v>
      </c>
      <c r="AK33" s="7">
        <v>1</v>
      </c>
      <c r="AL33" s="7">
        <v>0</v>
      </c>
      <c r="AM33" s="7">
        <v>0</v>
      </c>
      <c r="AN33" s="7">
        <v>1</v>
      </c>
      <c r="AO33" s="7">
        <v>1</v>
      </c>
      <c r="AP33" s="7">
        <v>0</v>
      </c>
      <c r="AQ33" s="7">
        <v>1</v>
      </c>
      <c r="AR33" s="7">
        <v>1</v>
      </c>
      <c r="AS33" s="7">
        <v>11</v>
      </c>
      <c r="AT33" s="8">
        <v>0.61111111111111116</v>
      </c>
      <c r="AU33" s="14" t="s">
        <v>1119</v>
      </c>
      <c r="AV33" s="7">
        <v>25</v>
      </c>
      <c r="AW33" s="8">
        <v>0.69444444444444442</v>
      </c>
    </row>
    <row r="34" spans="1:49" ht="15.75" customHeight="1" x14ac:dyDescent="0.25">
      <c r="A34" s="5" t="s">
        <v>5</v>
      </c>
      <c r="B34" s="6" t="s">
        <v>1069</v>
      </c>
      <c r="C34" s="6" t="s">
        <v>1103</v>
      </c>
      <c r="D34" s="6" t="s">
        <v>1097</v>
      </c>
      <c r="E34" s="5" t="s">
        <v>338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18</v>
      </c>
      <c r="Y34" s="8">
        <v>1</v>
      </c>
      <c r="Z34" s="14" t="s">
        <v>1120</v>
      </c>
      <c r="AA34" s="7">
        <v>1</v>
      </c>
      <c r="AB34" s="7">
        <v>1</v>
      </c>
      <c r="AC34" s="7">
        <v>1</v>
      </c>
      <c r="AD34" s="7">
        <v>0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0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16</v>
      </c>
      <c r="AT34" s="8">
        <v>0.88888888888888884</v>
      </c>
      <c r="AU34" s="14" t="s">
        <v>1120</v>
      </c>
      <c r="AV34" s="7">
        <v>34</v>
      </c>
      <c r="AW34" s="8">
        <v>0.94444444444444442</v>
      </c>
    </row>
    <row r="35" spans="1:49" ht="15.75" customHeight="1" x14ac:dyDescent="0.25">
      <c r="A35" s="5" t="s">
        <v>5</v>
      </c>
      <c r="B35" s="6" t="s">
        <v>1069</v>
      </c>
      <c r="C35" s="6" t="s">
        <v>1103</v>
      </c>
      <c r="D35" s="6" t="s">
        <v>1097</v>
      </c>
      <c r="E35" s="5" t="s">
        <v>339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0</v>
      </c>
      <c r="N35" s="7">
        <v>0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18</v>
      </c>
      <c r="Y35" s="8">
        <v>1</v>
      </c>
      <c r="Z35" s="14" t="s">
        <v>1120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0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0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16</v>
      </c>
      <c r="AT35" s="8">
        <v>0.88888888888888884</v>
      </c>
      <c r="AU35" s="14" t="s">
        <v>1120</v>
      </c>
      <c r="AV35" s="7">
        <v>32</v>
      </c>
      <c r="AW35" s="8">
        <v>0.88888888888888884</v>
      </c>
    </row>
    <row r="36" spans="1:49" ht="15.75" customHeight="1" x14ac:dyDescent="0.25">
      <c r="A36" s="5" t="s">
        <v>5</v>
      </c>
      <c r="B36" s="6" t="s">
        <v>1069</v>
      </c>
      <c r="C36" s="6" t="s">
        <v>1103</v>
      </c>
      <c r="D36" s="6" t="s">
        <v>1097</v>
      </c>
      <c r="E36" s="5" t="s">
        <v>340</v>
      </c>
      <c r="F36" s="7">
        <v>0</v>
      </c>
      <c r="G36" s="7">
        <v>1</v>
      </c>
      <c r="H36" s="7">
        <v>0</v>
      </c>
      <c r="I36" s="7">
        <v>1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1</v>
      </c>
      <c r="S36" s="7">
        <v>1</v>
      </c>
      <c r="T36" s="7">
        <v>0</v>
      </c>
      <c r="U36" s="7">
        <v>0</v>
      </c>
      <c r="V36" s="7">
        <v>0</v>
      </c>
      <c r="W36" s="7">
        <v>0</v>
      </c>
      <c r="X36" s="7">
        <v>6</v>
      </c>
      <c r="Y36" s="8">
        <v>0.33333333333333337</v>
      </c>
      <c r="Z36" s="14" t="s">
        <v>1102</v>
      </c>
      <c r="AA36" s="7">
        <v>0</v>
      </c>
      <c r="AB36" s="7">
        <v>1</v>
      </c>
      <c r="AC36" s="7">
        <v>1</v>
      </c>
      <c r="AD36" s="7">
        <v>1</v>
      </c>
      <c r="AE36" s="7">
        <v>0</v>
      </c>
      <c r="AF36" s="7">
        <v>0</v>
      </c>
      <c r="AG36" s="7">
        <v>1</v>
      </c>
      <c r="AH36" s="7">
        <v>1</v>
      </c>
      <c r="AI36" s="7">
        <v>0</v>
      </c>
      <c r="AJ36" s="7">
        <v>1</v>
      </c>
      <c r="AK36" s="7">
        <v>0</v>
      </c>
      <c r="AL36" s="7">
        <v>1</v>
      </c>
      <c r="AM36" s="7">
        <v>1</v>
      </c>
      <c r="AN36" s="7">
        <v>0</v>
      </c>
      <c r="AO36" s="7">
        <v>1</v>
      </c>
      <c r="AP36" s="7">
        <v>1</v>
      </c>
      <c r="AQ36" s="7">
        <v>1</v>
      </c>
      <c r="AR36" s="7">
        <v>1</v>
      </c>
      <c r="AS36" s="7">
        <v>12</v>
      </c>
      <c r="AT36" s="8">
        <v>0.66666666666666674</v>
      </c>
      <c r="AU36" s="14" t="s">
        <v>1119</v>
      </c>
      <c r="AV36" s="7">
        <v>18</v>
      </c>
      <c r="AW36" s="8">
        <v>0.5</v>
      </c>
    </row>
    <row r="37" spans="1:49" ht="15.75" customHeight="1" x14ac:dyDescent="0.25">
      <c r="A37" s="5" t="s">
        <v>5</v>
      </c>
      <c r="B37" s="6" t="s">
        <v>1069</v>
      </c>
      <c r="C37" s="6" t="s">
        <v>1105</v>
      </c>
      <c r="D37" s="6" t="s">
        <v>1097</v>
      </c>
      <c r="E37" s="5" t="s">
        <v>341</v>
      </c>
      <c r="F37" s="7">
        <v>1</v>
      </c>
      <c r="G37" s="7">
        <v>1</v>
      </c>
      <c r="H37" s="7">
        <v>1</v>
      </c>
      <c r="I37" s="7">
        <v>1</v>
      </c>
      <c r="J37" s="7">
        <v>0</v>
      </c>
      <c r="K37" s="7">
        <v>1</v>
      </c>
      <c r="L37" s="7">
        <v>1</v>
      </c>
      <c r="M37" s="7">
        <v>0</v>
      </c>
      <c r="N37" s="7">
        <v>0</v>
      </c>
      <c r="O37" s="7">
        <v>1</v>
      </c>
      <c r="P37" s="7">
        <v>1</v>
      </c>
      <c r="Q37" s="7">
        <v>1</v>
      </c>
      <c r="R37" s="7">
        <v>0</v>
      </c>
      <c r="S37" s="7">
        <v>1</v>
      </c>
      <c r="T37" s="7">
        <v>0</v>
      </c>
      <c r="U37" s="7">
        <v>1</v>
      </c>
      <c r="V37" s="7">
        <v>1</v>
      </c>
      <c r="W37" s="7">
        <v>1</v>
      </c>
      <c r="X37" s="7">
        <v>13</v>
      </c>
      <c r="Y37" s="8">
        <v>0.72222222222222232</v>
      </c>
      <c r="Z37" s="14" t="s">
        <v>1120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0</v>
      </c>
      <c r="AG37" s="7">
        <v>1</v>
      </c>
      <c r="AH37" s="7">
        <v>0</v>
      </c>
      <c r="AI37" s="7">
        <v>0</v>
      </c>
      <c r="AJ37" s="7">
        <v>1</v>
      </c>
      <c r="AK37" s="7">
        <v>0</v>
      </c>
      <c r="AL37" s="7">
        <v>0</v>
      </c>
      <c r="AM37" s="7">
        <v>1</v>
      </c>
      <c r="AN37" s="7">
        <v>0</v>
      </c>
      <c r="AO37" s="7">
        <v>1</v>
      </c>
      <c r="AP37" s="7">
        <v>0</v>
      </c>
      <c r="AQ37" s="7">
        <v>1</v>
      </c>
      <c r="AR37" s="7">
        <v>1</v>
      </c>
      <c r="AS37" s="7">
        <v>11</v>
      </c>
      <c r="AT37" s="8">
        <v>0.61111111111111116</v>
      </c>
      <c r="AU37" s="14" t="s">
        <v>1119</v>
      </c>
      <c r="AV37" s="7">
        <v>24</v>
      </c>
      <c r="AW37" s="8">
        <v>0.66666666666666674</v>
      </c>
    </row>
    <row r="38" spans="1:49" ht="15.75" customHeight="1" x14ac:dyDescent="0.25">
      <c r="A38" s="5" t="s">
        <v>5</v>
      </c>
      <c r="B38" s="6" t="s">
        <v>1069</v>
      </c>
      <c r="C38" s="6" t="s">
        <v>1103</v>
      </c>
      <c r="D38" s="6" t="s">
        <v>1097</v>
      </c>
      <c r="E38" s="5" t="s">
        <v>342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0</v>
      </c>
      <c r="N38" s="7">
        <v>1</v>
      </c>
      <c r="O38" s="7">
        <v>1</v>
      </c>
      <c r="P38" s="7">
        <v>1</v>
      </c>
      <c r="Q38" s="7">
        <v>1</v>
      </c>
      <c r="R38" s="7">
        <v>0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16</v>
      </c>
      <c r="Y38" s="8">
        <v>0.88888888888888884</v>
      </c>
      <c r="Z38" s="14" t="s">
        <v>1120</v>
      </c>
      <c r="AA38" s="7">
        <v>0</v>
      </c>
      <c r="AB38" s="7">
        <v>0</v>
      </c>
      <c r="AC38" s="7">
        <v>1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1</v>
      </c>
      <c r="AK38" s="7">
        <v>1</v>
      </c>
      <c r="AL38" s="7">
        <v>0</v>
      </c>
      <c r="AM38" s="7">
        <v>0</v>
      </c>
      <c r="AN38" s="7">
        <v>1</v>
      </c>
      <c r="AO38" s="7">
        <v>1</v>
      </c>
      <c r="AP38" s="7">
        <v>0</v>
      </c>
      <c r="AQ38" s="7">
        <v>1</v>
      </c>
      <c r="AR38" s="7">
        <v>1</v>
      </c>
      <c r="AS38" s="7">
        <v>7</v>
      </c>
      <c r="AT38" s="8">
        <v>0.38888888888888884</v>
      </c>
      <c r="AU38" s="14" t="s">
        <v>1102</v>
      </c>
      <c r="AV38" s="7">
        <v>23</v>
      </c>
      <c r="AW38" s="8">
        <v>0.63888888888888884</v>
      </c>
    </row>
    <row r="39" spans="1:49" ht="15.75" customHeight="1" x14ac:dyDescent="0.25">
      <c r="A39" s="5" t="s">
        <v>5</v>
      </c>
      <c r="B39" s="6" t="s">
        <v>1069</v>
      </c>
      <c r="C39" s="6" t="s">
        <v>1103</v>
      </c>
      <c r="D39" s="6" t="s">
        <v>1097</v>
      </c>
      <c r="E39" s="5" t="s">
        <v>343</v>
      </c>
      <c r="F39" s="7">
        <v>1</v>
      </c>
      <c r="G39" s="7">
        <v>1</v>
      </c>
      <c r="H39" s="7">
        <v>1</v>
      </c>
      <c r="I39" s="7">
        <v>1</v>
      </c>
      <c r="J39" s="7">
        <v>0</v>
      </c>
      <c r="K39" s="7">
        <v>1</v>
      </c>
      <c r="L39" s="7">
        <v>0</v>
      </c>
      <c r="M39" s="7">
        <v>1</v>
      </c>
      <c r="N39" s="7">
        <v>0</v>
      </c>
      <c r="O39" s="7">
        <v>1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  <c r="Y39" s="8">
        <v>0.38888888888888884</v>
      </c>
      <c r="Z39" s="14" t="s">
        <v>1102</v>
      </c>
      <c r="AA39" s="7">
        <v>1</v>
      </c>
      <c r="AB39" s="7">
        <v>1</v>
      </c>
      <c r="AC39" s="7">
        <v>0</v>
      </c>
      <c r="AD39" s="7">
        <v>1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1</v>
      </c>
      <c r="AK39" s="7">
        <v>0</v>
      </c>
      <c r="AL39" s="7">
        <v>0</v>
      </c>
      <c r="AM39" s="7">
        <v>0</v>
      </c>
      <c r="AN39" s="7">
        <v>0</v>
      </c>
      <c r="AO39" s="7">
        <v>1</v>
      </c>
      <c r="AP39" s="7">
        <v>0</v>
      </c>
      <c r="AQ39" s="7">
        <v>1</v>
      </c>
      <c r="AR39" s="7">
        <v>1</v>
      </c>
      <c r="AS39" s="7">
        <v>7</v>
      </c>
      <c r="AT39" s="8">
        <v>0.38888888888888884</v>
      </c>
      <c r="AU39" s="14" t="s">
        <v>1102</v>
      </c>
      <c r="AV39" s="7">
        <v>14</v>
      </c>
      <c r="AW39" s="8">
        <v>0.38888888888888884</v>
      </c>
    </row>
    <row r="40" spans="1:49" ht="15.75" customHeight="1" x14ac:dyDescent="0.25">
      <c r="A40" s="5" t="s">
        <v>5</v>
      </c>
      <c r="B40" s="6" t="s">
        <v>1069</v>
      </c>
      <c r="C40" s="6" t="s">
        <v>1103</v>
      </c>
      <c r="D40" s="6" t="s">
        <v>1097</v>
      </c>
      <c r="E40" s="5" t="s">
        <v>344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0</v>
      </c>
      <c r="M40" s="7">
        <v>0</v>
      </c>
      <c r="N40" s="7">
        <v>0</v>
      </c>
      <c r="O40" s="7">
        <v>1</v>
      </c>
      <c r="P40" s="7">
        <v>1</v>
      </c>
      <c r="Q40" s="7">
        <v>1</v>
      </c>
      <c r="R40" s="7">
        <v>1</v>
      </c>
      <c r="S40" s="7">
        <v>0</v>
      </c>
      <c r="T40" s="7">
        <v>1</v>
      </c>
      <c r="U40" s="7">
        <v>1</v>
      </c>
      <c r="V40" s="7">
        <v>1</v>
      </c>
      <c r="W40" s="7">
        <v>1</v>
      </c>
      <c r="X40" s="7">
        <v>14</v>
      </c>
      <c r="Y40" s="8">
        <v>0.77777777777777768</v>
      </c>
      <c r="Z40" s="14" t="s">
        <v>1120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0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0</v>
      </c>
      <c r="AM40" s="7">
        <v>0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15</v>
      </c>
      <c r="AT40" s="8">
        <v>0.83333333333333326</v>
      </c>
      <c r="AU40" s="14" t="s">
        <v>1120</v>
      </c>
      <c r="AV40" s="7">
        <v>29</v>
      </c>
      <c r="AW40" s="8">
        <v>0.80555555555555558</v>
      </c>
    </row>
    <row r="41" spans="1:49" ht="15.75" customHeight="1" x14ac:dyDescent="0.25">
      <c r="A41" s="5" t="s">
        <v>5</v>
      </c>
      <c r="B41" s="6" t="s">
        <v>1069</v>
      </c>
      <c r="C41" s="6" t="s">
        <v>1099</v>
      </c>
      <c r="D41" s="6" t="s">
        <v>1100</v>
      </c>
      <c r="E41" s="5" t="s">
        <v>1159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8">
        <v>0</v>
      </c>
      <c r="Z41" s="14" t="s">
        <v>1102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8">
        <v>0</v>
      </c>
      <c r="AU41" s="14" t="s">
        <v>1102</v>
      </c>
      <c r="AV41" s="7">
        <v>0</v>
      </c>
      <c r="AW41" s="8">
        <v>0</v>
      </c>
    </row>
    <row r="42" spans="1:49" ht="15.75" customHeight="1" x14ac:dyDescent="0.25">
      <c r="A42" s="5" t="s">
        <v>5</v>
      </c>
      <c r="B42" s="6" t="s">
        <v>1069</v>
      </c>
      <c r="C42" s="6" t="s">
        <v>1103</v>
      </c>
      <c r="D42" s="6" t="s">
        <v>1097</v>
      </c>
      <c r="E42" s="5" t="s">
        <v>345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0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17</v>
      </c>
      <c r="Y42" s="8">
        <v>0.94444444444444442</v>
      </c>
      <c r="Z42" s="14" t="s">
        <v>1120</v>
      </c>
      <c r="AA42" s="7">
        <v>1</v>
      </c>
      <c r="AB42" s="7">
        <v>1</v>
      </c>
      <c r="AC42" s="7">
        <v>0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0</v>
      </c>
      <c r="AJ42" s="7">
        <v>1</v>
      </c>
      <c r="AK42" s="7">
        <v>1</v>
      </c>
      <c r="AL42" s="7">
        <v>1</v>
      </c>
      <c r="AM42" s="7">
        <v>0</v>
      </c>
      <c r="AN42" s="7">
        <v>0</v>
      </c>
      <c r="AO42" s="7">
        <v>0</v>
      </c>
      <c r="AP42" s="7">
        <v>0</v>
      </c>
      <c r="AQ42" s="7">
        <v>1</v>
      </c>
      <c r="AR42" s="7">
        <v>1</v>
      </c>
      <c r="AS42" s="7">
        <v>12</v>
      </c>
      <c r="AT42" s="8">
        <v>0.66666666666666674</v>
      </c>
      <c r="AU42" s="14" t="s">
        <v>1119</v>
      </c>
      <c r="AV42" s="7">
        <v>29</v>
      </c>
      <c r="AW42" s="8">
        <v>0.80555555555555558</v>
      </c>
    </row>
    <row r="43" spans="1:49" ht="15.75" customHeight="1" x14ac:dyDescent="0.25">
      <c r="A43" s="5" t="s">
        <v>5</v>
      </c>
      <c r="B43" s="6" t="s">
        <v>1069</v>
      </c>
      <c r="C43" s="6" t="s">
        <v>1103</v>
      </c>
      <c r="D43" s="6" t="s">
        <v>1097</v>
      </c>
      <c r="E43" s="5" t="s">
        <v>346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0</v>
      </c>
      <c r="O43" s="7">
        <v>1</v>
      </c>
      <c r="P43" s="7">
        <v>1</v>
      </c>
      <c r="Q43" s="7">
        <v>1</v>
      </c>
      <c r="R43" s="7">
        <v>1</v>
      </c>
      <c r="S43" s="7">
        <v>0</v>
      </c>
      <c r="T43" s="7">
        <v>1</v>
      </c>
      <c r="U43" s="7">
        <v>1</v>
      </c>
      <c r="V43" s="7">
        <v>1</v>
      </c>
      <c r="W43" s="7">
        <v>1</v>
      </c>
      <c r="X43" s="7">
        <v>16</v>
      </c>
      <c r="Y43" s="8">
        <v>0.88888888888888884</v>
      </c>
      <c r="Z43" s="14" t="s">
        <v>1120</v>
      </c>
      <c r="AA43" s="7">
        <v>1</v>
      </c>
      <c r="AB43" s="7">
        <v>1</v>
      </c>
      <c r="AC43" s="7">
        <v>1</v>
      </c>
      <c r="AD43" s="7">
        <v>0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0</v>
      </c>
      <c r="AN43" s="7">
        <v>0</v>
      </c>
      <c r="AO43" s="7">
        <v>1</v>
      </c>
      <c r="AP43" s="7">
        <v>1</v>
      </c>
      <c r="AQ43" s="7">
        <v>1</v>
      </c>
      <c r="AR43" s="7">
        <v>1</v>
      </c>
      <c r="AS43" s="7">
        <v>15</v>
      </c>
      <c r="AT43" s="8">
        <v>0.83333333333333326</v>
      </c>
      <c r="AU43" s="14" t="s">
        <v>1120</v>
      </c>
      <c r="AV43" s="7">
        <v>31</v>
      </c>
      <c r="AW43" s="8">
        <v>0.86111111111111116</v>
      </c>
    </row>
    <row r="44" spans="1:49" ht="15.75" customHeight="1" x14ac:dyDescent="0.25">
      <c r="A44" s="5" t="s">
        <v>5</v>
      </c>
      <c r="B44" s="6" t="s">
        <v>1069</v>
      </c>
      <c r="C44" s="6" t="s">
        <v>1103</v>
      </c>
      <c r="D44" s="6" t="s">
        <v>1097</v>
      </c>
      <c r="E44" s="5" t="s">
        <v>347</v>
      </c>
      <c r="F44" s="7">
        <v>1</v>
      </c>
      <c r="G44" s="7">
        <v>1</v>
      </c>
      <c r="H44" s="7">
        <v>1</v>
      </c>
      <c r="I44" s="7">
        <v>0</v>
      </c>
      <c r="J44" s="7">
        <v>1</v>
      </c>
      <c r="K44" s="7">
        <v>1</v>
      </c>
      <c r="L44" s="7">
        <v>1</v>
      </c>
      <c r="M44" s="7">
        <v>1</v>
      </c>
      <c r="N44" s="7">
        <v>0</v>
      </c>
      <c r="O44" s="7">
        <v>1</v>
      </c>
      <c r="P44" s="7">
        <v>1</v>
      </c>
      <c r="Q44" s="7">
        <v>1</v>
      </c>
      <c r="R44" s="7">
        <v>0</v>
      </c>
      <c r="S44" s="7">
        <v>1</v>
      </c>
      <c r="T44" s="7">
        <v>1</v>
      </c>
      <c r="U44" s="7">
        <v>0</v>
      </c>
      <c r="V44" s="7">
        <v>1</v>
      </c>
      <c r="W44" s="7">
        <v>1</v>
      </c>
      <c r="X44" s="7">
        <v>14</v>
      </c>
      <c r="Y44" s="8">
        <v>0.77777777777777768</v>
      </c>
      <c r="Z44" s="14" t="s">
        <v>1120</v>
      </c>
      <c r="AA44" s="7">
        <v>1</v>
      </c>
      <c r="AB44" s="7">
        <v>1</v>
      </c>
      <c r="AC44" s="7">
        <v>0</v>
      </c>
      <c r="AD44" s="7">
        <v>0</v>
      </c>
      <c r="AE44" s="7">
        <v>1</v>
      </c>
      <c r="AF44" s="7">
        <v>1</v>
      </c>
      <c r="AG44" s="7">
        <v>0</v>
      </c>
      <c r="AH44" s="7">
        <v>0</v>
      </c>
      <c r="AI44" s="7">
        <v>0</v>
      </c>
      <c r="AJ44" s="7">
        <v>1</v>
      </c>
      <c r="AK44" s="7">
        <v>0</v>
      </c>
      <c r="AL44" s="7">
        <v>1</v>
      </c>
      <c r="AM44" s="7">
        <v>0</v>
      </c>
      <c r="AN44" s="7">
        <v>0</v>
      </c>
      <c r="AO44" s="7">
        <v>1</v>
      </c>
      <c r="AP44" s="7">
        <v>0</v>
      </c>
      <c r="AQ44" s="7">
        <v>1</v>
      </c>
      <c r="AR44" s="7">
        <v>1</v>
      </c>
      <c r="AS44" s="7">
        <v>9</v>
      </c>
      <c r="AT44" s="8">
        <v>0.5</v>
      </c>
      <c r="AU44" s="14" t="s">
        <v>1119</v>
      </c>
      <c r="AV44" s="7">
        <v>23</v>
      </c>
      <c r="AW44" s="8">
        <v>0.63888888888888884</v>
      </c>
    </row>
    <row r="45" spans="1:49" ht="15.75" customHeight="1" x14ac:dyDescent="0.25">
      <c r="A45" s="5" t="s">
        <v>5</v>
      </c>
      <c r="B45" s="6" t="s">
        <v>1069</v>
      </c>
      <c r="C45" s="6" t="s">
        <v>1103</v>
      </c>
      <c r="D45" s="6" t="s">
        <v>1097</v>
      </c>
      <c r="E45" s="5" t="s">
        <v>348</v>
      </c>
      <c r="F45" s="7">
        <v>0</v>
      </c>
      <c r="G45" s="7">
        <v>1</v>
      </c>
      <c r="H45" s="7">
        <v>1</v>
      </c>
      <c r="I45" s="7">
        <v>1</v>
      </c>
      <c r="J45" s="7">
        <v>0</v>
      </c>
      <c r="K45" s="7">
        <v>1</v>
      </c>
      <c r="L45" s="7">
        <v>1</v>
      </c>
      <c r="M45" s="7">
        <v>0</v>
      </c>
      <c r="N45" s="7">
        <v>0</v>
      </c>
      <c r="O45" s="7">
        <v>1</v>
      </c>
      <c r="P45" s="7">
        <v>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1</v>
      </c>
      <c r="W45" s="7">
        <v>1</v>
      </c>
      <c r="X45" s="7">
        <v>9</v>
      </c>
      <c r="Y45" s="8">
        <v>0.5</v>
      </c>
      <c r="Z45" s="14" t="s">
        <v>1119</v>
      </c>
      <c r="AA45" s="7">
        <v>0</v>
      </c>
      <c r="AB45" s="7">
        <v>1</v>
      </c>
      <c r="AC45" s="7">
        <v>1</v>
      </c>
      <c r="AD45" s="7">
        <v>1</v>
      </c>
      <c r="AE45" s="7">
        <v>0</v>
      </c>
      <c r="AF45" s="7">
        <v>0</v>
      </c>
      <c r="AG45" s="7">
        <v>1</v>
      </c>
      <c r="AH45" s="7">
        <v>0</v>
      </c>
      <c r="AI45" s="7">
        <v>0</v>
      </c>
      <c r="AJ45" s="7">
        <v>0</v>
      </c>
      <c r="AK45" s="7">
        <v>1</v>
      </c>
      <c r="AL45" s="7">
        <v>0</v>
      </c>
      <c r="AM45" s="7">
        <v>0</v>
      </c>
      <c r="AN45" s="7">
        <v>1</v>
      </c>
      <c r="AO45" s="7">
        <v>1</v>
      </c>
      <c r="AP45" s="7">
        <v>0</v>
      </c>
      <c r="AQ45" s="7">
        <v>1</v>
      </c>
      <c r="AR45" s="7">
        <v>0</v>
      </c>
      <c r="AS45" s="7">
        <v>8</v>
      </c>
      <c r="AT45" s="8">
        <v>0.44444444444444442</v>
      </c>
      <c r="AU45" s="14" t="s">
        <v>1119</v>
      </c>
      <c r="AV45" s="7">
        <v>17</v>
      </c>
      <c r="AW45" s="8">
        <v>0.47222222222222221</v>
      </c>
    </row>
    <row r="46" spans="1:49" ht="15.75" customHeight="1" x14ac:dyDescent="0.25">
      <c r="A46" s="5" t="s">
        <v>5</v>
      </c>
      <c r="B46" s="6" t="s">
        <v>1069</v>
      </c>
      <c r="C46" s="6" t="s">
        <v>1096</v>
      </c>
      <c r="D46" s="6" t="s">
        <v>1097</v>
      </c>
      <c r="E46" s="5" t="s">
        <v>1160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18</v>
      </c>
      <c r="Y46" s="8">
        <v>1</v>
      </c>
      <c r="Z46" s="14" t="s">
        <v>1120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0</v>
      </c>
      <c r="AN46" s="7">
        <v>0</v>
      </c>
      <c r="AO46" s="7">
        <v>1</v>
      </c>
      <c r="AP46" s="7">
        <v>1</v>
      </c>
      <c r="AQ46" s="7">
        <v>1</v>
      </c>
      <c r="AR46" s="7">
        <v>1</v>
      </c>
      <c r="AS46" s="7">
        <v>16</v>
      </c>
      <c r="AT46" s="8">
        <v>0.88888888888888884</v>
      </c>
      <c r="AU46" s="14" t="s">
        <v>1120</v>
      </c>
      <c r="AV46" s="7">
        <v>34</v>
      </c>
      <c r="AW46" s="8">
        <v>0.94444444444444442</v>
      </c>
    </row>
    <row r="47" spans="1:49" ht="15.75" customHeight="1" x14ac:dyDescent="0.25">
      <c r="A47" s="5" t="s">
        <v>5</v>
      </c>
      <c r="B47" s="6" t="s">
        <v>1069</v>
      </c>
      <c r="C47" s="6" t="s">
        <v>1103</v>
      </c>
      <c r="D47" s="6" t="s">
        <v>1097</v>
      </c>
      <c r="E47" s="5" t="s">
        <v>349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0</v>
      </c>
      <c r="O47" s="7">
        <v>1</v>
      </c>
      <c r="P47" s="7">
        <v>1</v>
      </c>
      <c r="Q47" s="7">
        <v>1</v>
      </c>
      <c r="R47" s="7">
        <v>0</v>
      </c>
      <c r="S47" s="7">
        <v>1</v>
      </c>
      <c r="T47" s="7">
        <v>0</v>
      </c>
      <c r="U47" s="7">
        <v>1</v>
      </c>
      <c r="V47" s="7">
        <v>0</v>
      </c>
      <c r="W47" s="7">
        <v>1</v>
      </c>
      <c r="X47" s="7">
        <v>14</v>
      </c>
      <c r="Y47" s="8">
        <v>0.77777777777777768</v>
      </c>
      <c r="Z47" s="14" t="s">
        <v>1120</v>
      </c>
      <c r="AA47" s="7">
        <v>0</v>
      </c>
      <c r="AB47" s="7">
        <v>1</v>
      </c>
      <c r="AC47" s="7">
        <v>0</v>
      </c>
      <c r="AD47" s="7">
        <v>0</v>
      </c>
      <c r="AE47" s="7">
        <v>0</v>
      </c>
      <c r="AF47" s="7">
        <v>1</v>
      </c>
      <c r="AG47" s="7">
        <v>1</v>
      </c>
      <c r="AH47" s="7">
        <v>0</v>
      </c>
      <c r="AI47" s="7">
        <v>1</v>
      </c>
      <c r="AJ47" s="7">
        <v>1</v>
      </c>
      <c r="AK47" s="7">
        <v>1</v>
      </c>
      <c r="AL47" s="7">
        <v>1</v>
      </c>
      <c r="AM47" s="7">
        <v>0</v>
      </c>
      <c r="AN47" s="7">
        <v>1</v>
      </c>
      <c r="AO47" s="7">
        <v>1</v>
      </c>
      <c r="AP47" s="7">
        <v>0</v>
      </c>
      <c r="AQ47" s="7">
        <v>1</v>
      </c>
      <c r="AR47" s="7">
        <v>1</v>
      </c>
      <c r="AS47" s="7">
        <v>11</v>
      </c>
      <c r="AT47" s="8">
        <v>0.61111111111111116</v>
      </c>
      <c r="AU47" s="14" t="s">
        <v>1119</v>
      </c>
      <c r="AV47" s="7">
        <v>25</v>
      </c>
      <c r="AW47" s="8">
        <v>0.69444444444444442</v>
      </c>
    </row>
    <row r="48" spans="1:49" ht="15.75" customHeight="1" x14ac:dyDescent="0.25">
      <c r="A48" s="5" t="s">
        <v>5</v>
      </c>
      <c r="B48" s="6" t="s">
        <v>1069</v>
      </c>
      <c r="C48" s="6" t="s">
        <v>1103</v>
      </c>
      <c r="D48" s="6" t="s">
        <v>1097</v>
      </c>
      <c r="E48" s="5" t="s">
        <v>350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0</v>
      </c>
      <c r="U48" s="7">
        <v>1</v>
      </c>
      <c r="V48" s="7">
        <v>1</v>
      </c>
      <c r="W48" s="7">
        <v>1</v>
      </c>
      <c r="X48" s="7">
        <v>17</v>
      </c>
      <c r="Y48" s="8">
        <v>0.94444444444444442</v>
      </c>
      <c r="Z48" s="14" t="s">
        <v>1120</v>
      </c>
      <c r="AA48" s="7">
        <v>1</v>
      </c>
      <c r="AB48" s="7">
        <v>1</v>
      </c>
      <c r="AC48" s="7">
        <v>1</v>
      </c>
      <c r="AD48" s="7">
        <v>0</v>
      </c>
      <c r="AE48" s="7">
        <v>0</v>
      </c>
      <c r="AF48" s="7">
        <v>0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0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14</v>
      </c>
      <c r="AT48" s="8">
        <v>0.77777777777777768</v>
      </c>
      <c r="AU48" s="14" t="s">
        <v>1120</v>
      </c>
      <c r="AV48" s="7">
        <v>31</v>
      </c>
      <c r="AW48" s="8">
        <v>0.86111111111111116</v>
      </c>
    </row>
    <row r="49" spans="1:49" ht="15.75" customHeight="1" x14ac:dyDescent="0.25">
      <c r="A49" s="5" t="s">
        <v>5</v>
      </c>
      <c r="B49" s="6" t="s">
        <v>1069</v>
      </c>
      <c r="C49" s="6" t="s">
        <v>1103</v>
      </c>
      <c r="D49" s="6" t="s">
        <v>1097</v>
      </c>
      <c r="E49" s="5" t="s">
        <v>351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18</v>
      </c>
      <c r="Y49" s="8">
        <v>1</v>
      </c>
      <c r="Z49" s="14" t="s">
        <v>1120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0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17</v>
      </c>
      <c r="AT49" s="8">
        <v>0.94444444444444442</v>
      </c>
      <c r="AU49" s="14" t="s">
        <v>1120</v>
      </c>
      <c r="AV49" s="7">
        <v>35</v>
      </c>
      <c r="AW49" s="8">
        <v>0.97222222222222232</v>
      </c>
    </row>
    <row r="50" spans="1:49" ht="15.75" customHeight="1" x14ac:dyDescent="0.25">
      <c r="A50" s="5" t="s">
        <v>5</v>
      </c>
      <c r="B50" s="6" t="s">
        <v>1069</v>
      </c>
      <c r="C50" s="6" t="s">
        <v>1103</v>
      </c>
      <c r="D50" s="6" t="s">
        <v>1097</v>
      </c>
      <c r="E50" s="5" t="s">
        <v>352</v>
      </c>
      <c r="F50" s="7">
        <v>1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1</v>
      </c>
      <c r="N50" s="7">
        <v>0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17</v>
      </c>
      <c r="Y50" s="8">
        <v>0.94444444444444442</v>
      </c>
      <c r="Z50" s="14" t="s">
        <v>1120</v>
      </c>
      <c r="AA50" s="7">
        <v>0</v>
      </c>
      <c r="AB50" s="7">
        <v>1</v>
      </c>
      <c r="AC50" s="7">
        <v>1</v>
      </c>
      <c r="AD50" s="7">
        <v>1</v>
      </c>
      <c r="AE50" s="7">
        <v>0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0</v>
      </c>
      <c r="AS50" s="7">
        <v>15</v>
      </c>
      <c r="AT50" s="8">
        <v>0.83333333333333326</v>
      </c>
      <c r="AU50" s="14" t="s">
        <v>1120</v>
      </c>
      <c r="AV50" s="7">
        <v>32</v>
      </c>
      <c r="AW50" s="8">
        <v>0.88888888888888884</v>
      </c>
    </row>
    <row r="51" spans="1:49" ht="15.75" customHeight="1" x14ac:dyDescent="0.25">
      <c r="A51" s="5" t="s">
        <v>5</v>
      </c>
      <c r="B51" s="6" t="s">
        <v>1069</v>
      </c>
      <c r="C51" s="6" t="s">
        <v>1096</v>
      </c>
      <c r="D51" s="6" t="s">
        <v>1097</v>
      </c>
      <c r="E51" s="5" t="s">
        <v>353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18</v>
      </c>
      <c r="Y51" s="8">
        <v>1</v>
      </c>
      <c r="Z51" s="14" t="s">
        <v>1120</v>
      </c>
      <c r="AA51" s="7">
        <v>1</v>
      </c>
      <c r="AB51" s="7">
        <v>1</v>
      </c>
      <c r="AC51" s="7">
        <v>1</v>
      </c>
      <c r="AD51" s="7">
        <v>1</v>
      </c>
      <c r="AE51" s="7">
        <v>0</v>
      </c>
      <c r="AF51" s="7">
        <v>0</v>
      </c>
      <c r="AG51" s="7">
        <v>0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0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14</v>
      </c>
      <c r="AT51" s="8">
        <v>0.77777777777777768</v>
      </c>
      <c r="AU51" s="14" t="s">
        <v>1120</v>
      </c>
      <c r="AV51" s="7">
        <v>32</v>
      </c>
      <c r="AW51" s="8">
        <v>0.88888888888888884</v>
      </c>
    </row>
    <row r="52" spans="1:49" ht="15.75" customHeight="1" x14ac:dyDescent="0.25">
      <c r="A52" s="5" t="s">
        <v>5</v>
      </c>
      <c r="B52" s="6" t="s">
        <v>1069</v>
      </c>
      <c r="C52" s="6" t="s">
        <v>1096</v>
      </c>
      <c r="D52" s="6" t="s">
        <v>1097</v>
      </c>
      <c r="E52" s="5" t="s">
        <v>354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18</v>
      </c>
      <c r="Y52" s="8">
        <v>1</v>
      </c>
      <c r="Z52" s="14" t="s">
        <v>1120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0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17</v>
      </c>
      <c r="AT52" s="8">
        <v>0.94444444444444442</v>
      </c>
      <c r="AU52" s="14" t="s">
        <v>1120</v>
      </c>
      <c r="AV52" s="7">
        <v>35</v>
      </c>
      <c r="AW52" s="8">
        <v>0.97222222222222232</v>
      </c>
    </row>
    <row r="53" spans="1:49" ht="15.75" customHeight="1" x14ac:dyDescent="0.25">
      <c r="A53" s="5" t="s">
        <v>6</v>
      </c>
      <c r="B53" s="6" t="s">
        <v>1069</v>
      </c>
      <c r="C53" s="6" t="s">
        <v>1103</v>
      </c>
      <c r="D53" s="6" t="s">
        <v>1097</v>
      </c>
      <c r="E53" s="5" t="s">
        <v>355</v>
      </c>
      <c r="F53" s="7">
        <v>1</v>
      </c>
      <c r="G53" s="7">
        <v>1</v>
      </c>
      <c r="H53" s="7">
        <v>1</v>
      </c>
      <c r="I53" s="7">
        <v>1</v>
      </c>
      <c r="J53" s="7">
        <v>0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0</v>
      </c>
      <c r="Q53" s="7">
        <v>1</v>
      </c>
      <c r="R53" s="7">
        <v>0</v>
      </c>
      <c r="S53" s="7">
        <v>1</v>
      </c>
      <c r="T53" s="7">
        <v>0</v>
      </c>
      <c r="U53" s="7">
        <v>1</v>
      </c>
      <c r="V53" s="7">
        <v>0</v>
      </c>
      <c r="W53" s="7">
        <v>1</v>
      </c>
      <c r="X53" s="7">
        <v>13</v>
      </c>
      <c r="Y53" s="8">
        <v>0.72222222222222232</v>
      </c>
      <c r="Z53" s="14" t="s">
        <v>1120</v>
      </c>
      <c r="AA53" s="7">
        <v>1</v>
      </c>
      <c r="AB53" s="7">
        <v>1</v>
      </c>
      <c r="AC53" s="7">
        <v>0</v>
      </c>
      <c r="AD53" s="7">
        <v>1</v>
      </c>
      <c r="AE53" s="7">
        <v>0</v>
      </c>
      <c r="AF53" s="7">
        <v>0</v>
      </c>
      <c r="AG53" s="7">
        <v>0</v>
      </c>
      <c r="AH53" s="7">
        <v>0</v>
      </c>
      <c r="AI53" s="7">
        <v>1</v>
      </c>
      <c r="AJ53" s="7">
        <v>1</v>
      </c>
      <c r="AK53" s="7">
        <v>1</v>
      </c>
      <c r="AL53" s="7">
        <v>1</v>
      </c>
      <c r="AM53" s="7">
        <v>0</v>
      </c>
      <c r="AN53" s="7">
        <v>0</v>
      </c>
      <c r="AO53" s="7">
        <v>0</v>
      </c>
      <c r="AP53" s="7">
        <v>0</v>
      </c>
      <c r="AQ53" s="7">
        <v>1</v>
      </c>
      <c r="AR53" s="7">
        <v>1</v>
      </c>
      <c r="AS53" s="7">
        <v>9</v>
      </c>
      <c r="AT53" s="8">
        <v>0.5</v>
      </c>
      <c r="AU53" s="14" t="s">
        <v>1119</v>
      </c>
      <c r="AV53" s="7">
        <v>22</v>
      </c>
      <c r="AW53" s="8">
        <v>0.61111111111111116</v>
      </c>
    </row>
    <row r="54" spans="1:49" ht="15.75" customHeight="1" x14ac:dyDescent="0.25">
      <c r="A54" s="5" t="s">
        <v>6</v>
      </c>
      <c r="B54" s="6" t="s">
        <v>1069</v>
      </c>
      <c r="C54" s="6" t="s">
        <v>1096</v>
      </c>
      <c r="D54" s="6" t="s">
        <v>1097</v>
      </c>
      <c r="E54" s="5" t="s">
        <v>356</v>
      </c>
      <c r="F54" s="7">
        <v>1</v>
      </c>
      <c r="G54" s="7">
        <v>1</v>
      </c>
      <c r="H54" s="7">
        <v>1</v>
      </c>
      <c r="I54" s="7">
        <v>1</v>
      </c>
      <c r="J54" s="7">
        <v>0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0</v>
      </c>
      <c r="S54" s="7">
        <v>0</v>
      </c>
      <c r="T54" s="7">
        <v>0</v>
      </c>
      <c r="U54" s="7">
        <v>1</v>
      </c>
      <c r="V54" s="7">
        <v>0</v>
      </c>
      <c r="W54" s="7">
        <v>1</v>
      </c>
      <c r="X54" s="7">
        <v>13</v>
      </c>
      <c r="Y54" s="8">
        <v>0.72222222222222232</v>
      </c>
      <c r="Z54" s="14" t="s">
        <v>1120</v>
      </c>
      <c r="AA54" s="7">
        <v>1</v>
      </c>
      <c r="AB54" s="7">
        <v>1</v>
      </c>
      <c r="AC54" s="7">
        <v>1</v>
      </c>
      <c r="AD54" s="7">
        <v>0</v>
      </c>
      <c r="AE54" s="7">
        <v>1</v>
      </c>
      <c r="AF54" s="7">
        <v>0</v>
      </c>
      <c r="AG54" s="7">
        <v>1</v>
      </c>
      <c r="AH54" s="7">
        <v>1</v>
      </c>
      <c r="AI54" s="7">
        <v>0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0</v>
      </c>
      <c r="AQ54" s="7">
        <v>1</v>
      </c>
      <c r="AR54" s="7">
        <v>1</v>
      </c>
      <c r="AS54" s="7">
        <v>14</v>
      </c>
      <c r="AT54" s="8">
        <v>0.77777777777777768</v>
      </c>
      <c r="AU54" s="14" t="s">
        <v>1120</v>
      </c>
      <c r="AV54" s="7">
        <v>27</v>
      </c>
      <c r="AW54" s="8">
        <v>0.75</v>
      </c>
    </row>
    <row r="55" spans="1:49" ht="15.75" customHeight="1" x14ac:dyDescent="0.25">
      <c r="A55" s="5" t="s">
        <v>6</v>
      </c>
      <c r="B55" s="6" t="s">
        <v>1069</v>
      </c>
      <c r="C55" s="6" t="s">
        <v>1096</v>
      </c>
      <c r="D55" s="6" t="s">
        <v>1097</v>
      </c>
      <c r="E55" s="5" t="s">
        <v>357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0</v>
      </c>
      <c r="O55" s="7">
        <v>1</v>
      </c>
      <c r="P55" s="7">
        <v>1</v>
      </c>
      <c r="Q55" s="7">
        <v>1</v>
      </c>
      <c r="R55" s="7">
        <v>1</v>
      </c>
      <c r="S55" s="7">
        <v>0</v>
      </c>
      <c r="T55" s="7">
        <v>1</v>
      </c>
      <c r="U55" s="7">
        <v>1</v>
      </c>
      <c r="V55" s="7">
        <v>1</v>
      </c>
      <c r="W55" s="7">
        <v>1</v>
      </c>
      <c r="X55" s="7">
        <v>16</v>
      </c>
      <c r="Y55" s="8">
        <v>0.88888888888888884</v>
      </c>
      <c r="Z55" s="14" t="s">
        <v>1120</v>
      </c>
      <c r="AA55" s="7">
        <v>1</v>
      </c>
      <c r="AB55" s="7">
        <v>1</v>
      </c>
      <c r="AC55" s="7">
        <v>0</v>
      </c>
      <c r="AD55" s="7">
        <v>1</v>
      </c>
      <c r="AE55" s="7">
        <v>1</v>
      </c>
      <c r="AF55" s="7">
        <v>0</v>
      </c>
      <c r="AG55" s="7">
        <v>0</v>
      </c>
      <c r="AH55" s="7">
        <v>0</v>
      </c>
      <c r="AI55" s="7">
        <v>0</v>
      </c>
      <c r="AJ55" s="7">
        <v>1</v>
      </c>
      <c r="AK55" s="7">
        <v>1</v>
      </c>
      <c r="AL55" s="7">
        <v>1</v>
      </c>
      <c r="AM55" s="7">
        <v>0</v>
      </c>
      <c r="AN55" s="7">
        <v>0</v>
      </c>
      <c r="AO55" s="7">
        <v>1</v>
      </c>
      <c r="AP55" s="7">
        <v>0</v>
      </c>
      <c r="AQ55" s="7">
        <v>1</v>
      </c>
      <c r="AR55" s="7">
        <v>1</v>
      </c>
      <c r="AS55" s="7">
        <v>10</v>
      </c>
      <c r="AT55" s="8">
        <v>0.55555555555555558</v>
      </c>
      <c r="AU55" s="14" t="s">
        <v>1119</v>
      </c>
      <c r="AV55" s="7">
        <v>26</v>
      </c>
      <c r="AW55" s="8">
        <v>0.72222222222222232</v>
      </c>
    </row>
    <row r="56" spans="1:49" ht="15.75" customHeight="1" x14ac:dyDescent="0.25">
      <c r="A56" s="5" t="s">
        <v>6</v>
      </c>
      <c r="B56" s="6" t="s">
        <v>1069</v>
      </c>
      <c r="C56" s="6" t="s">
        <v>1103</v>
      </c>
      <c r="D56" s="6" t="s">
        <v>1097</v>
      </c>
      <c r="E56" s="5" t="s">
        <v>358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18</v>
      </c>
      <c r="Y56" s="8">
        <v>1</v>
      </c>
      <c r="Z56" s="14" t="s">
        <v>1120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18</v>
      </c>
      <c r="AT56" s="8">
        <v>1</v>
      </c>
      <c r="AU56" s="14" t="s">
        <v>1120</v>
      </c>
      <c r="AV56" s="7">
        <v>36</v>
      </c>
      <c r="AW56" s="8">
        <v>1</v>
      </c>
    </row>
    <row r="57" spans="1:49" ht="15.75" customHeight="1" x14ac:dyDescent="0.25">
      <c r="A57" s="5" t="s">
        <v>6</v>
      </c>
      <c r="B57" s="6" t="s">
        <v>1069</v>
      </c>
      <c r="C57" s="6" t="s">
        <v>1096</v>
      </c>
      <c r="D57" s="6" t="s">
        <v>1097</v>
      </c>
      <c r="E57" s="5" t="s">
        <v>359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18</v>
      </c>
      <c r="Y57" s="8">
        <v>1</v>
      </c>
      <c r="Z57" s="14" t="s">
        <v>1120</v>
      </c>
      <c r="AA57" s="7">
        <v>1</v>
      </c>
      <c r="AB57" s="7">
        <v>1</v>
      </c>
      <c r="AC57" s="7">
        <v>0</v>
      </c>
      <c r="AD57" s="7">
        <v>1</v>
      </c>
      <c r="AE57" s="7">
        <v>1</v>
      </c>
      <c r="AF57" s="7">
        <v>0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0</v>
      </c>
      <c r="AN57" s="7">
        <v>1</v>
      </c>
      <c r="AO57" s="7">
        <v>1</v>
      </c>
      <c r="AP57" s="7">
        <v>1</v>
      </c>
      <c r="AQ57" s="7">
        <v>0</v>
      </c>
      <c r="AR57" s="7">
        <v>1</v>
      </c>
      <c r="AS57" s="7">
        <v>14</v>
      </c>
      <c r="AT57" s="8">
        <v>0.77777777777777768</v>
      </c>
      <c r="AU57" s="14" t="s">
        <v>1120</v>
      </c>
      <c r="AV57" s="7">
        <v>32</v>
      </c>
      <c r="AW57" s="8">
        <v>0.88888888888888884</v>
      </c>
    </row>
    <row r="58" spans="1:49" ht="15.75" customHeight="1" x14ac:dyDescent="0.25">
      <c r="A58" s="5" t="s">
        <v>6</v>
      </c>
      <c r="B58" s="6" t="s">
        <v>1069</v>
      </c>
      <c r="C58" s="6" t="s">
        <v>1103</v>
      </c>
      <c r="D58" s="6" t="s">
        <v>1097</v>
      </c>
      <c r="E58" s="5" t="s">
        <v>360</v>
      </c>
      <c r="F58" s="7">
        <v>1</v>
      </c>
      <c r="G58" s="7">
        <v>1</v>
      </c>
      <c r="H58" s="7">
        <v>0</v>
      </c>
      <c r="I58" s="7">
        <v>1</v>
      </c>
      <c r="J58" s="7">
        <v>1</v>
      </c>
      <c r="K58" s="7">
        <v>1</v>
      </c>
      <c r="L58" s="7">
        <v>1</v>
      </c>
      <c r="M58" s="7">
        <v>0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16</v>
      </c>
      <c r="Y58" s="8">
        <v>0.88888888888888884</v>
      </c>
      <c r="Z58" s="14" t="s">
        <v>1120</v>
      </c>
      <c r="AA58" s="7">
        <v>1</v>
      </c>
      <c r="AB58" s="7">
        <v>0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0</v>
      </c>
      <c r="AN58" s="7">
        <v>0</v>
      </c>
      <c r="AO58" s="7">
        <v>0</v>
      </c>
      <c r="AP58" s="7">
        <v>1</v>
      </c>
      <c r="AQ58" s="7">
        <v>1</v>
      </c>
      <c r="AR58" s="7">
        <v>1</v>
      </c>
      <c r="AS58" s="7">
        <v>14</v>
      </c>
      <c r="AT58" s="8">
        <v>0.77777777777777768</v>
      </c>
      <c r="AU58" s="14" t="s">
        <v>1120</v>
      </c>
      <c r="AV58" s="7">
        <v>30</v>
      </c>
      <c r="AW58" s="8">
        <v>0.83333333333333326</v>
      </c>
    </row>
    <row r="59" spans="1:49" ht="15.75" customHeight="1" x14ac:dyDescent="0.25">
      <c r="A59" s="5" t="s">
        <v>6</v>
      </c>
      <c r="B59" s="6" t="s">
        <v>1069</v>
      </c>
      <c r="C59" s="6" t="s">
        <v>1096</v>
      </c>
      <c r="D59" s="6" t="s">
        <v>1097</v>
      </c>
      <c r="E59" s="5" t="s">
        <v>361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0</v>
      </c>
      <c r="O59" s="7">
        <v>1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1</v>
      </c>
      <c r="W59" s="7">
        <v>1</v>
      </c>
      <c r="X59" s="7">
        <v>15</v>
      </c>
      <c r="Y59" s="8">
        <v>0.83333333333333326</v>
      </c>
      <c r="Z59" s="14" t="s">
        <v>1120</v>
      </c>
      <c r="AA59" s="7">
        <v>1</v>
      </c>
      <c r="AB59" s="7">
        <v>1</v>
      </c>
      <c r="AC59" s="7">
        <v>1</v>
      </c>
      <c r="AD59" s="7">
        <v>0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0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16</v>
      </c>
      <c r="AT59" s="8">
        <v>0.88888888888888884</v>
      </c>
      <c r="AU59" s="14" t="s">
        <v>1120</v>
      </c>
      <c r="AV59" s="7">
        <v>31</v>
      </c>
      <c r="AW59" s="8">
        <v>0.86111111111111116</v>
      </c>
    </row>
    <row r="60" spans="1:49" ht="15.75" customHeight="1" x14ac:dyDescent="0.25">
      <c r="A60" s="5" t="s">
        <v>6</v>
      </c>
      <c r="B60" s="6" t="s">
        <v>1069</v>
      </c>
      <c r="C60" s="7" t="s">
        <v>1117</v>
      </c>
      <c r="D60" s="6" t="s">
        <v>1097</v>
      </c>
      <c r="E60" s="5" t="s">
        <v>362</v>
      </c>
      <c r="F60" s="7">
        <v>0</v>
      </c>
      <c r="G60" s="7">
        <v>0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0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7">
        <v>0</v>
      </c>
      <c r="U60" s="7">
        <v>1</v>
      </c>
      <c r="V60" s="7">
        <v>1</v>
      </c>
      <c r="W60" s="7">
        <v>1</v>
      </c>
      <c r="X60" s="7">
        <v>13</v>
      </c>
      <c r="Y60" s="8">
        <v>0.72222222222222232</v>
      </c>
      <c r="Z60" s="14" t="s">
        <v>1120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0</v>
      </c>
      <c r="AG60" s="7">
        <v>0</v>
      </c>
      <c r="AH60" s="7">
        <v>1</v>
      </c>
      <c r="AI60" s="7">
        <v>0</v>
      </c>
      <c r="AJ60" s="7">
        <v>0</v>
      </c>
      <c r="AK60" s="7">
        <v>1</v>
      </c>
      <c r="AL60" s="7">
        <v>0</v>
      </c>
      <c r="AM60" s="7">
        <v>0</v>
      </c>
      <c r="AN60" s="7">
        <v>0</v>
      </c>
      <c r="AO60" s="7">
        <v>1</v>
      </c>
      <c r="AP60" s="7">
        <v>1</v>
      </c>
      <c r="AQ60" s="7">
        <v>1</v>
      </c>
      <c r="AR60" s="7">
        <v>1</v>
      </c>
      <c r="AS60" s="7">
        <v>11</v>
      </c>
      <c r="AT60" s="8">
        <v>0.61111111111111116</v>
      </c>
      <c r="AU60" s="14" t="s">
        <v>1119</v>
      </c>
      <c r="AV60" s="7">
        <v>24</v>
      </c>
      <c r="AW60" s="8">
        <v>0.66666666666666674</v>
      </c>
    </row>
    <row r="61" spans="1:49" ht="15.75" customHeight="1" x14ac:dyDescent="0.25">
      <c r="A61" s="5" t="s">
        <v>6</v>
      </c>
      <c r="B61" s="6" t="s">
        <v>1069</v>
      </c>
      <c r="C61" s="6" t="s">
        <v>1103</v>
      </c>
      <c r="D61" s="6" t="s">
        <v>1097</v>
      </c>
      <c r="E61" s="5" t="s">
        <v>363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18</v>
      </c>
      <c r="Y61" s="8">
        <v>1</v>
      </c>
      <c r="Z61" s="14" t="s">
        <v>1120</v>
      </c>
      <c r="AA61" s="7">
        <v>1</v>
      </c>
      <c r="AB61" s="7">
        <v>1</v>
      </c>
      <c r="AC61" s="7">
        <v>0</v>
      </c>
      <c r="AD61" s="7">
        <v>1</v>
      </c>
      <c r="AE61" s="7">
        <v>1</v>
      </c>
      <c r="AF61" s="7">
        <v>0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0</v>
      </c>
      <c r="AN61" s="7">
        <v>1</v>
      </c>
      <c r="AO61" s="7">
        <v>0</v>
      </c>
      <c r="AP61" s="7">
        <v>1</v>
      </c>
      <c r="AQ61" s="7">
        <v>1</v>
      </c>
      <c r="AR61" s="7">
        <v>1</v>
      </c>
      <c r="AS61" s="7">
        <v>14</v>
      </c>
      <c r="AT61" s="8">
        <v>0.77777777777777768</v>
      </c>
      <c r="AU61" s="14" t="s">
        <v>1120</v>
      </c>
      <c r="AV61" s="7">
        <v>32</v>
      </c>
      <c r="AW61" s="8">
        <v>0.88888888888888884</v>
      </c>
    </row>
    <row r="62" spans="1:49" ht="15.75" customHeight="1" x14ac:dyDescent="0.25">
      <c r="A62" s="5" t="s">
        <v>6</v>
      </c>
      <c r="B62" s="6" t="s">
        <v>1069</v>
      </c>
      <c r="C62" s="6" t="s">
        <v>1096</v>
      </c>
      <c r="D62" s="6" t="s">
        <v>1097</v>
      </c>
      <c r="E62" s="5" t="s">
        <v>364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18</v>
      </c>
      <c r="Y62" s="8">
        <v>1</v>
      </c>
      <c r="Z62" s="14" t="s">
        <v>1120</v>
      </c>
      <c r="AA62" s="7">
        <v>1</v>
      </c>
      <c r="AB62" s="7">
        <v>1</v>
      </c>
      <c r="AC62" s="7">
        <v>1</v>
      </c>
      <c r="AD62" s="7">
        <v>1</v>
      </c>
      <c r="AE62" s="7">
        <v>0</v>
      </c>
      <c r="AF62" s="7">
        <v>0</v>
      </c>
      <c r="AG62" s="7">
        <v>1</v>
      </c>
      <c r="AH62" s="7">
        <v>1</v>
      </c>
      <c r="AI62" s="7">
        <v>0</v>
      </c>
      <c r="AJ62" s="7">
        <v>1</v>
      </c>
      <c r="AK62" s="7">
        <v>1</v>
      </c>
      <c r="AL62" s="7">
        <v>1</v>
      </c>
      <c r="AM62" s="7">
        <v>0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14</v>
      </c>
      <c r="AT62" s="8">
        <v>0.77777777777777768</v>
      </c>
      <c r="AU62" s="14" t="s">
        <v>1120</v>
      </c>
      <c r="AV62" s="7">
        <v>32</v>
      </c>
      <c r="AW62" s="8">
        <v>0.88888888888888884</v>
      </c>
    </row>
    <row r="63" spans="1:49" ht="15.75" customHeight="1" x14ac:dyDescent="0.25">
      <c r="A63" s="5" t="s">
        <v>6</v>
      </c>
      <c r="B63" s="6" t="s">
        <v>1069</v>
      </c>
      <c r="C63" s="6" t="s">
        <v>1096</v>
      </c>
      <c r="D63" s="6" t="s">
        <v>1097</v>
      </c>
      <c r="E63" s="5" t="s">
        <v>365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  <c r="N63" s="7">
        <v>0</v>
      </c>
      <c r="O63" s="7">
        <v>1</v>
      </c>
      <c r="P63" s="7">
        <v>1</v>
      </c>
      <c r="Q63" s="7">
        <v>0</v>
      </c>
      <c r="R63" s="7">
        <v>1</v>
      </c>
      <c r="S63" s="7">
        <v>1</v>
      </c>
      <c r="T63" s="7">
        <v>1</v>
      </c>
      <c r="U63" s="7">
        <v>1</v>
      </c>
      <c r="V63" s="7">
        <v>0</v>
      </c>
      <c r="W63" s="7">
        <v>1</v>
      </c>
      <c r="X63" s="7">
        <v>14</v>
      </c>
      <c r="Y63" s="8">
        <v>0.77777777777777768</v>
      </c>
      <c r="Z63" s="14" t="s">
        <v>1120</v>
      </c>
      <c r="AA63" s="7">
        <v>1</v>
      </c>
      <c r="AB63" s="7">
        <v>1</v>
      </c>
      <c r="AC63" s="7">
        <v>1</v>
      </c>
      <c r="AD63" s="7">
        <v>0</v>
      </c>
      <c r="AE63" s="7">
        <v>0</v>
      </c>
      <c r="AF63" s="7">
        <v>0</v>
      </c>
      <c r="AG63" s="7">
        <v>1</v>
      </c>
      <c r="AH63" s="7">
        <v>1</v>
      </c>
      <c r="AI63" s="7">
        <v>0</v>
      </c>
      <c r="AJ63" s="7">
        <v>1</v>
      </c>
      <c r="AK63" s="7">
        <v>1</v>
      </c>
      <c r="AL63" s="7">
        <v>0</v>
      </c>
      <c r="AM63" s="7">
        <v>0</v>
      </c>
      <c r="AN63" s="7">
        <v>1</v>
      </c>
      <c r="AO63" s="7">
        <v>0</v>
      </c>
      <c r="AP63" s="7">
        <v>1</v>
      </c>
      <c r="AQ63" s="7">
        <v>1</v>
      </c>
      <c r="AR63" s="7">
        <v>0</v>
      </c>
      <c r="AS63" s="7">
        <v>10</v>
      </c>
      <c r="AT63" s="8">
        <v>0.55555555555555558</v>
      </c>
      <c r="AU63" s="14" t="s">
        <v>1119</v>
      </c>
      <c r="AV63" s="7">
        <v>24</v>
      </c>
      <c r="AW63" s="8">
        <v>0.66666666666666674</v>
      </c>
    </row>
    <row r="64" spans="1:49" ht="15.75" customHeight="1" x14ac:dyDescent="0.25">
      <c r="A64" s="5" t="s">
        <v>6</v>
      </c>
      <c r="B64" s="6" t="s">
        <v>1069</v>
      </c>
      <c r="C64" s="6" t="s">
        <v>1103</v>
      </c>
      <c r="D64" s="6" t="s">
        <v>1097</v>
      </c>
      <c r="E64" s="5" t="s">
        <v>366</v>
      </c>
      <c r="F64" s="7">
        <v>1</v>
      </c>
      <c r="G64" s="7">
        <v>1</v>
      </c>
      <c r="H64" s="7">
        <v>0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16</v>
      </c>
      <c r="Y64" s="8">
        <v>0.88888888888888884</v>
      </c>
      <c r="Z64" s="14" t="s">
        <v>1120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0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0</v>
      </c>
      <c r="AN64" s="7">
        <v>1</v>
      </c>
      <c r="AO64" s="7">
        <v>0</v>
      </c>
      <c r="AP64" s="7">
        <v>1</v>
      </c>
      <c r="AQ64" s="7">
        <v>1</v>
      </c>
      <c r="AR64" s="7">
        <v>1</v>
      </c>
      <c r="AS64" s="7">
        <v>15</v>
      </c>
      <c r="AT64" s="8">
        <v>0.83333333333333326</v>
      </c>
      <c r="AU64" s="14" t="s">
        <v>1120</v>
      </c>
      <c r="AV64" s="7">
        <v>31</v>
      </c>
      <c r="AW64" s="8">
        <v>0.86111111111111116</v>
      </c>
    </row>
    <row r="65" spans="1:49" ht="15.75" customHeight="1" x14ac:dyDescent="0.25">
      <c r="A65" s="5" t="s">
        <v>6</v>
      </c>
      <c r="B65" s="6" t="s">
        <v>1069</v>
      </c>
      <c r="C65" s="6" t="s">
        <v>1103</v>
      </c>
      <c r="D65" s="6" t="s">
        <v>1097</v>
      </c>
      <c r="E65" s="5" t="s">
        <v>367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0</v>
      </c>
      <c r="N65" s="7">
        <v>0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16</v>
      </c>
      <c r="Y65" s="8">
        <v>0.88888888888888884</v>
      </c>
      <c r="Z65" s="14" t="s">
        <v>1120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0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17</v>
      </c>
      <c r="AT65" s="8">
        <v>0.94444444444444442</v>
      </c>
      <c r="AU65" s="14" t="s">
        <v>1120</v>
      </c>
      <c r="AV65" s="7">
        <v>33</v>
      </c>
      <c r="AW65" s="8">
        <v>0.91666666666666674</v>
      </c>
    </row>
    <row r="66" spans="1:49" ht="15.75" customHeight="1" x14ac:dyDescent="0.25">
      <c r="A66" s="5" t="s">
        <v>6</v>
      </c>
      <c r="B66" s="6" t="s">
        <v>1069</v>
      </c>
      <c r="C66" s="6" t="s">
        <v>1103</v>
      </c>
      <c r="D66" s="6" t="s">
        <v>1097</v>
      </c>
      <c r="E66" s="5" t="s">
        <v>368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0</v>
      </c>
      <c r="N66" s="7">
        <v>1</v>
      </c>
      <c r="O66" s="7">
        <v>1</v>
      </c>
      <c r="P66" s="7">
        <v>1</v>
      </c>
      <c r="Q66" s="7">
        <v>1</v>
      </c>
      <c r="R66" s="7">
        <v>0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16</v>
      </c>
      <c r="Y66" s="8">
        <v>0.88888888888888884</v>
      </c>
      <c r="Z66" s="14" t="s">
        <v>1120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0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0</v>
      </c>
      <c r="AM66" s="7">
        <v>0</v>
      </c>
      <c r="AN66" s="7">
        <v>0</v>
      </c>
      <c r="AO66" s="7">
        <v>1</v>
      </c>
      <c r="AP66" s="7">
        <v>1</v>
      </c>
      <c r="AQ66" s="7">
        <v>1</v>
      </c>
      <c r="AR66" s="7">
        <v>1</v>
      </c>
      <c r="AS66" s="7">
        <v>14</v>
      </c>
      <c r="AT66" s="8">
        <v>0.77777777777777768</v>
      </c>
      <c r="AU66" s="14" t="s">
        <v>1120</v>
      </c>
      <c r="AV66" s="7">
        <v>30</v>
      </c>
      <c r="AW66" s="8">
        <v>0.83333333333333326</v>
      </c>
    </row>
    <row r="67" spans="1:49" ht="15.75" customHeight="1" x14ac:dyDescent="0.25">
      <c r="A67" s="5" t="s">
        <v>6</v>
      </c>
      <c r="B67" s="6" t="s">
        <v>1069</v>
      </c>
      <c r="C67" s="6" t="s">
        <v>1103</v>
      </c>
      <c r="D67" s="6" t="s">
        <v>1097</v>
      </c>
      <c r="E67" s="5" t="s">
        <v>369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18</v>
      </c>
      <c r="Y67" s="8">
        <v>1</v>
      </c>
      <c r="Z67" s="14" t="s">
        <v>1120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0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0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16</v>
      </c>
      <c r="AT67" s="8">
        <v>0.88888888888888884</v>
      </c>
      <c r="AU67" s="14" t="s">
        <v>1120</v>
      </c>
      <c r="AV67" s="7">
        <v>34</v>
      </c>
      <c r="AW67" s="8">
        <v>0.94444444444444442</v>
      </c>
    </row>
    <row r="68" spans="1:49" ht="15.75" customHeight="1" x14ac:dyDescent="0.25">
      <c r="A68" s="5" t="s">
        <v>6</v>
      </c>
      <c r="B68" s="6" t="s">
        <v>1161</v>
      </c>
      <c r="C68" s="6" t="s">
        <v>1162</v>
      </c>
      <c r="D68" s="6" t="s">
        <v>1097</v>
      </c>
      <c r="E68" s="5" t="s">
        <v>527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18</v>
      </c>
      <c r="Y68" s="8">
        <v>1</v>
      </c>
      <c r="Z68" s="14" t="s">
        <v>1120</v>
      </c>
      <c r="AA68" s="7">
        <v>1</v>
      </c>
      <c r="AB68" s="7">
        <v>1</v>
      </c>
      <c r="AC68" s="7">
        <v>0</v>
      </c>
      <c r="AD68" s="7">
        <v>1</v>
      </c>
      <c r="AE68" s="7">
        <v>1</v>
      </c>
      <c r="AF68" s="7">
        <v>0</v>
      </c>
      <c r="AG68" s="7">
        <v>1</v>
      </c>
      <c r="AH68" s="7">
        <v>1</v>
      </c>
      <c r="AI68" s="7">
        <v>1</v>
      </c>
      <c r="AJ68" s="7">
        <v>1</v>
      </c>
      <c r="AK68" s="7">
        <v>0</v>
      </c>
      <c r="AL68" s="7">
        <v>0</v>
      </c>
      <c r="AM68" s="7">
        <v>0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13</v>
      </c>
      <c r="AT68" s="8">
        <v>0.72222222222222232</v>
      </c>
      <c r="AU68" s="14" t="s">
        <v>1120</v>
      </c>
      <c r="AV68" s="7">
        <v>31</v>
      </c>
      <c r="AW68" s="8">
        <v>0.86111111111111116</v>
      </c>
    </row>
    <row r="69" spans="1:49" ht="15.75" customHeight="1" x14ac:dyDescent="0.25">
      <c r="A69" s="5" t="s">
        <v>6</v>
      </c>
      <c r="B69" s="6" t="s">
        <v>1069</v>
      </c>
      <c r="C69" s="6" t="s">
        <v>1096</v>
      </c>
      <c r="D69" s="6" t="s">
        <v>1097</v>
      </c>
      <c r="E69" s="5" t="s">
        <v>370</v>
      </c>
      <c r="F69" s="7">
        <v>1</v>
      </c>
      <c r="G69" s="7">
        <v>1</v>
      </c>
      <c r="H69" s="7">
        <v>0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0</v>
      </c>
      <c r="O69" s="7">
        <v>1</v>
      </c>
      <c r="P69" s="7">
        <v>1</v>
      </c>
      <c r="Q69" s="7">
        <v>1</v>
      </c>
      <c r="R69" s="7">
        <v>0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15</v>
      </c>
      <c r="Y69" s="8">
        <v>0.83333333333333326</v>
      </c>
      <c r="Z69" s="14" t="s">
        <v>1120</v>
      </c>
      <c r="AA69" s="7">
        <v>1</v>
      </c>
      <c r="AB69" s="7">
        <v>1</v>
      </c>
      <c r="AC69" s="7">
        <v>1</v>
      </c>
      <c r="AD69" s="7">
        <v>0</v>
      </c>
      <c r="AE69" s="7">
        <v>1</v>
      </c>
      <c r="AF69" s="7">
        <v>1</v>
      </c>
      <c r="AG69" s="7">
        <v>0</v>
      </c>
      <c r="AH69" s="7">
        <v>1</v>
      </c>
      <c r="AI69" s="7">
        <v>0</v>
      </c>
      <c r="AJ69" s="7">
        <v>0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14</v>
      </c>
      <c r="AT69" s="8">
        <v>0.77777777777777768</v>
      </c>
      <c r="AU69" s="14" t="s">
        <v>1120</v>
      </c>
      <c r="AV69" s="7">
        <v>29</v>
      </c>
      <c r="AW69" s="8">
        <v>0.80555555555555558</v>
      </c>
    </row>
    <row r="70" spans="1:49" ht="15.75" customHeight="1" x14ac:dyDescent="0.25">
      <c r="A70" s="5" t="s">
        <v>6</v>
      </c>
      <c r="B70" s="6" t="s">
        <v>1069</v>
      </c>
      <c r="C70" s="6" t="s">
        <v>1104</v>
      </c>
      <c r="D70" s="6" t="s">
        <v>1097</v>
      </c>
      <c r="E70" s="5" t="s">
        <v>371</v>
      </c>
      <c r="F70" s="7">
        <v>0</v>
      </c>
      <c r="G70" s="7">
        <v>1</v>
      </c>
      <c r="H70" s="7">
        <v>0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15</v>
      </c>
      <c r="Y70" s="8">
        <v>0.83333333333333326</v>
      </c>
      <c r="Z70" s="14" t="s">
        <v>1120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0</v>
      </c>
      <c r="AG70" s="7">
        <v>0</v>
      </c>
      <c r="AH70" s="7">
        <v>1</v>
      </c>
      <c r="AI70" s="7">
        <v>1</v>
      </c>
      <c r="AJ70" s="7">
        <v>1</v>
      </c>
      <c r="AK70" s="7">
        <v>1</v>
      </c>
      <c r="AL70" s="7">
        <v>0</v>
      </c>
      <c r="AM70" s="7">
        <v>0</v>
      </c>
      <c r="AN70" s="7">
        <v>0</v>
      </c>
      <c r="AO70" s="7">
        <v>1</v>
      </c>
      <c r="AP70" s="7">
        <v>1</v>
      </c>
      <c r="AQ70" s="7">
        <v>1</v>
      </c>
      <c r="AR70" s="7">
        <v>1</v>
      </c>
      <c r="AS70" s="7">
        <v>13</v>
      </c>
      <c r="AT70" s="8">
        <v>0.72222222222222232</v>
      </c>
      <c r="AU70" s="14" t="s">
        <v>1120</v>
      </c>
      <c r="AV70" s="7">
        <v>28</v>
      </c>
      <c r="AW70" s="8">
        <v>0.77777777777777768</v>
      </c>
    </row>
    <row r="71" spans="1:49" ht="15.75" customHeight="1" x14ac:dyDescent="0.25">
      <c r="A71" s="5" t="s">
        <v>7</v>
      </c>
      <c r="B71" s="6" t="s">
        <v>1069</v>
      </c>
      <c r="C71" s="6" t="s">
        <v>1104</v>
      </c>
      <c r="D71" s="6" t="s">
        <v>1097</v>
      </c>
      <c r="E71" s="5" t="s">
        <v>372</v>
      </c>
      <c r="F71" s="7">
        <v>1</v>
      </c>
      <c r="G71" s="7">
        <v>1</v>
      </c>
      <c r="H71" s="7">
        <v>0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0</v>
      </c>
      <c r="W71" s="7">
        <v>1</v>
      </c>
      <c r="X71" s="7">
        <v>15</v>
      </c>
      <c r="Y71" s="8">
        <v>0.83333333333333326</v>
      </c>
      <c r="Z71" s="14" t="s">
        <v>1120</v>
      </c>
      <c r="AA71" s="7">
        <v>1</v>
      </c>
      <c r="AB71" s="7">
        <v>1</v>
      </c>
      <c r="AC71" s="7">
        <v>1</v>
      </c>
      <c r="AD71" s="7">
        <v>1</v>
      </c>
      <c r="AE71" s="7">
        <v>0</v>
      </c>
      <c r="AF71" s="7">
        <v>0</v>
      </c>
      <c r="AG71" s="7">
        <v>1</v>
      </c>
      <c r="AH71" s="7">
        <v>1</v>
      </c>
      <c r="AI71" s="7">
        <v>0</v>
      </c>
      <c r="AJ71" s="7">
        <v>1</v>
      </c>
      <c r="AK71" s="7">
        <v>0</v>
      </c>
      <c r="AL71" s="7">
        <v>0</v>
      </c>
      <c r="AM71" s="7">
        <v>0</v>
      </c>
      <c r="AN71" s="7">
        <v>0</v>
      </c>
      <c r="AO71" s="7">
        <v>1</v>
      </c>
      <c r="AP71" s="7">
        <v>0</v>
      </c>
      <c r="AQ71" s="7">
        <v>1</v>
      </c>
      <c r="AR71" s="7">
        <v>1</v>
      </c>
      <c r="AS71" s="7">
        <v>10</v>
      </c>
      <c r="AT71" s="8">
        <v>0.55555555555555558</v>
      </c>
      <c r="AU71" s="14" t="s">
        <v>1119</v>
      </c>
      <c r="AV71" s="7">
        <v>25</v>
      </c>
      <c r="AW71" s="8">
        <v>0.69444444444444442</v>
      </c>
    </row>
    <row r="72" spans="1:49" ht="15.75" customHeight="1" x14ac:dyDescent="0.25">
      <c r="A72" s="5" t="s">
        <v>7</v>
      </c>
      <c r="B72" s="6" t="s">
        <v>1069</v>
      </c>
      <c r="C72" s="6" t="s">
        <v>1096</v>
      </c>
      <c r="D72" s="6" t="s">
        <v>1097</v>
      </c>
      <c r="E72" s="5" t="s">
        <v>373</v>
      </c>
      <c r="F72" s="7">
        <v>1</v>
      </c>
      <c r="G72" s="7">
        <v>1</v>
      </c>
      <c r="H72" s="7">
        <v>1</v>
      </c>
      <c r="I72" s="7">
        <v>1</v>
      </c>
      <c r="J72" s="7">
        <v>0</v>
      </c>
      <c r="K72" s="7">
        <v>1</v>
      </c>
      <c r="L72" s="7">
        <v>0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16</v>
      </c>
      <c r="Y72" s="8">
        <v>0.88888888888888884</v>
      </c>
      <c r="Z72" s="14" t="s">
        <v>1120</v>
      </c>
      <c r="AA72" s="7">
        <v>1</v>
      </c>
      <c r="AB72" s="7">
        <v>1</v>
      </c>
      <c r="AC72" s="7">
        <v>1</v>
      </c>
      <c r="AD72" s="7">
        <v>0</v>
      </c>
      <c r="AE72" s="7">
        <v>0</v>
      </c>
      <c r="AF72" s="7">
        <v>1</v>
      </c>
      <c r="AG72" s="7">
        <v>1</v>
      </c>
      <c r="AH72" s="7">
        <v>1</v>
      </c>
      <c r="AI72" s="7">
        <v>0</v>
      </c>
      <c r="AJ72" s="7">
        <v>1</v>
      </c>
      <c r="AK72" s="7">
        <v>1</v>
      </c>
      <c r="AL72" s="7">
        <v>1</v>
      </c>
      <c r="AM72" s="7">
        <v>0</v>
      </c>
      <c r="AN72" s="7">
        <v>0</v>
      </c>
      <c r="AO72" s="7">
        <v>1</v>
      </c>
      <c r="AP72" s="7">
        <v>1</v>
      </c>
      <c r="AQ72" s="7">
        <v>1</v>
      </c>
      <c r="AR72" s="7">
        <v>1</v>
      </c>
      <c r="AS72" s="7">
        <v>13</v>
      </c>
      <c r="AT72" s="8">
        <v>0.72222222222222232</v>
      </c>
      <c r="AU72" s="14" t="s">
        <v>1120</v>
      </c>
      <c r="AV72" s="7">
        <v>29</v>
      </c>
      <c r="AW72" s="8">
        <v>0.80555555555555558</v>
      </c>
    </row>
    <row r="73" spans="1:49" ht="15.75" customHeight="1" x14ac:dyDescent="0.25">
      <c r="A73" s="5" t="s">
        <v>7</v>
      </c>
      <c r="B73" s="6" t="s">
        <v>1069</v>
      </c>
      <c r="C73" s="6" t="s">
        <v>1096</v>
      </c>
      <c r="D73" s="6" t="s">
        <v>1097</v>
      </c>
      <c r="E73" s="5" t="s">
        <v>374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18</v>
      </c>
      <c r="Y73" s="8">
        <v>1</v>
      </c>
      <c r="Z73" s="14" t="s">
        <v>1120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0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0</v>
      </c>
      <c r="AM73" s="7">
        <v>1</v>
      </c>
      <c r="AN73" s="7">
        <v>0</v>
      </c>
      <c r="AO73" s="7">
        <v>1</v>
      </c>
      <c r="AP73" s="7">
        <v>1</v>
      </c>
      <c r="AQ73" s="7">
        <v>1</v>
      </c>
      <c r="AR73" s="7">
        <v>1</v>
      </c>
      <c r="AS73" s="7">
        <v>15</v>
      </c>
      <c r="AT73" s="8">
        <v>0.83333333333333326</v>
      </c>
      <c r="AU73" s="14" t="s">
        <v>1120</v>
      </c>
      <c r="AV73" s="7">
        <v>33</v>
      </c>
      <c r="AW73" s="8">
        <v>0.91666666666666674</v>
      </c>
    </row>
    <row r="74" spans="1:49" ht="15.75" customHeight="1" x14ac:dyDescent="0.25">
      <c r="A74" s="5" t="s">
        <v>7</v>
      </c>
      <c r="B74" s="6" t="s">
        <v>1069</v>
      </c>
      <c r="C74" s="6" t="s">
        <v>1096</v>
      </c>
      <c r="D74" s="6" t="s">
        <v>1097</v>
      </c>
      <c r="E74" s="5" t="s">
        <v>375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18</v>
      </c>
      <c r="Y74" s="8">
        <v>1</v>
      </c>
      <c r="Z74" s="14" t="s">
        <v>1120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0</v>
      </c>
      <c r="AM74" s="7">
        <v>0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16</v>
      </c>
      <c r="AT74" s="8">
        <v>0.88888888888888884</v>
      </c>
      <c r="AU74" s="14" t="s">
        <v>1120</v>
      </c>
      <c r="AV74" s="7">
        <v>34</v>
      </c>
      <c r="AW74" s="8">
        <v>0.94444444444444442</v>
      </c>
    </row>
    <row r="75" spans="1:49" ht="15.75" customHeight="1" x14ac:dyDescent="0.25">
      <c r="A75" s="5" t="s">
        <v>7</v>
      </c>
      <c r="B75" s="6" t="s">
        <v>1069</v>
      </c>
      <c r="C75" s="6" t="s">
        <v>1103</v>
      </c>
      <c r="D75" s="6" t="s">
        <v>1097</v>
      </c>
      <c r="E75" s="5" t="s">
        <v>376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0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0</v>
      </c>
      <c r="U75" s="7">
        <v>1</v>
      </c>
      <c r="V75" s="7">
        <v>1</v>
      </c>
      <c r="W75" s="7">
        <v>1</v>
      </c>
      <c r="X75" s="7">
        <v>16</v>
      </c>
      <c r="Y75" s="8">
        <v>0.88888888888888884</v>
      </c>
      <c r="Z75" s="14" t="s">
        <v>1120</v>
      </c>
      <c r="AA75" s="7">
        <v>1</v>
      </c>
      <c r="AB75" s="7">
        <v>1</v>
      </c>
      <c r="AC75" s="7">
        <v>1</v>
      </c>
      <c r="AD75" s="7">
        <v>1</v>
      </c>
      <c r="AE75" s="7">
        <v>0</v>
      </c>
      <c r="AF75" s="7">
        <v>0</v>
      </c>
      <c r="AG75" s="7">
        <v>1</v>
      </c>
      <c r="AH75" s="7">
        <v>1</v>
      </c>
      <c r="AI75" s="7">
        <v>0</v>
      </c>
      <c r="AJ75" s="7">
        <v>1</v>
      </c>
      <c r="AK75" s="7">
        <v>1</v>
      </c>
      <c r="AL75" s="7">
        <v>1</v>
      </c>
      <c r="AM75" s="7">
        <v>0</v>
      </c>
      <c r="AN75" s="7">
        <v>0</v>
      </c>
      <c r="AO75" s="7">
        <v>1</v>
      </c>
      <c r="AP75" s="7">
        <v>1</v>
      </c>
      <c r="AQ75" s="7">
        <v>1</v>
      </c>
      <c r="AR75" s="7">
        <v>1</v>
      </c>
      <c r="AS75" s="7">
        <v>13</v>
      </c>
      <c r="AT75" s="8">
        <v>0.72222222222222232</v>
      </c>
      <c r="AU75" s="14" t="s">
        <v>1120</v>
      </c>
      <c r="AV75" s="7">
        <v>29</v>
      </c>
      <c r="AW75" s="8">
        <v>0.80555555555555558</v>
      </c>
    </row>
    <row r="76" spans="1:49" ht="15.75" customHeight="1" x14ac:dyDescent="0.25">
      <c r="A76" s="5" t="s">
        <v>7</v>
      </c>
      <c r="B76" s="6" t="s">
        <v>1069</v>
      </c>
      <c r="C76" s="6" t="s">
        <v>1096</v>
      </c>
      <c r="D76" s="6" t="s">
        <v>1097</v>
      </c>
      <c r="E76" s="5" t="s">
        <v>377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0</v>
      </c>
      <c r="L76" s="7">
        <v>1</v>
      </c>
      <c r="M76" s="7">
        <v>0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16</v>
      </c>
      <c r="Y76" s="8">
        <v>0.88888888888888884</v>
      </c>
      <c r="Z76" s="14" t="s">
        <v>1120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0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0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16</v>
      </c>
      <c r="AT76" s="8">
        <v>0.88888888888888884</v>
      </c>
      <c r="AU76" s="14" t="s">
        <v>1120</v>
      </c>
      <c r="AV76" s="7">
        <v>32</v>
      </c>
      <c r="AW76" s="8">
        <v>0.88888888888888884</v>
      </c>
    </row>
    <row r="77" spans="1:49" ht="15.75" customHeight="1" x14ac:dyDescent="0.25">
      <c r="A77" s="5" t="s">
        <v>7</v>
      </c>
      <c r="B77" s="6" t="s">
        <v>1069</v>
      </c>
      <c r="C77" s="6" t="s">
        <v>1162</v>
      </c>
      <c r="D77" s="6" t="s">
        <v>1097</v>
      </c>
      <c r="E77" s="5" t="s">
        <v>378</v>
      </c>
      <c r="F77" s="7">
        <v>1</v>
      </c>
      <c r="G77" s="7">
        <v>1</v>
      </c>
      <c r="H77" s="7">
        <v>1</v>
      </c>
      <c r="I77" s="7">
        <v>1</v>
      </c>
      <c r="J77" s="7">
        <v>0</v>
      </c>
      <c r="K77" s="7">
        <v>1</v>
      </c>
      <c r="L77" s="7">
        <v>0</v>
      </c>
      <c r="M77" s="7">
        <v>1</v>
      </c>
      <c r="N77" s="7">
        <v>0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15</v>
      </c>
      <c r="Y77" s="8">
        <v>0.83333333333333326</v>
      </c>
      <c r="Z77" s="14" t="s">
        <v>1120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0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0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16</v>
      </c>
      <c r="AT77" s="8">
        <v>0.88888888888888884</v>
      </c>
      <c r="AU77" s="14" t="s">
        <v>1120</v>
      </c>
      <c r="AV77" s="7">
        <v>31</v>
      </c>
      <c r="AW77" s="8">
        <v>0.86111111111111116</v>
      </c>
    </row>
    <row r="78" spans="1:49" ht="15.75" customHeight="1" x14ac:dyDescent="0.25">
      <c r="A78" s="5" t="s">
        <v>7</v>
      </c>
      <c r="B78" s="6" t="s">
        <v>1069</v>
      </c>
      <c r="C78" s="6" t="s">
        <v>1096</v>
      </c>
      <c r="D78" s="6" t="s">
        <v>1097</v>
      </c>
      <c r="E78" s="5" t="s">
        <v>379</v>
      </c>
      <c r="F78" s="7">
        <v>1</v>
      </c>
      <c r="G78" s="7">
        <v>1</v>
      </c>
      <c r="H78" s="7">
        <v>0</v>
      </c>
      <c r="I78" s="7">
        <v>1</v>
      </c>
      <c r="J78" s="7">
        <v>1</v>
      </c>
      <c r="K78" s="7">
        <v>1</v>
      </c>
      <c r="L78" s="7">
        <v>0</v>
      </c>
      <c r="M78" s="7">
        <v>0</v>
      </c>
      <c r="N78" s="7">
        <v>1</v>
      </c>
      <c r="O78" s="7">
        <v>1</v>
      </c>
      <c r="P78" s="7">
        <v>0</v>
      </c>
      <c r="Q78" s="7">
        <v>1</v>
      </c>
      <c r="R78" s="7">
        <v>0</v>
      </c>
      <c r="S78" s="7">
        <v>0</v>
      </c>
      <c r="T78" s="7">
        <v>0</v>
      </c>
      <c r="U78" s="7">
        <v>1</v>
      </c>
      <c r="V78" s="7">
        <v>1</v>
      </c>
      <c r="W78" s="7">
        <v>1</v>
      </c>
      <c r="X78" s="7">
        <v>11</v>
      </c>
      <c r="Y78" s="8">
        <v>0.61111111111111116</v>
      </c>
      <c r="Z78" s="14" t="s">
        <v>1119</v>
      </c>
      <c r="AA78" s="7">
        <v>0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0</v>
      </c>
      <c r="AI78" s="7">
        <v>0</v>
      </c>
      <c r="AJ78" s="7">
        <v>0</v>
      </c>
      <c r="AK78" s="7">
        <v>0</v>
      </c>
      <c r="AL78" s="7">
        <v>1</v>
      </c>
      <c r="AM78" s="7">
        <v>0</v>
      </c>
      <c r="AN78" s="7">
        <v>0</v>
      </c>
      <c r="AO78" s="7">
        <v>0</v>
      </c>
      <c r="AP78" s="7">
        <v>0</v>
      </c>
      <c r="AQ78" s="7">
        <v>1</v>
      </c>
      <c r="AR78" s="7">
        <v>1</v>
      </c>
      <c r="AS78" s="7">
        <v>9</v>
      </c>
      <c r="AT78" s="8">
        <v>0.5</v>
      </c>
      <c r="AU78" s="14" t="s">
        <v>1119</v>
      </c>
      <c r="AV78" s="7">
        <v>20</v>
      </c>
      <c r="AW78" s="8">
        <v>0.55555555555555558</v>
      </c>
    </row>
    <row r="79" spans="1:49" ht="15.75" customHeight="1" x14ac:dyDescent="0.25">
      <c r="A79" s="5" t="s">
        <v>7</v>
      </c>
      <c r="B79" s="6" t="s">
        <v>1069</v>
      </c>
      <c r="C79" s="6" t="s">
        <v>1103</v>
      </c>
      <c r="D79" s="6" t="s">
        <v>1097</v>
      </c>
      <c r="E79" s="5" t="s">
        <v>380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1</v>
      </c>
      <c r="P79" s="7">
        <v>1</v>
      </c>
      <c r="Q79" s="7">
        <v>0</v>
      </c>
      <c r="R79" s="7">
        <v>1</v>
      </c>
      <c r="S79" s="7">
        <v>0</v>
      </c>
      <c r="T79" s="7">
        <v>1</v>
      </c>
      <c r="U79" s="7">
        <v>1</v>
      </c>
      <c r="V79" s="7">
        <v>0</v>
      </c>
      <c r="W79" s="7">
        <v>0</v>
      </c>
      <c r="X79" s="7">
        <v>11</v>
      </c>
      <c r="Y79" s="8">
        <v>0.61111111111111116</v>
      </c>
      <c r="Z79" s="14" t="s">
        <v>1119</v>
      </c>
      <c r="AA79" s="7">
        <v>1</v>
      </c>
      <c r="AB79" s="7">
        <v>0</v>
      </c>
      <c r="AC79" s="7">
        <v>1</v>
      </c>
      <c r="AD79" s="7">
        <v>0</v>
      </c>
      <c r="AE79" s="7">
        <v>1</v>
      </c>
      <c r="AF79" s="7">
        <v>0</v>
      </c>
      <c r="AG79" s="7">
        <v>1</v>
      </c>
      <c r="AH79" s="7">
        <v>0</v>
      </c>
      <c r="AI79" s="7">
        <v>1</v>
      </c>
      <c r="AJ79" s="7">
        <v>1</v>
      </c>
      <c r="AK79" s="7">
        <v>1</v>
      </c>
      <c r="AL79" s="7">
        <v>1</v>
      </c>
      <c r="AM79" s="7">
        <v>0</v>
      </c>
      <c r="AN79" s="7">
        <v>1</v>
      </c>
      <c r="AO79" s="7">
        <v>0</v>
      </c>
      <c r="AP79" s="7">
        <v>1</v>
      </c>
      <c r="AQ79" s="7">
        <v>1</v>
      </c>
      <c r="AR79" s="7">
        <v>1</v>
      </c>
      <c r="AS79" s="7">
        <v>12</v>
      </c>
      <c r="AT79" s="8">
        <v>0.66666666666666674</v>
      </c>
      <c r="AU79" s="14" t="s">
        <v>1119</v>
      </c>
      <c r="AV79" s="7">
        <v>23</v>
      </c>
      <c r="AW79" s="8">
        <v>0.63888888888888884</v>
      </c>
    </row>
    <row r="80" spans="1:49" ht="15.75" customHeight="1" x14ac:dyDescent="0.25">
      <c r="A80" s="5" t="s">
        <v>7</v>
      </c>
      <c r="B80" s="6" t="s">
        <v>1069</v>
      </c>
      <c r="C80" s="6" t="s">
        <v>1103</v>
      </c>
      <c r="D80" s="6" t="s">
        <v>1097</v>
      </c>
      <c r="E80" s="5" t="s">
        <v>381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18</v>
      </c>
      <c r="Y80" s="8">
        <v>1</v>
      </c>
      <c r="Z80" s="14" t="s">
        <v>1120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0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17</v>
      </c>
      <c r="AT80" s="8">
        <v>0.94444444444444442</v>
      </c>
      <c r="AU80" s="14" t="s">
        <v>1120</v>
      </c>
      <c r="AV80" s="7">
        <v>35</v>
      </c>
      <c r="AW80" s="8">
        <v>0.97222222222222232</v>
      </c>
    </row>
    <row r="81" spans="1:49" ht="15.75" customHeight="1" x14ac:dyDescent="0.25">
      <c r="A81" s="5" t="s">
        <v>7</v>
      </c>
      <c r="B81" s="6" t="s">
        <v>1069</v>
      </c>
      <c r="C81" s="6" t="s">
        <v>1162</v>
      </c>
      <c r="D81" s="6" t="s">
        <v>1097</v>
      </c>
      <c r="E81" s="5" t="s">
        <v>1074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0</v>
      </c>
      <c r="S81" s="7">
        <v>1</v>
      </c>
      <c r="T81" s="7">
        <v>0</v>
      </c>
      <c r="U81" s="7">
        <v>1</v>
      </c>
      <c r="V81" s="7">
        <v>1</v>
      </c>
      <c r="W81" s="7">
        <v>1</v>
      </c>
      <c r="X81" s="7">
        <v>16</v>
      </c>
      <c r="Y81" s="8">
        <v>0.88888888888888884</v>
      </c>
      <c r="Z81" s="14" t="s">
        <v>1120</v>
      </c>
      <c r="AA81" s="7">
        <v>1</v>
      </c>
      <c r="AB81" s="7">
        <v>1</v>
      </c>
      <c r="AC81" s="7">
        <v>1</v>
      </c>
      <c r="AD81" s="7">
        <v>0</v>
      </c>
      <c r="AE81" s="7">
        <v>1</v>
      </c>
      <c r="AF81" s="7">
        <v>1</v>
      </c>
      <c r="AG81" s="7">
        <v>1</v>
      </c>
      <c r="AH81" s="7">
        <v>1</v>
      </c>
      <c r="AI81" s="7">
        <v>0</v>
      </c>
      <c r="AJ81" s="7">
        <v>1</v>
      </c>
      <c r="AK81" s="7">
        <v>1</v>
      </c>
      <c r="AL81" s="7">
        <v>0</v>
      </c>
      <c r="AM81" s="7">
        <v>0</v>
      </c>
      <c r="AN81" s="7">
        <v>0</v>
      </c>
      <c r="AO81" s="7">
        <v>1</v>
      </c>
      <c r="AP81" s="7">
        <v>1</v>
      </c>
      <c r="AQ81" s="7">
        <v>1</v>
      </c>
      <c r="AR81" s="7">
        <v>1</v>
      </c>
      <c r="AS81" s="7">
        <v>13</v>
      </c>
      <c r="AT81" s="8">
        <v>0.72222222222222232</v>
      </c>
      <c r="AU81" s="14" t="s">
        <v>1120</v>
      </c>
      <c r="AV81" s="7">
        <v>29</v>
      </c>
      <c r="AW81" s="8">
        <v>0.80555555555555558</v>
      </c>
    </row>
    <row r="82" spans="1:49" ht="15.75" customHeight="1" x14ac:dyDescent="0.25">
      <c r="A82" s="5" t="s">
        <v>7</v>
      </c>
      <c r="B82" s="6" t="s">
        <v>1069</v>
      </c>
      <c r="C82" s="6" t="s">
        <v>1103</v>
      </c>
      <c r="D82" s="6" t="s">
        <v>1097</v>
      </c>
      <c r="E82" s="5" t="s">
        <v>382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17</v>
      </c>
      <c r="Y82" s="8">
        <v>0.94444444444444442</v>
      </c>
      <c r="Z82" s="14" t="s">
        <v>1120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0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17</v>
      </c>
      <c r="AT82" s="8">
        <v>0.94444444444444442</v>
      </c>
      <c r="AU82" s="14" t="s">
        <v>1120</v>
      </c>
      <c r="AV82" s="7">
        <v>34</v>
      </c>
      <c r="AW82" s="8">
        <v>0.94444444444444442</v>
      </c>
    </row>
    <row r="83" spans="1:49" ht="15.75" customHeight="1" x14ac:dyDescent="0.25">
      <c r="A83" s="5" t="s">
        <v>7</v>
      </c>
      <c r="B83" s="6" t="s">
        <v>1069</v>
      </c>
      <c r="C83" s="6" t="s">
        <v>1103</v>
      </c>
      <c r="D83" s="6" t="s">
        <v>1097</v>
      </c>
      <c r="E83" s="5" t="s">
        <v>383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18</v>
      </c>
      <c r="Y83" s="8">
        <v>1</v>
      </c>
      <c r="Z83" s="14" t="s">
        <v>1120</v>
      </c>
      <c r="AA83" s="7">
        <v>1</v>
      </c>
      <c r="AB83" s="7">
        <v>1</v>
      </c>
      <c r="AC83" s="7">
        <v>1</v>
      </c>
      <c r="AD83" s="7">
        <v>1</v>
      </c>
      <c r="AE83" s="7">
        <v>0</v>
      </c>
      <c r="AF83" s="7">
        <v>0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0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15</v>
      </c>
      <c r="AT83" s="8">
        <v>0.83333333333333326</v>
      </c>
      <c r="AU83" s="14" t="s">
        <v>1120</v>
      </c>
      <c r="AV83" s="7">
        <v>33</v>
      </c>
      <c r="AW83" s="8">
        <v>0.91666666666666674</v>
      </c>
    </row>
    <row r="84" spans="1:49" ht="15.75" customHeight="1" x14ac:dyDescent="0.25">
      <c r="A84" s="5" t="s">
        <v>7</v>
      </c>
      <c r="B84" s="6" t="s">
        <v>1069</v>
      </c>
      <c r="C84" s="6" t="s">
        <v>1162</v>
      </c>
      <c r="D84" s="6" t="s">
        <v>1097</v>
      </c>
      <c r="E84" s="5" t="s">
        <v>384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0</v>
      </c>
      <c r="V84" s="7">
        <v>0</v>
      </c>
      <c r="W84" s="7">
        <v>1</v>
      </c>
      <c r="X84" s="7">
        <v>15</v>
      </c>
      <c r="Y84" s="8">
        <v>0.83333333333333326</v>
      </c>
      <c r="Z84" s="14" t="s">
        <v>1120</v>
      </c>
      <c r="AA84" s="7">
        <v>1</v>
      </c>
      <c r="AB84" s="7">
        <v>1</v>
      </c>
      <c r="AC84" s="7">
        <v>1</v>
      </c>
      <c r="AD84" s="7">
        <v>0</v>
      </c>
      <c r="AE84" s="7">
        <v>0</v>
      </c>
      <c r="AF84" s="7">
        <v>0</v>
      </c>
      <c r="AG84" s="7">
        <v>1</v>
      </c>
      <c r="AH84" s="7">
        <v>0</v>
      </c>
      <c r="AI84" s="7">
        <v>0</v>
      </c>
      <c r="AJ84" s="7">
        <v>1</v>
      </c>
      <c r="AK84" s="7">
        <v>0</v>
      </c>
      <c r="AL84" s="7">
        <v>1</v>
      </c>
      <c r="AM84" s="7">
        <v>0</v>
      </c>
      <c r="AN84" s="7">
        <v>0</v>
      </c>
      <c r="AO84" s="7">
        <v>1</v>
      </c>
      <c r="AP84" s="7">
        <v>1</v>
      </c>
      <c r="AQ84" s="7">
        <v>1</v>
      </c>
      <c r="AR84" s="7">
        <v>1</v>
      </c>
      <c r="AS84" s="7">
        <v>10</v>
      </c>
      <c r="AT84" s="8">
        <v>0.55555555555555558</v>
      </c>
      <c r="AU84" s="14" t="s">
        <v>1119</v>
      </c>
      <c r="AV84" s="7">
        <v>25</v>
      </c>
      <c r="AW84" s="8">
        <v>0.69444444444444442</v>
      </c>
    </row>
    <row r="85" spans="1:49" ht="15.75" customHeight="1" x14ac:dyDescent="0.25">
      <c r="A85" s="5" t="s">
        <v>7</v>
      </c>
      <c r="B85" s="6" t="s">
        <v>1069</v>
      </c>
      <c r="C85" s="6" t="s">
        <v>1096</v>
      </c>
      <c r="D85" s="6" t="s">
        <v>1097</v>
      </c>
      <c r="E85" s="5" t="s">
        <v>385</v>
      </c>
      <c r="F85" s="7">
        <v>1</v>
      </c>
      <c r="G85" s="7">
        <v>0</v>
      </c>
      <c r="H85" s="7">
        <v>0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7">
        <v>1</v>
      </c>
      <c r="P85" s="7">
        <v>1</v>
      </c>
      <c r="Q85" s="7">
        <v>0</v>
      </c>
      <c r="R85" s="7">
        <v>0</v>
      </c>
      <c r="S85" s="7">
        <v>1</v>
      </c>
      <c r="T85" s="7">
        <v>0</v>
      </c>
      <c r="U85" s="7">
        <v>1</v>
      </c>
      <c r="V85" s="7">
        <v>0</v>
      </c>
      <c r="W85" s="7">
        <v>1</v>
      </c>
      <c r="X85" s="7">
        <v>12</v>
      </c>
      <c r="Y85" s="8">
        <v>0.66666666666666674</v>
      </c>
      <c r="Z85" s="14" t="s">
        <v>1119</v>
      </c>
      <c r="AA85" s="7">
        <v>1</v>
      </c>
      <c r="AB85" s="7">
        <v>1</v>
      </c>
      <c r="AC85" s="7">
        <v>0</v>
      </c>
      <c r="AD85" s="7">
        <v>0</v>
      </c>
      <c r="AE85" s="7">
        <v>0</v>
      </c>
      <c r="AF85" s="7">
        <v>1</v>
      </c>
      <c r="AG85" s="7">
        <v>1</v>
      </c>
      <c r="AH85" s="7">
        <v>0</v>
      </c>
      <c r="AI85" s="7">
        <v>1</v>
      </c>
      <c r="AJ85" s="7">
        <v>1</v>
      </c>
      <c r="AK85" s="7">
        <v>1</v>
      </c>
      <c r="AL85" s="7">
        <v>1</v>
      </c>
      <c r="AM85" s="7">
        <v>0</v>
      </c>
      <c r="AN85" s="7">
        <v>0</v>
      </c>
      <c r="AO85" s="7">
        <v>1</v>
      </c>
      <c r="AP85" s="7">
        <v>1</v>
      </c>
      <c r="AQ85" s="7">
        <v>1</v>
      </c>
      <c r="AR85" s="7">
        <v>0</v>
      </c>
      <c r="AS85" s="7">
        <v>11</v>
      </c>
      <c r="AT85" s="8">
        <v>0.61111111111111116</v>
      </c>
      <c r="AU85" s="14" t="s">
        <v>1119</v>
      </c>
      <c r="AV85" s="7">
        <v>23</v>
      </c>
      <c r="AW85" s="8">
        <v>0.63888888888888884</v>
      </c>
    </row>
    <row r="86" spans="1:49" ht="15.75" customHeight="1" x14ac:dyDescent="0.25">
      <c r="A86" s="5" t="s">
        <v>7</v>
      </c>
      <c r="B86" s="6" t="s">
        <v>1161</v>
      </c>
      <c r="C86" s="6" t="s">
        <v>1162</v>
      </c>
      <c r="D86" s="6" t="s">
        <v>1097</v>
      </c>
      <c r="E86" s="5" t="s">
        <v>1163</v>
      </c>
      <c r="F86" s="7">
        <v>1</v>
      </c>
      <c r="G86" s="7">
        <v>1</v>
      </c>
      <c r="H86" s="7">
        <v>0</v>
      </c>
      <c r="I86" s="7">
        <v>1</v>
      </c>
      <c r="J86" s="7">
        <v>1</v>
      </c>
      <c r="K86" s="7">
        <v>1</v>
      </c>
      <c r="L86" s="7">
        <v>1</v>
      </c>
      <c r="M86" s="7">
        <v>0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16</v>
      </c>
      <c r="Y86" s="8">
        <v>0.88888888888888884</v>
      </c>
      <c r="Z86" s="14" t="s">
        <v>1120</v>
      </c>
      <c r="AA86" s="7">
        <v>1</v>
      </c>
      <c r="AB86" s="7">
        <v>1</v>
      </c>
      <c r="AC86" s="7">
        <v>1</v>
      </c>
      <c r="AD86" s="7">
        <v>1</v>
      </c>
      <c r="AE86" s="7">
        <v>0</v>
      </c>
      <c r="AF86" s="7">
        <v>0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0</v>
      </c>
      <c r="AN86" s="7">
        <v>0</v>
      </c>
      <c r="AO86" s="7">
        <v>1</v>
      </c>
      <c r="AP86" s="7">
        <v>1</v>
      </c>
      <c r="AQ86" s="7">
        <v>1</v>
      </c>
      <c r="AR86" s="7">
        <v>1</v>
      </c>
      <c r="AS86" s="7">
        <v>14</v>
      </c>
      <c r="AT86" s="8">
        <v>0.77777777777777768</v>
      </c>
      <c r="AU86" s="14" t="s">
        <v>1120</v>
      </c>
      <c r="AV86" s="7">
        <v>30</v>
      </c>
      <c r="AW86" s="8">
        <v>0.83333333333333326</v>
      </c>
    </row>
    <row r="87" spans="1:49" ht="15.75" customHeight="1" x14ac:dyDescent="0.25">
      <c r="A87" s="5" t="s">
        <v>7</v>
      </c>
      <c r="B87" s="6" t="s">
        <v>1069</v>
      </c>
      <c r="C87" s="6" t="s">
        <v>1103</v>
      </c>
      <c r="D87" s="6" t="s">
        <v>1097</v>
      </c>
      <c r="E87" s="5" t="s">
        <v>386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18</v>
      </c>
      <c r="Y87" s="8">
        <v>1</v>
      </c>
      <c r="Z87" s="14" t="s">
        <v>1120</v>
      </c>
      <c r="AA87" s="7">
        <v>1</v>
      </c>
      <c r="AB87" s="7">
        <v>1</v>
      </c>
      <c r="AC87" s="7">
        <v>0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0</v>
      </c>
      <c r="AM87" s="7">
        <v>0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15</v>
      </c>
      <c r="AT87" s="8">
        <v>0.83333333333333326</v>
      </c>
      <c r="AU87" s="14" t="s">
        <v>1120</v>
      </c>
      <c r="AV87" s="7">
        <v>33</v>
      </c>
      <c r="AW87" s="8">
        <v>0.91666666666666674</v>
      </c>
    </row>
    <row r="88" spans="1:49" ht="15.75" customHeight="1" x14ac:dyDescent="0.25">
      <c r="A88" s="5" t="s">
        <v>8</v>
      </c>
      <c r="B88" s="6" t="s">
        <v>1069</v>
      </c>
      <c r="C88" s="6" t="s">
        <v>1103</v>
      </c>
      <c r="D88" s="6" t="s">
        <v>1097</v>
      </c>
      <c r="E88" s="5" t="s">
        <v>387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18</v>
      </c>
      <c r="Y88" s="8">
        <v>1</v>
      </c>
      <c r="Z88" s="14" t="s">
        <v>1120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0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0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16</v>
      </c>
      <c r="AT88" s="8">
        <v>0.88888888888888884</v>
      </c>
      <c r="AU88" s="14" t="s">
        <v>1120</v>
      </c>
      <c r="AV88" s="7">
        <v>34</v>
      </c>
      <c r="AW88" s="8">
        <v>0.94444444444444442</v>
      </c>
    </row>
    <row r="89" spans="1:49" ht="15.75" customHeight="1" x14ac:dyDescent="0.25">
      <c r="A89" s="5" t="s">
        <v>8</v>
      </c>
      <c r="B89" s="6" t="s">
        <v>1069</v>
      </c>
      <c r="C89" s="6" t="s">
        <v>1103</v>
      </c>
      <c r="D89" s="6" t="s">
        <v>1097</v>
      </c>
      <c r="E89" s="5" t="s">
        <v>1164</v>
      </c>
      <c r="F89" s="7">
        <v>0</v>
      </c>
      <c r="G89" s="7">
        <v>0</v>
      </c>
      <c r="H89" s="7">
        <v>1</v>
      </c>
      <c r="I89" s="7">
        <v>0</v>
      </c>
      <c r="J89" s="7">
        <v>1</v>
      </c>
      <c r="K89" s="7">
        <v>1</v>
      </c>
      <c r="L89" s="7">
        <v>1</v>
      </c>
      <c r="M89" s="7">
        <v>0</v>
      </c>
      <c r="N89" s="7">
        <v>0</v>
      </c>
      <c r="O89" s="7">
        <v>0</v>
      </c>
      <c r="P89" s="7">
        <v>1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1</v>
      </c>
      <c r="W89" s="7">
        <v>0</v>
      </c>
      <c r="X89" s="7">
        <v>6</v>
      </c>
      <c r="Y89" s="8">
        <v>0.33333333333333337</v>
      </c>
      <c r="Z89" s="14" t="s">
        <v>1102</v>
      </c>
      <c r="AA89" s="7">
        <v>1</v>
      </c>
      <c r="AB89" s="7">
        <v>0</v>
      </c>
      <c r="AC89" s="7">
        <v>0</v>
      </c>
      <c r="AD89" s="7">
        <v>1</v>
      </c>
      <c r="AE89" s="7">
        <v>1</v>
      </c>
      <c r="AF89" s="7">
        <v>1</v>
      </c>
      <c r="AG89" s="7">
        <v>1</v>
      </c>
      <c r="AH89" s="7">
        <v>0</v>
      </c>
      <c r="AI89" s="7">
        <v>0</v>
      </c>
      <c r="AJ89" s="7">
        <v>1</v>
      </c>
      <c r="AK89" s="7">
        <v>0</v>
      </c>
      <c r="AL89" s="7">
        <v>0</v>
      </c>
      <c r="AM89" s="7">
        <v>0</v>
      </c>
      <c r="AN89" s="7">
        <v>0</v>
      </c>
      <c r="AO89" s="7">
        <v>1</v>
      </c>
      <c r="AP89" s="7">
        <v>0</v>
      </c>
      <c r="AQ89" s="7">
        <v>0</v>
      </c>
      <c r="AR89" s="7">
        <v>0</v>
      </c>
      <c r="AS89" s="7">
        <v>7</v>
      </c>
      <c r="AT89" s="8">
        <v>0.38888888888888884</v>
      </c>
      <c r="AU89" s="14" t="s">
        <v>1102</v>
      </c>
      <c r="AV89" s="7">
        <v>13</v>
      </c>
      <c r="AW89" s="8">
        <v>0.36111111111111116</v>
      </c>
    </row>
    <row r="90" spans="1:49" ht="15.75" customHeight="1" x14ac:dyDescent="0.25">
      <c r="A90" s="5" t="s">
        <v>8</v>
      </c>
      <c r="B90" s="6" t="s">
        <v>1069</v>
      </c>
      <c r="C90" s="6" t="s">
        <v>1103</v>
      </c>
      <c r="D90" s="6" t="s">
        <v>1097</v>
      </c>
      <c r="E90" s="5" t="s">
        <v>388</v>
      </c>
      <c r="F90" s="7">
        <v>0</v>
      </c>
      <c r="G90" s="7">
        <v>1</v>
      </c>
      <c r="H90" s="7">
        <v>0</v>
      </c>
      <c r="I90" s="7">
        <v>1</v>
      </c>
      <c r="J90" s="7">
        <v>0</v>
      </c>
      <c r="K90" s="7">
        <v>1</v>
      </c>
      <c r="L90" s="7">
        <v>1</v>
      </c>
      <c r="M90" s="7">
        <v>1</v>
      </c>
      <c r="N90" s="7">
        <v>0</v>
      </c>
      <c r="O90" s="7">
        <v>1</v>
      </c>
      <c r="P90" s="7">
        <v>1</v>
      </c>
      <c r="Q90" s="7">
        <v>0</v>
      </c>
      <c r="R90" s="7">
        <v>0</v>
      </c>
      <c r="S90" s="7">
        <v>0</v>
      </c>
      <c r="T90" s="7">
        <v>0</v>
      </c>
      <c r="U90" s="7">
        <v>1</v>
      </c>
      <c r="V90" s="7">
        <v>1</v>
      </c>
      <c r="W90" s="7">
        <v>0</v>
      </c>
      <c r="X90" s="7">
        <v>9</v>
      </c>
      <c r="Y90" s="8">
        <v>0.5</v>
      </c>
      <c r="Z90" s="14" t="s">
        <v>1119</v>
      </c>
      <c r="AA90" s="7">
        <v>1</v>
      </c>
      <c r="AB90" s="7">
        <v>1</v>
      </c>
      <c r="AC90" s="7">
        <v>1</v>
      </c>
      <c r="AD90" s="7">
        <v>1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1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1</v>
      </c>
      <c r="AR90" s="7">
        <v>1</v>
      </c>
      <c r="AS90" s="7">
        <v>7</v>
      </c>
      <c r="AT90" s="8">
        <v>0.38888888888888884</v>
      </c>
      <c r="AU90" s="14" t="s">
        <v>1102</v>
      </c>
      <c r="AV90" s="7">
        <v>16</v>
      </c>
      <c r="AW90" s="8">
        <v>0.44444444444444442</v>
      </c>
    </row>
    <row r="91" spans="1:49" ht="15.75" customHeight="1" x14ac:dyDescent="0.25">
      <c r="A91" s="5" t="s">
        <v>8</v>
      </c>
      <c r="B91" s="6" t="s">
        <v>1069</v>
      </c>
      <c r="C91" s="6" t="s">
        <v>1103</v>
      </c>
      <c r="D91" s="6" t="s">
        <v>1097</v>
      </c>
      <c r="E91" s="5" t="s">
        <v>1165</v>
      </c>
      <c r="F91" s="7">
        <v>1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1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1</v>
      </c>
      <c r="X91" s="7">
        <v>3</v>
      </c>
      <c r="Y91" s="8">
        <v>0.16666666666666669</v>
      </c>
      <c r="Z91" s="14" t="s">
        <v>1102</v>
      </c>
      <c r="AA91" s="7">
        <v>0</v>
      </c>
      <c r="AB91" s="7">
        <v>0</v>
      </c>
      <c r="AC91" s="7">
        <v>1</v>
      </c>
      <c r="AD91" s="7">
        <v>1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1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1</v>
      </c>
      <c r="AS91" s="7">
        <v>4</v>
      </c>
      <c r="AT91" s="8">
        <v>0.22222222222222221</v>
      </c>
      <c r="AU91" s="14" t="s">
        <v>1102</v>
      </c>
      <c r="AV91" s="7">
        <v>7</v>
      </c>
      <c r="AW91" s="8">
        <v>0.19444444444444442</v>
      </c>
    </row>
    <row r="92" spans="1:49" ht="15.75" customHeight="1" x14ac:dyDescent="0.25">
      <c r="A92" s="5" t="s">
        <v>8</v>
      </c>
      <c r="B92" s="6" t="s">
        <v>1069</v>
      </c>
      <c r="C92" s="6" t="s">
        <v>1103</v>
      </c>
      <c r="D92" s="6" t="s">
        <v>1097</v>
      </c>
      <c r="E92" s="5" t="s">
        <v>1166</v>
      </c>
      <c r="F92" s="7">
        <v>0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0</v>
      </c>
      <c r="N92" s="7">
        <v>0</v>
      </c>
      <c r="O92" s="7">
        <v>1</v>
      </c>
      <c r="P92" s="7">
        <v>1</v>
      </c>
      <c r="Q92" s="7">
        <v>0</v>
      </c>
      <c r="R92" s="7">
        <v>1</v>
      </c>
      <c r="S92" s="7">
        <v>0</v>
      </c>
      <c r="T92" s="7">
        <v>0</v>
      </c>
      <c r="U92" s="7">
        <v>1</v>
      </c>
      <c r="V92" s="7">
        <v>1</v>
      </c>
      <c r="W92" s="7">
        <v>1</v>
      </c>
      <c r="X92" s="7">
        <v>12</v>
      </c>
      <c r="Y92" s="8">
        <v>0.66666666666666674</v>
      </c>
      <c r="Z92" s="14" t="s">
        <v>1119</v>
      </c>
      <c r="AA92" s="7">
        <v>1</v>
      </c>
      <c r="AB92" s="7">
        <v>1</v>
      </c>
      <c r="AC92" s="7">
        <v>1</v>
      </c>
      <c r="AD92" s="7">
        <v>0</v>
      </c>
      <c r="AE92" s="7">
        <v>1</v>
      </c>
      <c r="AF92" s="7">
        <v>1</v>
      </c>
      <c r="AG92" s="7">
        <v>1</v>
      </c>
      <c r="AH92" s="7">
        <v>1</v>
      </c>
      <c r="AI92" s="7">
        <v>0</v>
      </c>
      <c r="AJ92" s="7">
        <v>1</v>
      </c>
      <c r="AK92" s="7">
        <v>1</v>
      </c>
      <c r="AL92" s="7">
        <v>0</v>
      </c>
      <c r="AM92" s="7">
        <v>0</v>
      </c>
      <c r="AN92" s="7">
        <v>0</v>
      </c>
      <c r="AO92" s="7">
        <v>1</v>
      </c>
      <c r="AP92" s="7">
        <v>0</v>
      </c>
      <c r="AQ92" s="7">
        <v>1</v>
      </c>
      <c r="AR92" s="7">
        <v>1</v>
      </c>
      <c r="AS92" s="7">
        <v>12</v>
      </c>
      <c r="AT92" s="8">
        <v>0.66666666666666674</v>
      </c>
      <c r="AU92" s="14" t="s">
        <v>1119</v>
      </c>
      <c r="AV92" s="7">
        <v>24</v>
      </c>
      <c r="AW92" s="8">
        <v>0.66666666666666674</v>
      </c>
    </row>
    <row r="93" spans="1:49" ht="15.75" customHeight="1" x14ac:dyDescent="0.25">
      <c r="A93" s="5" t="s">
        <v>8</v>
      </c>
      <c r="B93" s="6" t="s">
        <v>1069</v>
      </c>
      <c r="C93" s="6" t="s">
        <v>1096</v>
      </c>
      <c r="D93" s="6" t="s">
        <v>1097</v>
      </c>
      <c r="E93" s="5" t="s">
        <v>389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0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17</v>
      </c>
      <c r="Y93" s="8">
        <v>0.94444444444444442</v>
      </c>
      <c r="Z93" s="14" t="s">
        <v>1120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0</v>
      </c>
      <c r="AM93" s="7">
        <v>0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16</v>
      </c>
      <c r="AT93" s="8">
        <v>0.88888888888888884</v>
      </c>
      <c r="AU93" s="14" t="s">
        <v>1120</v>
      </c>
      <c r="AV93" s="7">
        <v>33</v>
      </c>
      <c r="AW93" s="8">
        <v>0.91666666666666674</v>
      </c>
    </row>
    <row r="94" spans="1:49" ht="15.75" customHeight="1" x14ac:dyDescent="0.25">
      <c r="A94" s="5" t="s">
        <v>8</v>
      </c>
      <c r="B94" s="6" t="s">
        <v>1069</v>
      </c>
      <c r="C94" s="6" t="s">
        <v>1103</v>
      </c>
      <c r="D94" s="6" t="s">
        <v>1097</v>
      </c>
      <c r="E94" s="5" t="s">
        <v>390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0</v>
      </c>
      <c r="N94" s="7">
        <v>0</v>
      </c>
      <c r="O94" s="7">
        <v>1</v>
      </c>
      <c r="P94" s="7">
        <v>1</v>
      </c>
      <c r="Q94" s="7">
        <v>1</v>
      </c>
      <c r="R94" s="7">
        <v>0</v>
      </c>
      <c r="S94" s="7">
        <v>0</v>
      </c>
      <c r="T94" s="7">
        <v>1</v>
      </c>
      <c r="U94" s="7">
        <v>0</v>
      </c>
      <c r="V94" s="7">
        <v>1</v>
      </c>
      <c r="W94" s="7">
        <v>1</v>
      </c>
      <c r="X94" s="7">
        <v>13</v>
      </c>
      <c r="Y94" s="8">
        <v>0.72222222222222232</v>
      </c>
      <c r="Z94" s="14" t="s">
        <v>1120</v>
      </c>
      <c r="AA94" s="7">
        <v>1</v>
      </c>
      <c r="AB94" s="7">
        <v>1</v>
      </c>
      <c r="AC94" s="7">
        <v>1</v>
      </c>
      <c r="AD94" s="7">
        <v>0</v>
      </c>
      <c r="AE94" s="7">
        <v>1</v>
      </c>
      <c r="AF94" s="7">
        <v>1</v>
      </c>
      <c r="AG94" s="7">
        <v>1</v>
      </c>
      <c r="AH94" s="7">
        <v>0</v>
      </c>
      <c r="AI94" s="7">
        <v>0</v>
      </c>
      <c r="AJ94" s="7">
        <v>1</v>
      </c>
      <c r="AK94" s="7">
        <v>1</v>
      </c>
      <c r="AL94" s="7">
        <v>1</v>
      </c>
      <c r="AM94" s="7">
        <v>0</v>
      </c>
      <c r="AN94" s="7">
        <v>0</v>
      </c>
      <c r="AO94" s="7">
        <v>1</v>
      </c>
      <c r="AP94" s="7">
        <v>0</v>
      </c>
      <c r="AQ94" s="7">
        <v>1</v>
      </c>
      <c r="AR94" s="7">
        <v>0</v>
      </c>
      <c r="AS94" s="7">
        <v>11</v>
      </c>
      <c r="AT94" s="8">
        <v>0.61111111111111116</v>
      </c>
      <c r="AU94" s="14" t="s">
        <v>1119</v>
      </c>
      <c r="AV94" s="7">
        <v>24</v>
      </c>
      <c r="AW94" s="8">
        <v>0.66666666666666674</v>
      </c>
    </row>
    <row r="95" spans="1:49" ht="15.75" customHeight="1" x14ac:dyDescent="0.25">
      <c r="A95" s="5" t="s">
        <v>8</v>
      </c>
      <c r="B95" s="6" t="s">
        <v>1069</v>
      </c>
      <c r="C95" s="6" t="s">
        <v>1096</v>
      </c>
      <c r="D95" s="6" t="s">
        <v>1097</v>
      </c>
      <c r="E95" s="5" t="s">
        <v>391</v>
      </c>
      <c r="F95" s="7">
        <v>1</v>
      </c>
      <c r="G95" s="7">
        <v>1</v>
      </c>
      <c r="H95" s="7">
        <v>0</v>
      </c>
      <c r="I95" s="7">
        <v>1</v>
      </c>
      <c r="J95" s="7">
        <v>1</v>
      </c>
      <c r="K95" s="7">
        <v>1</v>
      </c>
      <c r="L95" s="7">
        <v>1</v>
      </c>
      <c r="M95" s="7">
        <v>0</v>
      </c>
      <c r="N95" s="7">
        <v>1</v>
      </c>
      <c r="O95" s="7">
        <v>1</v>
      </c>
      <c r="P95" s="7">
        <v>1</v>
      </c>
      <c r="Q95" s="7">
        <v>1</v>
      </c>
      <c r="R95" s="7">
        <v>0</v>
      </c>
      <c r="S95" s="7">
        <v>1</v>
      </c>
      <c r="T95" s="7">
        <v>1</v>
      </c>
      <c r="U95" s="7">
        <v>1</v>
      </c>
      <c r="V95" s="7">
        <v>0</v>
      </c>
      <c r="W95" s="7">
        <v>0</v>
      </c>
      <c r="X95" s="7">
        <v>13</v>
      </c>
      <c r="Y95" s="8">
        <v>0.72222222222222232</v>
      </c>
      <c r="Z95" s="14" t="s">
        <v>1120</v>
      </c>
      <c r="AA95" s="7">
        <v>1</v>
      </c>
      <c r="AB95" s="7">
        <v>1</v>
      </c>
      <c r="AC95" s="7">
        <v>0</v>
      </c>
      <c r="AD95" s="7">
        <v>1</v>
      </c>
      <c r="AE95" s="7">
        <v>0</v>
      </c>
      <c r="AF95" s="7">
        <v>0</v>
      </c>
      <c r="AG95" s="7">
        <v>0</v>
      </c>
      <c r="AH95" s="7">
        <v>1</v>
      </c>
      <c r="AI95" s="7">
        <v>0</v>
      </c>
      <c r="AJ95" s="7">
        <v>1</v>
      </c>
      <c r="AK95" s="7">
        <v>1</v>
      </c>
      <c r="AL95" s="7">
        <v>1</v>
      </c>
      <c r="AM95" s="7">
        <v>0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12</v>
      </c>
      <c r="AT95" s="8">
        <v>0.66666666666666674</v>
      </c>
      <c r="AU95" s="14" t="s">
        <v>1119</v>
      </c>
      <c r="AV95" s="7">
        <v>25</v>
      </c>
      <c r="AW95" s="8">
        <v>0.69444444444444442</v>
      </c>
    </row>
    <row r="96" spans="1:49" ht="15.75" customHeight="1" x14ac:dyDescent="0.25">
      <c r="A96" s="5" t="s">
        <v>8</v>
      </c>
      <c r="B96" s="6" t="s">
        <v>1069</v>
      </c>
      <c r="C96" s="6" t="s">
        <v>1103</v>
      </c>
      <c r="D96" s="6" t="s">
        <v>1097</v>
      </c>
      <c r="E96" s="5" t="s">
        <v>392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0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17</v>
      </c>
      <c r="Y96" s="8">
        <v>0.94444444444444442</v>
      </c>
      <c r="Z96" s="14" t="s">
        <v>1120</v>
      </c>
      <c r="AA96" s="7">
        <v>1</v>
      </c>
      <c r="AB96" s="7">
        <v>1</v>
      </c>
      <c r="AC96" s="7">
        <v>1</v>
      </c>
      <c r="AD96" s="7">
        <v>1</v>
      </c>
      <c r="AE96" s="7">
        <v>0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0</v>
      </c>
      <c r="AM96" s="7">
        <v>0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15</v>
      </c>
      <c r="AT96" s="8">
        <v>0.83333333333333326</v>
      </c>
      <c r="AU96" s="14" t="s">
        <v>1120</v>
      </c>
      <c r="AV96" s="7">
        <v>32</v>
      </c>
      <c r="AW96" s="8">
        <v>0.88888888888888884</v>
      </c>
    </row>
    <row r="97" spans="1:49" ht="15.75" customHeight="1" x14ac:dyDescent="0.25">
      <c r="A97" s="5" t="s">
        <v>9</v>
      </c>
      <c r="B97" s="6" t="s">
        <v>1069</v>
      </c>
      <c r="C97" s="6" t="s">
        <v>1103</v>
      </c>
      <c r="D97" s="6" t="s">
        <v>1097</v>
      </c>
      <c r="E97" s="5" t="s">
        <v>393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0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16</v>
      </c>
      <c r="Y97" s="8">
        <v>0.88888888888888884</v>
      </c>
      <c r="Z97" s="14" t="s">
        <v>1120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0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0</v>
      </c>
      <c r="AN97" s="7">
        <v>1</v>
      </c>
      <c r="AO97" s="7">
        <v>0</v>
      </c>
      <c r="AP97" s="7">
        <v>1</v>
      </c>
      <c r="AQ97" s="7">
        <v>1</v>
      </c>
      <c r="AR97" s="7">
        <v>1</v>
      </c>
      <c r="AS97" s="7">
        <v>15</v>
      </c>
      <c r="AT97" s="8">
        <v>0.83333333333333326</v>
      </c>
      <c r="AU97" s="14" t="s">
        <v>1120</v>
      </c>
      <c r="AV97" s="7">
        <v>31</v>
      </c>
      <c r="AW97" s="8">
        <v>0.86111111111111116</v>
      </c>
    </row>
    <row r="98" spans="1:49" ht="15.75" customHeight="1" x14ac:dyDescent="0.25">
      <c r="A98" s="5" t="s">
        <v>9</v>
      </c>
      <c r="B98" s="6" t="s">
        <v>1069</v>
      </c>
      <c r="C98" s="6" t="s">
        <v>1104</v>
      </c>
      <c r="D98" s="6" t="s">
        <v>1097</v>
      </c>
      <c r="E98" s="5" t="s">
        <v>394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0</v>
      </c>
      <c r="N98" s="7">
        <v>0</v>
      </c>
      <c r="O98" s="7">
        <v>1</v>
      </c>
      <c r="P98" s="7">
        <v>1</v>
      </c>
      <c r="Q98" s="7">
        <v>0</v>
      </c>
      <c r="R98" s="7">
        <v>1</v>
      </c>
      <c r="S98" s="7">
        <v>1</v>
      </c>
      <c r="T98" s="7">
        <v>0</v>
      </c>
      <c r="U98" s="7">
        <v>1</v>
      </c>
      <c r="V98" s="7">
        <v>0</v>
      </c>
      <c r="W98" s="7">
        <v>1</v>
      </c>
      <c r="X98" s="7">
        <v>13</v>
      </c>
      <c r="Y98" s="8">
        <v>0.72222222222222232</v>
      </c>
      <c r="Z98" s="14" t="s">
        <v>1120</v>
      </c>
      <c r="AA98" s="7">
        <v>1</v>
      </c>
      <c r="AB98" s="7">
        <v>1</v>
      </c>
      <c r="AC98" s="7">
        <v>1</v>
      </c>
      <c r="AD98" s="7">
        <v>1</v>
      </c>
      <c r="AE98" s="7">
        <v>0</v>
      </c>
      <c r="AF98" s="7">
        <v>0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10</v>
      </c>
      <c r="AT98" s="8">
        <v>0.55555555555555558</v>
      </c>
      <c r="AU98" s="14" t="s">
        <v>1119</v>
      </c>
      <c r="AV98" s="7">
        <v>23</v>
      </c>
      <c r="AW98" s="8">
        <v>0.63888888888888884</v>
      </c>
    </row>
    <row r="99" spans="1:49" ht="15.75" customHeight="1" x14ac:dyDescent="0.25">
      <c r="A99" s="5" t="s">
        <v>9</v>
      </c>
      <c r="B99" s="6" t="s">
        <v>1069</v>
      </c>
      <c r="C99" s="6" t="s">
        <v>1103</v>
      </c>
      <c r="D99" s="6" t="s">
        <v>1097</v>
      </c>
      <c r="E99" s="5" t="s">
        <v>395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0</v>
      </c>
      <c r="V99" s="7">
        <v>1</v>
      </c>
      <c r="W99" s="7">
        <v>0</v>
      </c>
      <c r="X99" s="7">
        <v>11</v>
      </c>
      <c r="Y99" s="8">
        <v>0.61111111111111116</v>
      </c>
      <c r="Z99" s="14" t="s">
        <v>1119</v>
      </c>
      <c r="AA99" s="7">
        <v>1</v>
      </c>
      <c r="AB99" s="7">
        <v>1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1</v>
      </c>
      <c r="AK99" s="7">
        <v>1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1</v>
      </c>
      <c r="AR99" s="7">
        <v>0</v>
      </c>
      <c r="AS99" s="7">
        <v>5</v>
      </c>
      <c r="AT99" s="8">
        <v>0.27777777777777779</v>
      </c>
      <c r="AU99" s="14" t="s">
        <v>1102</v>
      </c>
      <c r="AV99" s="7">
        <v>16</v>
      </c>
      <c r="AW99" s="8">
        <v>0.44444444444444442</v>
      </c>
    </row>
    <row r="100" spans="1:49" ht="15.75" customHeight="1" x14ac:dyDescent="0.25">
      <c r="A100" s="5" t="s">
        <v>9</v>
      </c>
      <c r="B100" s="6" t="s">
        <v>1069</v>
      </c>
      <c r="C100" s="6" t="s">
        <v>1103</v>
      </c>
      <c r="D100" s="6" t="s">
        <v>1097</v>
      </c>
      <c r="E100" s="5" t="s">
        <v>396</v>
      </c>
      <c r="F100" s="7">
        <v>0</v>
      </c>
      <c r="G100" s="7">
        <v>1</v>
      </c>
      <c r="H100" s="7">
        <v>1</v>
      </c>
      <c r="I100" s="7">
        <v>1</v>
      </c>
      <c r="J100" s="7">
        <v>0</v>
      </c>
      <c r="K100" s="7">
        <v>1</v>
      </c>
      <c r="L100" s="7">
        <v>1</v>
      </c>
      <c r="M100" s="7">
        <v>0</v>
      </c>
      <c r="N100" s="7">
        <v>0</v>
      </c>
      <c r="O100" s="7">
        <v>1</v>
      </c>
      <c r="P100" s="7">
        <v>0</v>
      </c>
      <c r="Q100" s="7">
        <v>1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7">
        <v>0</v>
      </c>
      <c r="X100" s="7">
        <v>8</v>
      </c>
      <c r="Y100" s="8">
        <v>0.44444444444444442</v>
      </c>
      <c r="Z100" s="14" t="s">
        <v>1119</v>
      </c>
      <c r="AA100" s="7">
        <v>1</v>
      </c>
      <c r="AB100" s="7">
        <v>0</v>
      </c>
      <c r="AC100" s="7">
        <v>1</v>
      </c>
      <c r="AD100" s="7">
        <v>1</v>
      </c>
      <c r="AE100" s="7">
        <v>0</v>
      </c>
      <c r="AF100" s="7">
        <v>0</v>
      </c>
      <c r="AG100" s="7">
        <v>1</v>
      </c>
      <c r="AH100" s="7">
        <v>1</v>
      </c>
      <c r="AI100" s="7">
        <v>0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0</v>
      </c>
      <c r="AQ100" s="7">
        <v>1</v>
      </c>
      <c r="AR100" s="7">
        <v>1</v>
      </c>
      <c r="AS100" s="7">
        <v>13</v>
      </c>
      <c r="AT100" s="8">
        <v>0.72222222222222232</v>
      </c>
      <c r="AU100" s="14" t="s">
        <v>1120</v>
      </c>
      <c r="AV100" s="7">
        <v>21</v>
      </c>
      <c r="AW100" s="8">
        <v>0.58333333333333337</v>
      </c>
    </row>
    <row r="101" spans="1:49" ht="15.75" customHeight="1" x14ac:dyDescent="0.25">
      <c r="A101" s="5" t="s">
        <v>9</v>
      </c>
      <c r="B101" s="6" t="s">
        <v>1069</v>
      </c>
      <c r="C101" s="6" t="s">
        <v>1103</v>
      </c>
      <c r="D101" s="6" t="s">
        <v>1097</v>
      </c>
      <c r="E101" s="5" t="s">
        <v>397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0</v>
      </c>
      <c r="N101" s="7">
        <v>0</v>
      </c>
      <c r="O101" s="7">
        <v>1</v>
      </c>
      <c r="P101" s="7">
        <v>1</v>
      </c>
      <c r="Q101" s="7">
        <v>0</v>
      </c>
      <c r="R101" s="7">
        <v>1</v>
      </c>
      <c r="S101" s="7">
        <v>1</v>
      </c>
      <c r="T101" s="7">
        <v>1</v>
      </c>
      <c r="U101" s="7">
        <v>0</v>
      </c>
      <c r="V101" s="7">
        <v>1</v>
      </c>
      <c r="W101" s="7">
        <v>1</v>
      </c>
      <c r="X101" s="7">
        <v>14</v>
      </c>
      <c r="Y101" s="8">
        <v>0.77777777777777768</v>
      </c>
      <c r="Z101" s="14" t="s">
        <v>1120</v>
      </c>
      <c r="AA101" s="7">
        <v>1</v>
      </c>
      <c r="AB101" s="7">
        <v>1</v>
      </c>
      <c r="AC101" s="7">
        <v>1</v>
      </c>
      <c r="AD101" s="7">
        <v>1</v>
      </c>
      <c r="AE101" s="7">
        <v>0</v>
      </c>
      <c r="AF101" s="7">
        <v>0</v>
      </c>
      <c r="AG101" s="7">
        <v>1</v>
      </c>
      <c r="AH101" s="7">
        <v>0</v>
      </c>
      <c r="AI101" s="7">
        <v>0</v>
      </c>
      <c r="AJ101" s="7">
        <v>1</v>
      </c>
      <c r="AK101" s="7">
        <v>1</v>
      </c>
      <c r="AL101" s="7">
        <v>1</v>
      </c>
      <c r="AM101" s="7">
        <v>0</v>
      </c>
      <c r="AN101" s="7">
        <v>0</v>
      </c>
      <c r="AO101" s="7">
        <v>0</v>
      </c>
      <c r="AP101" s="7">
        <v>0</v>
      </c>
      <c r="AQ101" s="7">
        <v>1</v>
      </c>
      <c r="AR101" s="7">
        <v>1</v>
      </c>
      <c r="AS101" s="7">
        <v>10</v>
      </c>
      <c r="AT101" s="8">
        <v>0.55555555555555558</v>
      </c>
      <c r="AU101" s="14" t="s">
        <v>1119</v>
      </c>
      <c r="AV101" s="7">
        <v>24</v>
      </c>
      <c r="AW101" s="8">
        <v>0.66666666666666674</v>
      </c>
    </row>
    <row r="102" spans="1:49" ht="15.75" customHeight="1" x14ac:dyDescent="0.25">
      <c r="A102" s="5" t="s">
        <v>9</v>
      </c>
      <c r="B102" s="6" t="s">
        <v>1069</v>
      </c>
      <c r="C102" s="6" t="s">
        <v>1096</v>
      </c>
      <c r="D102" s="6" t="s">
        <v>1097</v>
      </c>
      <c r="E102" s="5" t="s">
        <v>398</v>
      </c>
      <c r="F102" s="7">
        <v>1</v>
      </c>
      <c r="G102" s="7">
        <v>0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0</v>
      </c>
      <c r="N102" s="7">
        <v>0</v>
      </c>
      <c r="O102" s="7">
        <v>1</v>
      </c>
      <c r="P102" s="7">
        <v>1</v>
      </c>
      <c r="Q102" s="7">
        <v>1</v>
      </c>
      <c r="R102" s="7">
        <v>0</v>
      </c>
      <c r="S102" s="7">
        <v>1</v>
      </c>
      <c r="T102" s="7">
        <v>1</v>
      </c>
      <c r="U102" s="7">
        <v>1</v>
      </c>
      <c r="V102" s="7">
        <v>1</v>
      </c>
      <c r="W102" s="7">
        <v>0</v>
      </c>
      <c r="X102" s="7">
        <v>13</v>
      </c>
      <c r="Y102" s="8">
        <v>0.72222222222222232</v>
      </c>
      <c r="Z102" s="14" t="s">
        <v>1120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0</v>
      </c>
      <c r="AG102" s="7">
        <v>0</v>
      </c>
      <c r="AH102" s="7">
        <v>1</v>
      </c>
      <c r="AI102" s="7">
        <v>0</v>
      </c>
      <c r="AJ102" s="7">
        <v>0</v>
      </c>
      <c r="AK102" s="7">
        <v>1</v>
      </c>
      <c r="AL102" s="7">
        <v>1</v>
      </c>
      <c r="AM102" s="7">
        <v>0</v>
      </c>
      <c r="AN102" s="7">
        <v>0</v>
      </c>
      <c r="AO102" s="7">
        <v>1</v>
      </c>
      <c r="AP102" s="7">
        <v>1</v>
      </c>
      <c r="AQ102" s="7">
        <v>1</v>
      </c>
      <c r="AR102" s="7">
        <v>1</v>
      </c>
      <c r="AS102" s="7">
        <v>12</v>
      </c>
      <c r="AT102" s="8">
        <v>0.66666666666666674</v>
      </c>
      <c r="AU102" s="14" t="s">
        <v>1119</v>
      </c>
      <c r="AV102" s="7">
        <v>25</v>
      </c>
      <c r="AW102" s="8">
        <v>0.69444444444444442</v>
      </c>
    </row>
    <row r="103" spans="1:49" ht="15.75" customHeight="1" x14ac:dyDescent="0.25">
      <c r="A103" s="5" t="s">
        <v>10</v>
      </c>
      <c r="B103" s="7" t="s">
        <v>399</v>
      </c>
      <c r="C103" s="7" t="s">
        <v>1104</v>
      </c>
      <c r="D103" s="6" t="s">
        <v>1097</v>
      </c>
      <c r="E103" s="5" t="s">
        <v>400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7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f t="shared" ref="X103:X122" si="0">SUM(F103:W103)</f>
        <v>2</v>
      </c>
      <c r="Y103" s="8">
        <f t="shared" ref="Y103:Y122" si="1">((X103*100)/18)/100</f>
        <v>0.1111111111111111</v>
      </c>
      <c r="Z103" s="14" t="str">
        <f t="shared" ref="Z103:Z122" si="2">IF(Y103&lt;0.4,"DEFASAGEM",IF(Y103&lt;0.7,"INTERMEDIÁRIO","ADEQUADA"))</f>
        <v>DEFASAGEM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1</v>
      </c>
      <c r="AK103" s="7">
        <v>0</v>
      </c>
      <c r="AL103" s="7">
        <v>0</v>
      </c>
      <c r="AM103" s="7">
        <v>1</v>
      </c>
      <c r="AN103" s="7">
        <v>0</v>
      </c>
      <c r="AO103" s="7">
        <v>0</v>
      </c>
      <c r="AP103" s="7">
        <v>0</v>
      </c>
      <c r="AQ103" s="7">
        <v>0</v>
      </c>
      <c r="AR103" s="7">
        <v>1</v>
      </c>
      <c r="AS103" s="7">
        <f t="shared" ref="AS103:AS122" si="3">SUM(AA103:AR103)</f>
        <v>3</v>
      </c>
      <c r="AT103" s="8">
        <f t="shared" ref="AT103:AT122" si="4">((AS103*100)/18)/100</f>
        <v>0.16666666666666669</v>
      </c>
      <c r="AU103" s="14" t="str">
        <f t="shared" ref="AU103:AU122" si="5">IF(AT103&lt;0.4,"DEFASAGEM",IF(AT103&lt;0.7,"INTERMEDIÁRIO","ADEQUADA"))</f>
        <v>DEFASAGEM</v>
      </c>
      <c r="AV103" s="7">
        <f t="shared" ref="AV103:AV122" si="6">SUM(F103:W103)+(SUM(AA103:AR103))</f>
        <v>5</v>
      </c>
      <c r="AW103" s="8">
        <f t="shared" ref="AW103:AW122" si="7">((AV103*100)/36)/100</f>
        <v>0.1388888888888889</v>
      </c>
    </row>
    <row r="104" spans="1:49" ht="15.75" customHeight="1" x14ac:dyDescent="0.25">
      <c r="A104" s="5" t="s">
        <v>10</v>
      </c>
      <c r="B104" s="7" t="s">
        <v>399</v>
      </c>
      <c r="C104" s="7" t="s">
        <v>1104</v>
      </c>
      <c r="D104" s="6" t="s">
        <v>1097</v>
      </c>
      <c r="E104" s="5" t="s">
        <v>401</v>
      </c>
      <c r="F104" s="7">
        <v>0</v>
      </c>
      <c r="G104" s="7">
        <v>0</v>
      </c>
      <c r="H104" s="7">
        <v>0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0</v>
      </c>
      <c r="S104" s="7">
        <v>1</v>
      </c>
      <c r="T104" s="7">
        <v>0</v>
      </c>
      <c r="U104" s="7">
        <v>1</v>
      </c>
      <c r="V104" s="7">
        <v>0</v>
      </c>
      <c r="W104" s="7">
        <v>0</v>
      </c>
      <c r="X104" s="7">
        <f t="shared" si="0"/>
        <v>11</v>
      </c>
      <c r="Y104" s="8">
        <f t="shared" si="1"/>
        <v>0.61111111111111116</v>
      </c>
      <c r="Z104" s="14" t="str">
        <f t="shared" si="2"/>
        <v>INTERMEDIÁRIO</v>
      </c>
      <c r="AA104" s="7">
        <v>0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0</v>
      </c>
      <c r="AI104" s="7">
        <v>1</v>
      </c>
      <c r="AJ104" s="7">
        <v>1</v>
      </c>
      <c r="AK104" s="7">
        <v>1</v>
      </c>
      <c r="AL104" s="7">
        <v>0</v>
      </c>
      <c r="AM104" s="7">
        <v>0</v>
      </c>
      <c r="AN104" s="7">
        <v>0</v>
      </c>
      <c r="AO104" s="7">
        <v>1</v>
      </c>
      <c r="AP104" s="7">
        <v>0</v>
      </c>
      <c r="AQ104" s="7">
        <v>0</v>
      </c>
      <c r="AR104" s="7">
        <v>1</v>
      </c>
      <c r="AS104" s="7">
        <f t="shared" si="3"/>
        <v>11</v>
      </c>
      <c r="AT104" s="8">
        <f t="shared" si="4"/>
        <v>0.61111111111111116</v>
      </c>
      <c r="AU104" s="14" t="str">
        <f t="shared" si="5"/>
        <v>INTERMEDIÁRIO</v>
      </c>
      <c r="AV104" s="7">
        <f t="shared" si="6"/>
        <v>22</v>
      </c>
      <c r="AW104" s="8">
        <f t="shared" si="7"/>
        <v>0.61111111111111116</v>
      </c>
    </row>
    <row r="105" spans="1:49" ht="15.75" customHeight="1" x14ac:dyDescent="0.25">
      <c r="A105" s="5" t="s">
        <v>10</v>
      </c>
      <c r="B105" s="7" t="s">
        <v>399</v>
      </c>
      <c r="C105" s="7" t="s">
        <v>1103</v>
      </c>
      <c r="D105" s="6" t="s">
        <v>1097</v>
      </c>
      <c r="E105" s="5" t="s">
        <v>402</v>
      </c>
      <c r="F105" s="7">
        <v>1</v>
      </c>
      <c r="G105" s="7">
        <v>1</v>
      </c>
      <c r="H105" s="7">
        <v>1</v>
      </c>
      <c r="I105" s="7">
        <v>0</v>
      </c>
      <c r="J105" s="7">
        <v>1</v>
      </c>
      <c r="K105" s="7">
        <v>1</v>
      </c>
      <c r="L105" s="7">
        <v>1</v>
      </c>
      <c r="M105" s="7">
        <v>0</v>
      </c>
      <c r="N105" s="7">
        <v>0</v>
      </c>
      <c r="O105" s="7">
        <v>1</v>
      </c>
      <c r="P105" s="7">
        <v>1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1</v>
      </c>
      <c r="W105" s="7">
        <v>1</v>
      </c>
      <c r="X105" s="7">
        <f t="shared" si="0"/>
        <v>11</v>
      </c>
      <c r="Y105" s="8">
        <f t="shared" si="1"/>
        <v>0.61111111111111116</v>
      </c>
      <c r="Z105" s="14" t="str">
        <f t="shared" si="2"/>
        <v>INTERMEDIÁRIO</v>
      </c>
      <c r="AA105" s="7">
        <v>0</v>
      </c>
      <c r="AB105" s="7">
        <v>1</v>
      </c>
      <c r="AC105" s="7">
        <v>1</v>
      </c>
      <c r="AD105" s="7">
        <v>1</v>
      </c>
      <c r="AE105" s="7">
        <v>1</v>
      </c>
      <c r="AF105" s="7">
        <v>0</v>
      </c>
      <c r="AG105" s="7">
        <v>1</v>
      </c>
      <c r="AH105" s="7">
        <v>0</v>
      </c>
      <c r="AI105" s="7">
        <v>1</v>
      </c>
      <c r="AJ105" s="7">
        <v>1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1</v>
      </c>
      <c r="AR105" s="7">
        <v>1</v>
      </c>
      <c r="AS105" s="7">
        <f t="shared" si="3"/>
        <v>9</v>
      </c>
      <c r="AT105" s="8">
        <f t="shared" si="4"/>
        <v>0.5</v>
      </c>
      <c r="AU105" s="14" t="str">
        <f t="shared" si="5"/>
        <v>INTERMEDIÁRIO</v>
      </c>
      <c r="AV105" s="7">
        <f t="shared" si="6"/>
        <v>20</v>
      </c>
      <c r="AW105" s="8">
        <f t="shared" si="7"/>
        <v>0.55555555555555558</v>
      </c>
    </row>
    <row r="106" spans="1:49" ht="15.75" customHeight="1" x14ac:dyDescent="0.25">
      <c r="A106" s="5" t="s">
        <v>10</v>
      </c>
      <c r="B106" s="7" t="s">
        <v>399</v>
      </c>
      <c r="C106" s="7" t="s">
        <v>1103</v>
      </c>
      <c r="D106" s="6" t="s">
        <v>1097</v>
      </c>
      <c r="E106" s="5" t="s">
        <v>403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0</v>
      </c>
      <c r="N106" s="7">
        <v>1</v>
      </c>
      <c r="O106" s="7">
        <v>1</v>
      </c>
      <c r="P106" s="7">
        <v>1</v>
      </c>
      <c r="Q106" s="7">
        <v>1</v>
      </c>
      <c r="R106" s="7">
        <v>0</v>
      </c>
      <c r="S106" s="7">
        <v>1</v>
      </c>
      <c r="T106" s="7">
        <v>0</v>
      </c>
      <c r="U106" s="7">
        <v>1</v>
      </c>
      <c r="V106" s="7">
        <v>1</v>
      </c>
      <c r="W106" s="7">
        <v>1</v>
      </c>
      <c r="X106" s="7">
        <f t="shared" si="0"/>
        <v>15</v>
      </c>
      <c r="Y106" s="8">
        <f t="shared" si="1"/>
        <v>0.83333333333333326</v>
      </c>
      <c r="Z106" s="14" t="str">
        <f t="shared" si="2"/>
        <v>ADEQUADA</v>
      </c>
      <c r="AA106" s="7">
        <v>1</v>
      </c>
      <c r="AB106" s="7">
        <v>1</v>
      </c>
      <c r="AC106" s="7">
        <v>1</v>
      </c>
      <c r="AD106" s="7">
        <v>0</v>
      </c>
      <c r="AE106" s="7">
        <v>0</v>
      </c>
      <c r="AF106" s="7">
        <v>1</v>
      </c>
      <c r="AG106" s="7">
        <v>1</v>
      </c>
      <c r="AH106" s="7">
        <v>1</v>
      </c>
      <c r="AI106" s="7">
        <v>1</v>
      </c>
      <c r="AJ106" s="7">
        <v>0</v>
      </c>
      <c r="AK106" s="7">
        <v>0</v>
      </c>
      <c r="AL106" s="7">
        <v>0</v>
      </c>
      <c r="AM106" s="7">
        <v>0</v>
      </c>
      <c r="AN106" s="7">
        <v>1</v>
      </c>
      <c r="AO106" s="7">
        <v>0</v>
      </c>
      <c r="AP106" s="7">
        <v>0</v>
      </c>
      <c r="AQ106" s="7">
        <v>1</v>
      </c>
      <c r="AR106" s="7">
        <v>1</v>
      </c>
      <c r="AS106" s="7">
        <f t="shared" si="3"/>
        <v>10</v>
      </c>
      <c r="AT106" s="8">
        <f t="shared" si="4"/>
        <v>0.55555555555555558</v>
      </c>
      <c r="AU106" s="14" t="str">
        <f t="shared" si="5"/>
        <v>INTERMEDIÁRIO</v>
      </c>
      <c r="AV106" s="7">
        <f t="shared" si="6"/>
        <v>25</v>
      </c>
      <c r="AW106" s="8">
        <f t="shared" si="7"/>
        <v>0.69444444444444442</v>
      </c>
    </row>
    <row r="107" spans="1:49" ht="15.75" customHeight="1" x14ac:dyDescent="0.25">
      <c r="A107" s="5" t="s">
        <v>10</v>
      </c>
      <c r="B107" s="7" t="s">
        <v>399</v>
      </c>
      <c r="C107" s="7" t="s">
        <v>1096</v>
      </c>
      <c r="D107" s="6" t="s">
        <v>1097</v>
      </c>
      <c r="E107" s="5" t="s">
        <v>404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0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0</v>
      </c>
      <c r="U107" s="7">
        <v>1</v>
      </c>
      <c r="V107" s="7">
        <v>1</v>
      </c>
      <c r="W107" s="7">
        <v>1</v>
      </c>
      <c r="X107" s="7">
        <f t="shared" si="0"/>
        <v>16</v>
      </c>
      <c r="Y107" s="8">
        <f t="shared" si="1"/>
        <v>0.88888888888888884</v>
      </c>
      <c r="Z107" s="14" t="str">
        <f t="shared" si="2"/>
        <v>ADEQUADA</v>
      </c>
      <c r="AA107" s="7">
        <v>1</v>
      </c>
      <c r="AB107" s="7">
        <v>1</v>
      </c>
      <c r="AC107" s="7">
        <v>1</v>
      </c>
      <c r="AD107" s="7">
        <v>0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0</v>
      </c>
      <c r="AK107" s="7">
        <v>0</v>
      </c>
      <c r="AL107" s="7">
        <v>1</v>
      </c>
      <c r="AM107" s="7">
        <v>0</v>
      </c>
      <c r="AN107" s="7">
        <v>0</v>
      </c>
      <c r="AO107" s="7">
        <v>1</v>
      </c>
      <c r="AP107" s="7">
        <v>1</v>
      </c>
      <c r="AQ107" s="7">
        <v>1</v>
      </c>
      <c r="AR107" s="7">
        <v>1</v>
      </c>
      <c r="AS107" s="7">
        <f t="shared" si="3"/>
        <v>13</v>
      </c>
      <c r="AT107" s="8">
        <f t="shared" si="4"/>
        <v>0.72222222222222232</v>
      </c>
      <c r="AU107" s="14" t="str">
        <f t="shared" si="5"/>
        <v>ADEQUADA</v>
      </c>
      <c r="AV107" s="7">
        <f t="shared" si="6"/>
        <v>29</v>
      </c>
      <c r="AW107" s="8">
        <f t="shared" si="7"/>
        <v>0.80555555555555558</v>
      </c>
    </row>
    <row r="108" spans="1:49" ht="15.75" customHeight="1" x14ac:dyDescent="0.25">
      <c r="A108" s="5" t="s">
        <v>10</v>
      </c>
      <c r="B108" s="7" t="s">
        <v>399</v>
      </c>
      <c r="C108" s="7" t="s">
        <v>1096</v>
      </c>
      <c r="D108" s="6" t="s">
        <v>1097</v>
      </c>
      <c r="E108" s="5" t="s">
        <v>406</v>
      </c>
      <c r="F108" s="7">
        <v>1</v>
      </c>
      <c r="G108" s="7">
        <v>1</v>
      </c>
      <c r="H108" s="7">
        <v>0</v>
      </c>
      <c r="I108" s="7">
        <v>1</v>
      </c>
      <c r="J108" s="7">
        <v>1</v>
      </c>
      <c r="K108" s="7">
        <v>1</v>
      </c>
      <c r="L108" s="7">
        <v>0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0</v>
      </c>
      <c r="W108" s="7">
        <v>0</v>
      </c>
      <c r="X108" s="7">
        <f t="shared" si="0"/>
        <v>14</v>
      </c>
      <c r="Y108" s="8">
        <f t="shared" si="1"/>
        <v>0.77777777777777768</v>
      </c>
      <c r="Z108" s="14" t="str">
        <f t="shared" si="2"/>
        <v>ADEQUADA</v>
      </c>
      <c r="AA108" s="7">
        <v>0</v>
      </c>
      <c r="AB108" s="7">
        <v>1</v>
      </c>
      <c r="AC108" s="7">
        <v>1</v>
      </c>
      <c r="AD108" s="7">
        <v>1</v>
      </c>
      <c r="AE108" s="7">
        <v>0</v>
      </c>
      <c r="AF108" s="7">
        <v>1</v>
      </c>
      <c r="AG108" s="7">
        <v>1</v>
      </c>
      <c r="AH108" s="7">
        <v>1</v>
      </c>
      <c r="AI108" s="7">
        <v>0</v>
      </c>
      <c r="AJ108" s="7">
        <v>1</v>
      </c>
      <c r="AK108" s="7">
        <v>1</v>
      </c>
      <c r="AL108" s="7">
        <v>0</v>
      </c>
      <c r="AM108" s="7">
        <v>0</v>
      </c>
      <c r="AN108" s="7">
        <v>0</v>
      </c>
      <c r="AO108" s="7">
        <v>1</v>
      </c>
      <c r="AP108" s="7">
        <v>1</v>
      </c>
      <c r="AQ108" s="7">
        <v>1</v>
      </c>
      <c r="AR108" s="7">
        <v>1</v>
      </c>
      <c r="AS108" s="7">
        <f t="shared" si="3"/>
        <v>12</v>
      </c>
      <c r="AT108" s="8">
        <f t="shared" si="4"/>
        <v>0.66666666666666674</v>
      </c>
      <c r="AU108" s="14" t="str">
        <f t="shared" si="5"/>
        <v>INTERMEDIÁRIO</v>
      </c>
      <c r="AV108" s="7">
        <f t="shared" si="6"/>
        <v>26</v>
      </c>
      <c r="AW108" s="8">
        <f t="shared" si="7"/>
        <v>0.72222222222222232</v>
      </c>
    </row>
    <row r="109" spans="1:49" ht="15.75" customHeight="1" x14ac:dyDescent="0.25">
      <c r="A109" s="5" t="s">
        <v>10</v>
      </c>
      <c r="B109" s="7" t="s">
        <v>399</v>
      </c>
      <c r="C109" s="7" t="s">
        <v>1105</v>
      </c>
      <c r="D109" s="6" t="s">
        <v>1097</v>
      </c>
      <c r="E109" s="5" t="s">
        <v>407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0</v>
      </c>
      <c r="L109" s="7">
        <v>1</v>
      </c>
      <c r="M109" s="7">
        <v>0</v>
      </c>
      <c r="N109" s="7">
        <v>1</v>
      </c>
      <c r="O109" s="7">
        <v>1</v>
      </c>
      <c r="P109" s="7">
        <v>1</v>
      </c>
      <c r="Q109" s="7">
        <v>0</v>
      </c>
      <c r="R109" s="7">
        <v>0</v>
      </c>
      <c r="S109" s="7">
        <v>0</v>
      </c>
      <c r="T109" s="7">
        <v>1</v>
      </c>
      <c r="U109" s="7">
        <v>1</v>
      </c>
      <c r="V109" s="7">
        <v>0</v>
      </c>
      <c r="W109" s="7">
        <v>1</v>
      </c>
      <c r="X109" s="7">
        <f t="shared" si="0"/>
        <v>12</v>
      </c>
      <c r="Y109" s="8">
        <f t="shared" si="1"/>
        <v>0.66666666666666674</v>
      </c>
      <c r="Z109" s="14" t="str">
        <f t="shared" si="2"/>
        <v>INTERMEDIÁRIO</v>
      </c>
      <c r="AA109" s="7">
        <v>0</v>
      </c>
      <c r="AB109" s="7">
        <v>1</v>
      </c>
      <c r="AC109" s="7">
        <v>1</v>
      </c>
      <c r="AD109" s="7">
        <v>1</v>
      </c>
      <c r="AE109" s="7">
        <v>0</v>
      </c>
      <c r="AF109" s="7">
        <v>0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0</v>
      </c>
      <c r="AM109" s="7">
        <v>0</v>
      </c>
      <c r="AN109" s="7">
        <v>0</v>
      </c>
      <c r="AO109" s="7">
        <v>1</v>
      </c>
      <c r="AP109" s="7">
        <v>0</v>
      </c>
      <c r="AQ109" s="7">
        <v>1</v>
      </c>
      <c r="AR109" s="7">
        <v>1</v>
      </c>
      <c r="AS109" s="7">
        <f t="shared" si="3"/>
        <v>11</v>
      </c>
      <c r="AT109" s="8">
        <f t="shared" si="4"/>
        <v>0.61111111111111116</v>
      </c>
      <c r="AU109" s="14" t="str">
        <f t="shared" si="5"/>
        <v>INTERMEDIÁRIO</v>
      </c>
      <c r="AV109" s="7">
        <f t="shared" si="6"/>
        <v>23</v>
      </c>
      <c r="AW109" s="8">
        <f t="shared" si="7"/>
        <v>0.63888888888888884</v>
      </c>
    </row>
    <row r="110" spans="1:49" ht="15.75" customHeight="1" x14ac:dyDescent="0.25">
      <c r="A110" s="5" t="s">
        <v>10</v>
      </c>
      <c r="B110" s="7" t="s">
        <v>399</v>
      </c>
      <c r="C110" s="7" t="s">
        <v>1104</v>
      </c>
      <c r="D110" s="6" t="s">
        <v>1097</v>
      </c>
      <c r="E110" s="5" t="s">
        <v>408</v>
      </c>
      <c r="F110" s="7">
        <v>0</v>
      </c>
      <c r="G110" s="7">
        <v>1</v>
      </c>
      <c r="H110" s="7">
        <v>1</v>
      </c>
      <c r="I110" s="7">
        <v>1</v>
      </c>
      <c r="J110" s="7">
        <v>0</v>
      </c>
      <c r="K110" s="7">
        <v>1</v>
      </c>
      <c r="L110" s="7">
        <v>0</v>
      </c>
      <c r="M110" s="7">
        <v>1</v>
      </c>
      <c r="N110" s="7">
        <v>0</v>
      </c>
      <c r="O110" s="7">
        <v>1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f t="shared" si="0"/>
        <v>6</v>
      </c>
      <c r="Y110" s="8">
        <f t="shared" si="1"/>
        <v>0.33333333333333337</v>
      </c>
      <c r="Z110" s="14" t="str">
        <f t="shared" si="2"/>
        <v>DEFASAGEM</v>
      </c>
      <c r="AA110" s="7">
        <v>1</v>
      </c>
      <c r="AB110" s="7">
        <v>1</v>
      </c>
      <c r="AC110" s="7">
        <v>0</v>
      </c>
      <c r="AD110" s="7">
        <v>1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1</v>
      </c>
      <c r="AR110" s="7">
        <v>1</v>
      </c>
      <c r="AS110" s="7">
        <f t="shared" si="3"/>
        <v>5</v>
      </c>
      <c r="AT110" s="8">
        <f t="shared" si="4"/>
        <v>0.27777777777777779</v>
      </c>
      <c r="AU110" s="14" t="str">
        <f t="shared" si="5"/>
        <v>DEFASAGEM</v>
      </c>
      <c r="AV110" s="7">
        <f t="shared" si="6"/>
        <v>11</v>
      </c>
      <c r="AW110" s="8">
        <f t="shared" si="7"/>
        <v>0.30555555555555558</v>
      </c>
    </row>
    <row r="111" spans="1:49" ht="15.75" customHeight="1" x14ac:dyDescent="0.25">
      <c r="A111" s="5" t="s">
        <v>10</v>
      </c>
      <c r="B111" s="7" t="s">
        <v>399</v>
      </c>
      <c r="C111" s="7" t="s">
        <v>1105</v>
      </c>
      <c r="D111" s="6" t="s">
        <v>1097</v>
      </c>
      <c r="E111" s="5" t="s">
        <v>409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0</v>
      </c>
      <c r="O111" s="7">
        <v>1</v>
      </c>
      <c r="P111" s="7">
        <v>1</v>
      </c>
      <c r="Q111" s="7">
        <v>1</v>
      </c>
      <c r="R111" s="7">
        <v>0</v>
      </c>
      <c r="S111" s="7">
        <v>0</v>
      </c>
      <c r="T111" s="7">
        <v>0</v>
      </c>
      <c r="U111" s="7">
        <v>0</v>
      </c>
      <c r="V111" s="7">
        <v>1</v>
      </c>
      <c r="W111" s="7">
        <v>1</v>
      </c>
      <c r="X111" s="7">
        <f t="shared" si="0"/>
        <v>13</v>
      </c>
      <c r="Y111" s="8">
        <f t="shared" si="1"/>
        <v>0.72222222222222232</v>
      </c>
      <c r="Z111" s="14" t="str">
        <f t="shared" si="2"/>
        <v>ADEQUADA</v>
      </c>
      <c r="AA111" s="7">
        <v>0</v>
      </c>
      <c r="AB111" s="7">
        <v>1</v>
      </c>
      <c r="AC111" s="7">
        <v>1</v>
      </c>
      <c r="AD111" s="7">
        <v>1</v>
      </c>
      <c r="AE111" s="7">
        <v>1</v>
      </c>
      <c r="AF111" s="7">
        <v>0</v>
      </c>
      <c r="AG111" s="7">
        <v>1</v>
      </c>
      <c r="AH111" s="7">
        <v>0</v>
      </c>
      <c r="AI111" s="7">
        <v>1</v>
      </c>
      <c r="AJ111" s="7">
        <v>1</v>
      </c>
      <c r="AK111" s="7">
        <v>1</v>
      </c>
      <c r="AL111" s="7">
        <v>0</v>
      </c>
      <c r="AM111" s="7">
        <v>0</v>
      </c>
      <c r="AN111" s="7">
        <v>1</v>
      </c>
      <c r="AO111" s="7">
        <v>0</v>
      </c>
      <c r="AP111" s="7">
        <v>0</v>
      </c>
      <c r="AQ111" s="7">
        <v>1</v>
      </c>
      <c r="AR111" s="7">
        <v>1</v>
      </c>
      <c r="AS111" s="7">
        <f t="shared" si="3"/>
        <v>11</v>
      </c>
      <c r="AT111" s="8">
        <f t="shared" si="4"/>
        <v>0.61111111111111116</v>
      </c>
      <c r="AU111" s="14" t="str">
        <f t="shared" si="5"/>
        <v>INTERMEDIÁRIO</v>
      </c>
      <c r="AV111" s="7">
        <f t="shared" si="6"/>
        <v>24</v>
      </c>
      <c r="AW111" s="8">
        <f t="shared" si="7"/>
        <v>0.66666666666666674</v>
      </c>
    </row>
    <row r="112" spans="1:49" ht="15.75" customHeight="1" x14ac:dyDescent="0.25">
      <c r="A112" s="5" t="s">
        <v>10</v>
      </c>
      <c r="B112" s="7" t="s">
        <v>399</v>
      </c>
      <c r="C112" s="7" t="s">
        <v>1103</v>
      </c>
      <c r="D112" s="6" t="s">
        <v>1097</v>
      </c>
      <c r="E112" s="5" t="s">
        <v>410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0</v>
      </c>
      <c r="X112" s="7">
        <f t="shared" si="0"/>
        <v>17</v>
      </c>
      <c r="Y112" s="8">
        <f t="shared" si="1"/>
        <v>0.94444444444444442</v>
      </c>
      <c r="Z112" s="14" t="str">
        <f t="shared" si="2"/>
        <v>ADEQUADA</v>
      </c>
      <c r="AA112" s="7">
        <v>0</v>
      </c>
      <c r="AB112" s="7">
        <v>1</v>
      </c>
      <c r="AC112" s="7">
        <v>1</v>
      </c>
      <c r="AD112" s="7">
        <v>1</v>
      </c>
      <c r="AE112" s="7">
        <v>1</v>
      </c>
      <c r="AF112" s="7">
        <v>0</v>
      </c>
      <c r="AG112" s="7">
        <v>1</v>
      </c>
      <c r="AH112" s="7">
        <v>1</v>
      </c>
      <c r="AI112" s="7">
        <v>0</v>
      </c>
      <c r="AJ112" s="7">
        <v>1</v>
      </c>
      <c r="AK112" s="7">
        <v>0</v>
      </c>
      <c r="AL112" s="7">
        <v>0</v>
      </c>
      <c r="AM112" s="7">
        <v>1</v>
      </c>
      <c r="AN112" s="7">
        <v>0</v>
      </c>
      <c r="AO112" s="7">
        <v>0</v>
      </c>
      <c r="AP112" s="7">
        <v>1</v>
      </c>
      <c r="AQ112" s="7">
        <v>1</v>
      </c>
      <c r="AR112" s="7">
        <v>1</v>
      </c>
      <c r="AS112" s="7">
        <f t="shared" si="3"/>
        <v>11</v>
      </c>
      <c r="AT112" s="8">
        <f t="shared" si="4"/>
        <v>0.61111111111111116</v>
      </c>
      <c r="AU112" s="14" t="str">
        <f t="shared" si="5"/>
        <v>INTERMEDIÁRIO</v>
      </c>
      <c r="AV112" s="7">
        <f t="shared" si="6"/>
        <v>28</v>
      </c>
      <c r="AW112" s="8">
        <f t="shared" si="7"/>
        <v>0.77777777777777768</v>
      </c>
    </row>
    <row r="113" spans="1:49" ht="15.75" customHeight="1" x14ac:dyDescent="0.25">
      <c r="A113" s="5" t="s">
        <v>10</v>
      </c>
      <c r="B113" s="7" t="s">
        <v>399</v>
      </c>
      <c r="C113" s="7" t="s">
        <v>1104</v>
      </c>
      <c r="D113" s="6" t="s">
        <v>1097</v>
      </c>
      <c r="E113" s="5" t="s">
        <v>411</v>
      </c>
      <c r="F113" s="7">
        <v>0</v>
      </c>
      <c r="G113" s="7">
        <v>1</v>
      </c>
      <c r="H113" s="7">
        <v>0</v>
      </c>
      <c r="I113" s="7">
        <v>1</v>
      </c>
      <c r="J113" s="7">
        <v>1</v>
      </c>
      <c r="K113" s="7">
        <v>1</v>
      </c>
      <c r="L113" s="7">
        <v>0</v>
      </c>
      <c r="M113" s="7">
        <v>1</v>
      </c>
      <c r="N113" s="7">
        <v>1</v>
      </c>
      <c r="O113" s="7">
        <v>1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1</v>
      </c>
      <c r="X113" s="7">
        <f t="shared" si="0"/>
        <v>8</v>
      </c>
      <c r="Y113" s="8">
        <f t="shared" si="1"/>
        <v>0.44444444444444442</v>
      </c>
      <c r="Z113" s="14" t="str">
        <f t="shared" si="2"/>
        <v>INTERMEDIÁRIO</v>
      </c>
      <c r="AA113" s="7">
        <v>1</v>
      </c>
      <c r="AB113" s="7">
        <v>1</v>
      </c>
      <c r="AC113" s="7">
        <v>1</v>
      </c>
      <c r="AD113" s="7">
        <v>1</v>
      </c>
      <c r="AE113" s="7">
        <v>0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0</v>
      </c>
      <c r="AL113" s="7">
        <v>1</v>
      </c>
      <c r="AM113" s="7">
        <v>0</v>
      </c>
      <c r="AN113" s="7">
        <v>0</v>
      </c>
      <c r="AO113" s="7">
        <v>1</v>
      </c>
      <c r="AP113" s="7">
        <v>0</v>
      </c>
      <c r="AQ113" s="7">
        <v>1</v>
      </c>
      <c r="AR113" s="7">
        <v>1</v>
      </c>
      <c r="AS113" s="7">
        <f t="shared" si="3"/>
        <v>13</v>
      </c>
      <c r="AT113" s="8">
        <f t="shared" si="4"/>
        <v>0.72222222222222232</v>
      </c>
      <c r="AU113" s="14" t="str">
        <f t="shared" si="5"/>
        <v>ADEQUADA</v>
      </c>
      <c r="AV113" s="7">
        <f t="shared" si="6"/>
        <v>21</v>
      </c>
      <c r="AW113" s="8">
        <f t="shared" si="7"/>
        <v>0.58333333333333337</v>
      </c>
    </row>
    <row r="114" spans="1:49" ht="15.75" customHeight="1" x14ac:dyDescent="0.25">
      <c r="A114" s="5" t="s">
        <v>10</v>
      </c>
      <c r="B114" s="7" t="s">
        <v>399</v>
      </c>
      <c r="C114" s="7" t="s">
        <v>1103</v>
      </c>
      <c r="D114" s="6" t="s">
        <v>1097</v>
      </c>
      <c r="E114" s="5" t="s">
        <v>412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0</v>
      </c>
      <c r="U114" s="7">
        <v>1</v>
      </c>
      <c r="V114" s="7">
        <v>1</v>
      </c>
      <c r="W114" s="7">
        <v>1</v>
      </c>
      <c r="X114" s="7">
        <f t="shared" si="0"/>
        <v>17</v>
      </c>
      <c r="Y114" s="8">
        <f t="shared" si="1"/>
        <v>0.94444444444444442</v>
      </c>
      <c r="Z114" s="14" t="str">
        <f t="shared" si="2"/>
        <v>ADEQUADA</v>
      </c>
      <c r="AA114" s="7">
        <v>1</v>
      </c>
      <c r="AB114" s="7">
        <v>1</v>
      </c>
      <c r="AC114" s="7">
        <v>1</v>
      </c>
      <c r="AD114" s="7">
        <v>1</v>
      </c>
      <c r="AE114" s="7">
        <v>0</v>
      </c>
      <c r="AF114" s="7">
        <v>1</v>
      </c>
      <c r="AG114" s="7">
        <v>1</v>
      </c>
      <c r="AH114" s="7">
        <v>1</v>
      </c>
      <c r="AI114" s="7">
        <v>0</v>
      </c>
      <c r="AJ114" s="7">
        <v>1</v>
      </c>
      <c r="AK114" s="7">
        <v>1</v>
      </c>
      <c r="AL114" s="7">
        <v>1</v>
      </c>
      <c r="AM114" s="7">
        <v>0</v>
      </c>
      <c r="AN114" s="7">
        <v>0</v>
      </c>
      <c r="AO114" s="7">
        <v>1</v>
      </c>
      <c r="AP114" s="7">
        <v>1</v>
      </c>
      <c r="AQ114" s="7">
        <v>1</v>
      </c>
      <c r="AR114" s="7">
        <v>1</v>
      </c>
      <c r="AS114" s="7">
        <f t="shared" si="3"/>
        <v>14</v>
      </c>
      <c r="AT114" s="8">
        <f t="shared" si="4"/>
        <v>0.77777777777777768</v>
      </c>
      <c r="AU114" s="14" t="str">
        <f t="shared" si="5"/>
        <v>ADEQUADA</v>
      </c>
      <c r="AV114" s="7">
        <f t="shared" si="6"/>
        <v>31</v>
      </c>
      <c r="AW114" s="8">
        <f t="shared" si="7"/>
        <v>0.86111111111111116</v>
      </c>
    </row>
    <row r="115" spans="1:49" ht="15.75" customHeight="1" x14ac:dyDescent="0.25">
      <c r="A115" s="5" t="s">
        <v>10</v>
      </c>
      <c r="B115" s="7" t="s">
        <v>399</v>
      </c>
      <c r="C115" s="7" t="s">
        <v>1103</v>
      </c>
      <c r="D115" s="6" t="s">
        <v>1097</v>
      </c>
      <c r="E115" s="5" t="s">
        <v>413</v>
      </c>
      <c r="F115" s="7">
        <v>0</v>
      </c>
      <c r="G115" s="7">
        <v>0</v>
      </c>
      <c r="H115" s="7">
        <v>0</v>
      </c>
      <c r="I115" s="7">
        <v>0</v>
      </c>
      <c r="J115" s="7">
        <v>1</v>
      </c>
      <c r="K115" s="7">
        <v>1</v>
      </c>
      <c r="L115" s="7">
        <v>0</v>
      </c>
      <c r="M115" s="7">
        <v>0</v>
      </c>
      <c r="N115" s="7">
        <v>0</v>
      </c>
      <c r="O115" s="7">
        <v>0</v>
      </c>
      <c r="P115" s="7">
        <v>1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1</v>
      </c>
      <c r="X115" s="7">
        <f t="shared" si="0"/>
        <v>5</v>
      </c>
      <c r="Y115" s="8">
        <f t="shared" si="1"/>
        <v>0.27777777777777779</v>
      </c>
      <c r="Z115" s="14" t="str">
        <f t="shared" si="2"/>
        <v>DEFASAGEM</v>
      </c>
      <c r="AA115" s="7">
        <v>1</v>
      </c>
      <c r="AB115" s="7">
        <v>1</v>
      </c>
      <c r="AC115" s="7">
        <v>1</v>
      </c>
      <c r="AD115" s="7">
        <v>1</v>
      </c>
      <c r="AE115" s="7">
        <v>0</v>
      </c>
      <c r="AF115" s="7">
        <v>1</v>
      </c>
      <c r="AG115" s="7">
        <v>1</v>
      </c>
      <c r="AH115" s="7">
        <v>0</v>
      </c>
      <c r="AI115" s="7">
        <v>0</v>
      </c>
      <c r="AJ115" s="7">
        <v>1</v>
      </c>
      <c r="AK115" s="7">
        <v>1</v>
      </c>
      <c r="AL115" s="7">
        <v>1</v>
      </c>
      <c r="AM115" s="7">
        <v>0</v>
      </c>
      <c r="AN115" s="7">
        <v>1</v>
      </c>
      <c r="AO115" s="7">
        <v>1</v>
      </c>
      <c r="AP115" s="7">
        <v>0</v>
      </c>
      <c r="AQ115" s="7">
        <v>1</v>
      </c>
      <c r="AR115" s="7">
        <v>1</v>
      </c>
      <c r="AS115" s="7">
        <f t="shared" si="3"/>
        <v>13</v>
      </c>
      <c r="AT115" s="8">
        <f t="shared" si="4"/>
        <v>0.72222222222222232</v>
      </c>
      <c r="AU115" s="14" t="str">
        <f t="shared" si="5"/>
        <v>ADEQUADA</v>
      </c>
      <c r="AV115" s="7">
        <f t="shared" si="6"/>
        <v>18</v>
      </c>
      <c r="AW115" s="8">
        <f t="shared" si="7"/>
        <v>0.5</v>
      </c>
    </row>
    <row r="116" spans="1:49" ht="15.75" customHeight="1" x14ac:dyDescent="0.25">
      <c r="A116" s="5" t="s">
        <v>10</v>
      </c>
      <c r="B116" s="7" t="s">
        <v>399</v>
      </c>
      <c r="C116" s="7" t="s">
        <v>1103</v>
      </c>
      <c r="D116" s="6" t="s">
        <v>1097</v>
      </c>
      <c r="E116" s="5" t="s">
        <v>414</v>
      </c>
      <c r="F116" s="7">
        <v>1</v>
      </c>
      <c r="G116" s="7">
        <v>1</v>
      </c>
      <c r="H116" s="7">
        <v>1</v>
      </c>
      <c r="I116" s="7">
        <v>1</v>
      </c>
      <c r="J116" s="7">
        <v>0</v>
      </c>
      <c r="K116" s="7">
        <v>0</v>
      </c>
      <c r="L116" s="7">
        <v>1</v>
      </c>
      <c r="M116" s="7">
        <v>1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1</v>
      </c>
      <c r="W116" s="7">
        <v>0</v>
      </c>
      <c r="X116" s="7">
        <f t="shared" si="0"/>
        <v>7</v>
      </c>
      <c r="Y116" s="8">
        <f t="shared" si="1"/>
        <v>0.38888888888888884</v>
      </c>
      <c r="Z116" s="14" t="str">
        <f t="shared" si="2"/>
        <v>DEFASAGEM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1</v>
      </c>
      <c r="AJ116" s="7">
        <v>0</v>
      </c>
      <c r="AK116" s="7">
        <v>1</v>
      </c>
      <c r="AL116" s="7">
        <v>0</v>
      </c>
      <c r="AM116" s="7">
        <v>0</v>
      </c>
      <c r="AN116" s="7">
        <v>0</v>
      </c>
      <c r="AO116" s="7">
        <v>0</v>
      </c>
      <c r="AP116" s="7">
        <v>1</v>
      </c>
      <c r="AQ116" s="7">
        <v>1</v>
      </c>
      <c r="AR116" s="7">
        <v>1</v>
      </c>
      <c r="AS116" s="7">
        <f t="shared" si="3"/>
        <v>5</v>
      </c>
      <c r="AT116" s="8">
        <f t="shared" si="4"/>
        <v>0.27777777777777779</v>
      </c>
      <c r="AU116" s="14" t="str">
        <f t="shared" si="5"/>
        <v>DEFASAGEM</v>
      </c>
      <c r="AV116" s="7">
        <f t="shared" si="6"/>
        <v>12</v>
      </c>
      <c r="AW116" s="8">
        <f t="shared" si="7"/>
        <v>0.33333333333333337</v>
      </c>
    </row>
    <row r="117" spans="1:49" ht="15.75" customHeight="1" x14ac:dyDescent="0.25">
      <c r="A117" s="5" t="s">
        <v>10</v>
      </c>
      <c r="B117" s="7" t="s">
        <v>399</v>
      </c>
      <c r="C117" s="7" t="s">
        <v>1104</v>
      </c>
      <c r="D117" s="6" t="s">
        <v>1097</v>
      </c>
      <c r="E117" s="5" t="s">
        <v>415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f t="shared" si="0"/>
        <v>18</v>
      </c>
      <c r="Y117" s="8">
        <f t="shared" si="1"/>
        <v>1</v>
      </c>
      <c r="Z117" s="14" t="str">
        <f t="shared" si="2"/>
        <v>ADEQUADA</v>
      </c>
      <c r="AA117" s="7">
        <v>0</v>
      </c>
      <c r="AB117" s="7">
        <v>1</v>
      </c>
      <c r="AC117" s="7">
        <v>1</v>
      </c>
      <c r="AD117" s="7">
        <v>1</v>
      </c>
      <c r="AE117" s="7">
        <v>0</v>
      </c>
      <c r="AF117" s="7">
        <v>1</v>
      </c>
      <c r="AG117" s="7">
        <v>1</v>
      </c>
      <c r="AH117" s="7">
        <v>1</v>
      </c>
      <c r="AI117" s="7">
        <v>0</v>
      </c>
      <c r="AJ117" s="7">
        <v>1</v>
      </c>
      <c r="AK117" s="7">
        <v>1</v>
      </c>
      <c r="AL117" s="7">
        <v>0</v>
      </c>
      <c r="AM117" s="7">
        <v>0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f t="shared" si="3"/>
        <v>13</v>
      </c>
      <c r="AT117" s="8">
        <f t="shared" si="4"/>
        <v>0.72222222222222232</v>
      </c>
      <c r="AU117" s="14" t="str">
        <f t="shared" si="5"/>
        <v>ADEQUADA</v>
      </c>
      <c r="AV117" s="7">
        <f t="shared" si="6"/>
        <v>31</v>
      </c>
      <c r="AW117" s="8">
        <f t="shared" si="7"/>
        <v>0.86111111111111116</v>
      </c>
    </row>
    <row r="118" spans="1:49" ht="15.75" customHeight="1" x14ac:dyDescent="0.25">
      <c r="A118" s="5" t="s">
        <v>10</v>
      </c>
      <c r="B118" s="7" t="s">
        <v>399</v>
      </c>
      <c r="C118" s="7" t="s">
        <v>1103</v>
      </c>
      <c r="D118" s="6" t="s">
        <v>1097</v>
      </c>
      <c r="E118" s="5" t="s">
        <v>416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0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0</v>
      </c>
      <c r="T118" s="7">
        <v>1</v>
      </c>
      <c r="U118" s="7">
        <v>0</v>
      </c>
      <c r="V118" s="7">
        <v>1</v>
      </c>
      <c r="W118" s="7">
        <v>1</v>
      </c>
      <c r="X118" s="7">
        <f t="shared" si="0"/>
        <v>15</v>
      </c>
      <c r="Y118" s="8">
        <f t="shared" si="1"/>
        <v>0.83333333333333326</v>
      </c>
      <c r="Z118" s="14" t="str">
        <f t="shared" si="2"/>
        <v>ADEQUADA</v>
      </c>
      <c r="AA118" s="7">
        <v>1</v>
      </c>
      <c r="AB118" s="7">
        <v>1</v>
      </c>
      <c r="AC118" s="7">
        <v>1</v>
      </c>
      <c r="AD118" s="7">
        <v>1</v>
      </c>
      <c r="AE118" s="7">
        <v>0</v>
      </c>
      <c r="AF118" s="7">
        <v>0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0</v>
      </c>
      <c r="AN118" s="7">
        <v>0</v>
      </c>
      <c r="AO118" s="7">
        <v>1</v>
      </c>
      <c r="AP118" s="7">
        <v>1</v>
      </c>
      <c r="AQ118" s="7">
        <v>0</v>
      </c>
      <c r="AR118" s="7">
        <v>1</v>
      </c>
      <c r="AS118" s="7">
        <f t="shared" si="3"/>
        <v>13</v>
      </c>
      <c r="AT118" s="8">
        <f t="shared" si="4"/>
        <v>0.72222222222222232</v>
      </c>
      <c r="AU118" s="14" t="str">
        <f t="shared" si="5"/>
        <v>ADEQUADA</v>
      </c>
      <c r="AV118" s="7">
        <f t="shared" si="6"/>
        <v>28</v>
      </c>
      <c r="AW118" s="8">
        <f t="shared" si="7"/>
        <v>0.77777777777777768</v>
      </c>
    </row>
    <row r="119" spans="1:49" ht="15.75" customHeight="1" x14ac:dyDescent="0.25">
      <c r="A119" s="5" t="s">
        <v>10</v>
      </c>
      <c r="B119" s="7" t="s">
        <v>399</v>
      </c>
      <c r="C119" s="7" t="s">
        <v>1104</v>
      </c>
      <c r="D119" s="6" t="s">
        <v>1097</v>
      </c>
      <c r="E119" s="5" t="s">
        <v>417</v>
      </c>
      <c r="F119" s="7">
        <v>0</v>
      </c>
      <c r="G119" s="7">
        <v>0</v>
      </c>
      <c r="H119" s="7">
        <v>0</v>
      </c>
      <c r="I119" s="7">
        <v>1</v>
      </c>
      <c r="J119" s="7">
        <v>0</v>
      </c>
      <c r="K119" s="7">
        <v>1</v>
      </c>
      <c r="L119" s="7">
        <v>1</v>
      </c>
      <c r="M119" s="7">
        <v>0</v>
      </c>
      <c r="N119" s="7">
        <v>0</v>
      </c>
      <c r="O119" s="7">
        <v>0</v>
      </c>
      <c r="P119" s="7">
        <v>0</v>
      </c>
      <c r="Q119" s="7">
        <v>1</v>
      </c>
      <c r="R119" s="7">
        <v>0</v>
      </c>
      <c r="S119" s="7">
        <v>1</v>
      </c>
      <c r="T119" s="7">
        <v>0</v>
      </c>
      <c r="U119" s="7">
        <v>1</v>
      </c>
      <c r="V119" s="7">
        <v>0</v>
      </c>
      <c r="W119" s="7">
        <v>1</v>
      </c>
      <c r="X119" s="7">
        <f t="shared" si="0"/>
        <v>7</v>
      </c>
      <c r="Y119" s="8">
        <f t="shared" si="1"/>
        <v>0.38888888888888884</v>
      </c>
      <c r="Z119" s="14" t="str">
        <f t="shared" si="2"/>
        <v>DEFASAGEM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1</v>
      </c>
      <c r="AL119" s="7">
        <v>0</v>
      </c>
      <c r="AM119" s="7">
        <v>1</v>
      </c>
      <c r="AN119" s="7">
        <v>1</v>
      </c>
      <c r="AO119" s="7">
        <v>0</v>
      </c>
      <c r="AP119" s="7">
        <v>0</v>
      </c>
      <c r="AQ119" s="7">
        <v>1</v>
      </c>
      <c r="AR119" s="7">
        <v>0</v>
      </c>
      <c r="AS119" s="7">
        <f t="shared" si="3"/>
        <v>4</v>
      </c>
      <c r="AT119" s="8">
        <f t="shared" si="4"/>
        <v>0.22222222222222221</v>
      </c>
      <c r="AU119" s="14" t="str">
        <f t="shared" si="5"/>
        <v>DEFASAGEM</v>
      </c>
      <c r="AV119" s="7">
        <f t="shared" si="6"/>
        <v>11</v>
      </c>
      <c r="AW119" s="8">
        <f t="shared" si="7"/>
        <v>0.30555555555555558</v>
      </c>
    </row>
    <row r="120" spans="1:49" ht="15.75" customHeight="1" x14ac:dyDescent="0.25">
      <c r="A120" s="5" t="s">
        <v>10</v>
      </c>
      <c r="B120" s="7" t="s">
        <v>399</v>
      </c>
      <c r="C120" s="7" t="s">
        <v>1104</v>
      </c>
      <c r="D120" s="6" t="s">
        <v>1097</v>
      </c>
      <c r="E120" s="5" t="s">
        <v>418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0</v>
      </c>
      <c r="N120" s="7">
        <v>0</v>
      </c>
      <c r="O120" s="7">
        <v>1</v>
      </c>
      <c r="P120" s="7">
        <v>1</v>
      </c>
      <c r="Q120" s="7">
        <v>1</v>
      </c>
      <c r="R120" s="7">
        <v>1</v>
      </c>
      <c r="S120" s="7">
        <v>0</v>
      </c>
      <c r="T120" s="7">
        <v>1</v>
      </c>
      <c r="U120" s="7">
        <v>1</v>
      </c>
      <c r="V120" s="7">
        <v>1</v>
      </c>
      <c r="W120" s="7">
        <v>1</v>
      </c>
      <c r="X120" s="7">
        <f t="shared" si="0"/>
        <v>15</v>
      </c>
      <c r="Y120" s="8">
        <f t="shared" si="1"/>
        <v>0.83333333333333326</v>
      </c>
      <c r="Z120" s="14" t="str">
        <f t="shared" si="2"/>
        <v>ADEQUADA</v>
      </c>
      <c r="AA120" s="7">
        <v>1</v>
      </c>
      <c r="AB120" s="7">
        <v>0</v>
      </c>
      <c r="AC120" s="7">
        <v>1</v>
      </c>
      <c r="AD120" s="7">
        <v>0</v>
      </c>
      <c r="AE120" s="7">
        <v>0</v>
      </c>
      <c r="AF120" s="7">
        <v>1</v>
      </c>
      <c r="AG120" s="7">
        <v>1</v>
      </c>
      <c r="AH120" s="7">
        <v>0</v>
      </c>
      <c r="AI120" s="7">
        <v>1</v>
      </c>
      <c r="AJ120" s="7">
        <v>1</v>
      </c>
      <c r="AK120" s="7">
        <v>1</v>
      </c>
      <c r="AL120" s="7">
        <v>0</v>
      </c>
      <c r="AM120" s="7">
        <v>0</v>
      </c>
      <c r="AN120" s="7">
        <v>1</v>
      </c>
      <c r="AO120" s="7">
        <v>1</v>
      </c>
      <c r="AP120" s="7">
        <v>1</v>
      </c>
      <c r="AQ120" s="7">
        <v>1</v>
      </c>
      <c r="AR120" s="7">
        <v>1</v>
      </c>
      <c r="AS120" s="7">
        <f t="shared" si="3"/>
        <v>12</v>
      </c>
      <c r="AT120" s="8">
        <f t="shared" si="4"/>
        <v>0.66666666666666674</v>
      </c>
      <c r="AU120" s="14" t="str">
        <f t="shared" si="5"/>
        <v>INTERMEDIÁRIO</v>
      </c>
      <c r="AV120" s="7">
        <f t="shared" si="6"/>
        <v>27</v>
      </c>
      <c r="AW120" s="8">
        <f t="shared" si="7"/>
        <v>0.75</v>
      </c>
    </row>
    <row r="121" spans="1:49" ht="15.75" customHeight="1" x14ac:dyDescent="0.25">
      <c r="A121" s="5" t="s">
        <v>10</v>
      </c>
      <c r="B121" s="7" t="s">
        <v>399</v>
      </c>
      <c r="C121" s="7" t="s">
        <v>1103</v>
      </c>
      <c r="D121" s="6" t="s">
        <v>1097</v>
      </c>
      <c r="E121" s="5" t="s">
        <v>419</v>
      </c>
      <c r="F121" s="7">
        <v>1</v>
      </c>
      <c r="G121" s="7">
        <v>1</v>
      </c>
      <c r="H121" s="7">
        <v>1</v>
      </c>
      <c r="I121" s="7">
        <v>1</v>
      </c>
      <c r="J121" s="7">
        <v>0</v>
      </c>
      <c r="K121" s="7">
        <v>1</v>
      </c>
      <c r="L121" s="7">
        <v>0</v>
      </c>
      <c r="M121" s="7">
        <v>0</v>
      </c>
      <c r="N121" s="7">
        <v>1</v>
      </c>
      <c r="O121" s="7">
        <v>1</v>
      </c>
      <c r="P121" s="7">
        <v>1</v>
      </c>
      <c r="Q121" s="7">
        <v>1</v>
      </c>
      <c r="R121" s="7">
        <v>0</v>
      </c>
      <c r="S121" s="7">
        <v>1</v>
      </c>
      <c r="T121" s="7">
        <v>0</v>
      </c>
      <c r="U121" s="7">
        <v>0</v>
      </c>
      <c r="V121" s="7">
        <v>1</v>
      </c>
      <c r="W121" s="7">
        <v>0</v>
      </c>
      <c r="X121" s="7">
        <f t="shared" si="0"/>
        <v>11</v>
      </c>
      <c r="Y121" s="8">
        <f t="shared" si="1"/>
        <v>0.61111111111111116</v>
      </c>
      <c r="Z121" s="14" t="str">
        <f t="shared" si="2"/>
        <v>INTERMEDIÁRIO</v>
      </c>
      <c r="AA121" s="7">
        <v>0</v>
      </c>
      <c r="AB121" s="7">
        <v>1</v>
      </c>
      <c r="AC121" s="7">
        <v>0</v>
      </c>
      <c r="AD121" s="7">
        <v>1</v>
      </c>
      <c r="AE121" s="7">
        <v>1</v>
      </c>
      <c r="AF121" s="7">
        <v>0</v>
      </c>
      <c r="AG121" s="7">
        <v>1</v>
      </c>
      <c r="AH121" s="7">
        <v>0</v>
      </c>
      <c r="AI121" s="7">
        <v>1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1</v>
      </c>
      <c r="AP121" s="7">
        <v>0</v>
      </c>
      <c r="AQ121" s="7">
        <v>1</v>
      </c>
      <c r="AR121" s="7">
        <v>0</v>
      </c>
      <c r="AS121" s="7">
        <f t="shared" si="3"/>
        <v>7</v>
      </c>
      <c r="AT121" s="8">
        <f t="shared" si="4"/>
        <v>0.38888888888888884</v>
      </c>
      <c r="AU121" s="14" t="str">
        <f t="shared" si="5"/>
        <v>DEFASAGEM</v>
      </c>
      <c r="AV121" s="7">
        <f t="shared" si="6"/>
        <v>18</v>
      </c>
      <c r="AW121" s="8">
        <f t="shared" si="7"/>
        <v>0.5</v>
      </c>
    </row>
    <row r="122" spans="1:49" ht="15.75" customHeight="1" x14ac:dyDescent="0.25">
      <c r="A122" s="5" t="s">
        <v>10</v>
      </c>
      <c r="B122" s="7" t="s">
        <v>399</v>
      </c>
      <c r="C122" s="7" t="s">
        <v>1103</v>
      </c>
      <c r="D122" s="6" t="s">
        <v>1097</v>
      </c>
      <c r="E122" s="5" t="s">
        <v>420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0</v>
      </c>
      <c r="N122" s="7">
        <v>0</v>
      </c>
      <c r="O122" s="7">
        <v>1</v>
      </c>
      <c r="P122" s="7">
        <v>1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0</v>
      </c>
      <c r="W122" s="7">
        <v>0</v>
      </c>
      <c r="X122" s="7">
        <f t="shared" si="0"/>
        <v>14</v>
      </c>
      <c r="Y122" s="8">
        <f t="shared" si="1"/>
        <v>0.77777777777777768</v>
      </c>
      <c r="Z122" s="14" t="str">
        <f t="shared" si="2"/>
        <v>ADEQUADA</v>
      </c>
      <c r="AA122" s="7">
        <v>1</v>
      </c>
      <c r="AB122" s="7">
        <v>1</v>
      </c>
      <c r="AC122" s="7">
        <v>1</v>
      </c>
      <c r="AD122" s="7">
        <v>1</v>
      </c>
      <c r="AE122" s="7">
        <v>0</v>
      </c>
      <c r="AF122" s="7">
        <v>0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  <c r="AR122" s="7">
        <v>1</v>
      </c>
      <c r="AS122" s="7">
        <f t="shared" si="3"/>
        <v>16</v>
      </c>
      <c r="AT122" s="8">
        <f t="shared" si="4"/>
        <v>0.88888888888888884</v>
      </c>
      <c r="AU122" s="14" t="str">
        <f t="shared" si="5"/>
        <v>ADEQUADA</v>
      </c>
      <c r="AV122" s="7">
        <f t="shared" si="6"/>
        <v>30</v>
      </c>
      <c r="AW122" s="8">
        <f t="shared" si="7"/>
        <v>0.83333333333333326</v>
      </c>
    </row>
    <row r="123" spans="1:49" ht="15.75" customHeight="1" x14ac:dyDescent="0.25">
      <c r="A123" s="5" t="s">
        <v>11</v>
      </c>
      <c r="B123" s="7" t="s">
        <v>399</v>
      </c>
      <c r="C123" s="7" t="s">
        <v>1104</v>
      </c>
      <c r="D123" s="6" t="s">
        <v>1097</v>
      </c>
      <c r="E123" s="5" t="s">
        <v>421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0</v>
      </c>
      <c r="N123" s="7">
        <v>1</v>
      </c>
      <c r="O123" s="7">
        <v>1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17</v>
      </c>
      <c r="Y123" s="8">
        <v>0.94444444444444442</v>
      </c>
      <c r="Z123" s="14" t="s">
        <v>1120</v>
      </c>
      <c r="AA123" s="7">
        <v>1</v>
      </c>
      <c r="AB123" s="7">
        <v>1</v>
      </c>
      <c r="AC123" s="7">
        <v>1</v>
      </c>
      <c r="AD123" s="7">
        <v>1</v>
      </c>
      <c r="AE123" s="7">
        <v>0</v>
      </c>
      <c r="AF123" s="7">
        <v>0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0</v>
      </c>
      <c r="AM123" s="7">
        <v>0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14</v>
      </c>
      <c r="AT123" s="8">
        <v>0.77777777777777768</v>
      </c>
      <c r="AU123" s="14" t="s">
        <v>1120</v>
      </c>
      <c r="AV123" s="7">
        <v>31</v>
      </c>
      <c r="AW123" s="8">
        <v>0.86111111111111116</v>
      </c>
    </row>
    <row r="124" spans="1:49" ht="15.75" customHeight="1" x14ac:dyDescent="0.25">
      <c r="A124" s="5" t="s">
        <v>11</v>
      </c>
      <c r="B124" s="7" t="s">
        <v>399</v>
      </c>
      <c r="C124" s="7" t="s">
        <v>1103</v>
      </c>
      <c r="D124" s="6" t="s">
        <v>1097</v>
      </c>
      <c r="E124" s="5" t="s">
        <v>422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7">
        <v>1</v>
      </c>
      <c r="T124" s="7">
        <v>1</v>
      </c>
      <c r="U124" s="7">
        <v>0</v>
      </c>
      <c r="V124" s="7">
        <v>1</v>
      </c>
      <c r="W124" s="7">
        <v>1</v>
      </c>
      <c r="X124" s="7">
        <v>17</v>
      </c>
      <c r="Y124" s="8">
        <v>0.94444444444444442</v>
      </c>
      <c r="Z124" s="14" t="s">
        <v>1120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0</v>
      </c>
      <c r="AH124" s="7">
        <v>1</v>
      </c>
      <c r="AI124" s="7">
        <v>1</v>
      </c>
      <c r="AJ124" s="7">
        <v>1</v>
      </c>
      <c r="AK124" s="7">
        <v>1</v>
      </c>
      <c r="AL124" s="7">
        <v>1</v>
      </c>
      <c r="AM124" s="7">
        <v>0</v>
      </c>
      <c r="AN124" s="7">
        <v>1</v>
      </c>
      <c r="AO124" s="7">
        <v>1</v>
      </c>
      <c r="AP124" s="7">
        <v>1</v>
      </c>
      <c r="AQ124" s="7">
        <v>1</v>
      </c>
      <c r="AR124" s="7">
        <v>1</v>
      </c>
      <c r="AS124" s="7">
        <v>16</v>
      </c>
      <c r="AT124" s="8">
        <v>0.88888888888888884</v>
      </c>
      <c r="AU124" s="14" t="s">
        <v>1120</v>
      </c>
      <c r="AV124" s="7">
        <v>33</v>
      </c>
      <c r="AW124" s="8">
        <v>0.91666666666666674</v>
      </c>
    </row>
    <row r="125" spans="1:49" ht="15.75" customHeight="1" x14ac:dyDescent="0.25">
      <c r="A125" s="5" t="s">
        <v>11</v>
      </c>
      <c r="B125" s="7" t="s">
        <v>399</v>
      </c>
      <c r="C125" s="7" t="s">
        <v>1103</v>
      </c>
      <c r="D125" s="6" t="s">
        <v>1097</v>
      </c>
      <c r="E125" s="5" t="s">
        <v>423</v>
      </c>
      <c r="F125" s="7">
        <v>1</v>
      </c>
      <c r="G125" s="7">
        <v>1</v>
      </c>
      <c r="H125" s="7">
        <v>1</v>
      </c>
      <c r="I125" s="7">
        <v>1</v>
      </c>
      <c r="J125" s="7">
        <v>0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17</v>
      </c>
      <c r="Y125" s="8">
        <v>0.94444444444444442</v>
      </c>
      <c r="Z125" s="14" t="s">
        <v>1120</v>
      </c>
      <c r="AA125" s="7">
        <v>1</v>
      </c>
      <c r="AB125" s="7">
        <v>1</v>
      </c>
      <c r="AC125" s="7">
        <v>1</v>
      </c>
      <c r="AD125" s="7">
        <v>1</v>
      </c>
      <c r="AE125" s="7">
        <v>0</v>
      </c>
      <c r="AF125" s="7">
        <v>0</v>
      </c>
      <c r="AG125" s="7">
        <v>1</v>
      </c>
      <c r="AH125" s="7">
        <v>1</v>
      </c>
      <c r="AI125" s="7">
        <v>0</v>
      </c>
      <c r="AJ125" s="7">
        <v>1</v>
      </c>
      <c r="AK125" s="7">
        <v>1</v>
      </c>
      <c r="AL125" s="7">
        <v>1</v>
      </c>
      <c r="AM125" s="7">
        <v>0</v>
      </c>
      <c r="AN125" s="7">
        <v>0</v>
      </c>
      <c r="AO125" s="7">
        <v>1</v>
      </c>
      <c r="AP125" s="7">
        <v>1</v>
      </c>
      <c r="AQ125" s="7">
        <v>1</v>
      </c>
      <c r="AR125" s="7">
        <v>1</v>
      </c>
      <c r="AS125" s="7">
        <v>13</v>
      </c>
      <c r="AT125" s="8">
        <v>0.72222222222222232</v>
      </c>
      <c r="AU125" s="14" t="s">
        <v>1120</v>
      </c>
      <c r="AV125" s="7">
        <v>30</v>
      </c>
      <c r="AW125" s="8">
        <v>0.83333333333333326</v>
      </c>
    </row>
    <row r="126" spans="1:49" ht="15.75" customHeight="1" x14ac:dyDescent="0.25">
      <c r="A126" s="5" t="s">
        <v>11</v>
      </c>
      <c r="B126" s="7" t="s">
        <v>399</v>
      </c>
      <c r="C126" s="7" t="s">
        <v>1105</v>
      </c>
      <c r="D126" s="6" t="s">
        <v>1097</v>
      </c>
      <c r="E126" s="5" t="s">
        <v>424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1</v>
      </c>
      <c r="N126" s="7">
        <v>1</v>
      </c>
      <c r="O126" s="7">
        <v>1</v>
      </c>
      <c r="P126" s="7">
        <v>1</v>
      </c>
      <c r="Q126" s="7">
        <v>1</v>
      </c>
      <c r="R126" s="7">
        <v>1</v>
      </c>
      <c r="S126" s="7">
        <v>1</v>
      </c>
      <c r="T126" s="7">
        <v>1</v>
      </c>
      <c r="U126" s="7">
        <v>0</v>
      </c>
      <c r="V126" s="7">
        <v>1</v>
      </c>
      <c r="W126" s="7">
        <v>0</v>
      </c>
      <c r="X126" s="7">
        <v>16</v>
      </c>
      <c r="Y126" s="8">
        <v>0.88888888888888884</v>
      </c>
      <c r="Z126" s="14" t="s">
        <v>1120</v>
      </c>
      <c r="AA126" s="7">
        <v>1</v>
      </c>
      <c r="AB126" s="7">
        <v>1</v>
      </c>
      <c r="AC126" s="7">
        <v>1</v>
      </c>
      <c r="AD126" s="7">
        <v>0</v>
      </c>
      <c r="AE126" s="7">
        <v>1</v>
      </c>
      <c r="AF126" s="7">
        <v>1</v>
      </c>
      <c r="AG126" s="7">
        <v>1</v>
      </c>
      <c r="AH126" s="7">
        <v>1</v>
      </c>
      <c r="AI126" s="7">
        <v>1</v>
      </c>
      <c r="AJ126" s="7">
        <v>1</v>
      </c>
      <c r="AK126" s="7">
        <v>1</v>
      </c>
      <c r="AL126" s="7">
        <v>0</v>
      </c>
      <c r="AM126" s="7">
        <v>0</v>
      </c>
      <c r="AN126" s="7">
        <v>1</v>
      </c>
      <c r="AO126" s="7">
        <v>1</v>
      </c>
      <c r="AP126" s="7">
        <v>1</v>
      </c>
      <c r="AQ126" s="7">
        <v>1</v>
      </c>
      <c r="AR126" s="7">
        <v>1</v>
      </c>
      <c r="AS126" s="7">
        <v>15</v>
      </c>
      <c r="AT126" s="8">
        <v>0.83333333333333326</v>
      </c>
      <c r="AU126" s="14" t="s">
        <v>1120</v>
      </c>
      <c r="AV126" s="7">
        <v>31</v>
      </c>
      <c r="AW126" s="8">
        <v>0.86111111111111116</v>
      </c>
    </row>
    <row r="127" spans="1:49" ht="15.75" customHeight="1" x14ac:dyDescent="0.25">
      <c r="A127" s="5" t="s">
        <v>11</v>
      </c>
      <c r="B127" s="7" t="s">
        <v>399</v>
      </c>
      <c r="C127" s="7" t="s">
        <v>1103</v>
      </c>
      <c r="D127" s="6" t="s">
        <v>1097</v>
      </c>
      <c r="E127" s="5" t="s">
        <v>425</v>
      </c>
      <c r="F127" s="7">
        <v>1</v>
      </c>
      <c r="G127" s="7">
        <v>1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1</v>
      </c>
      <c r="N127" s="7">
        <v>1</v>
      </c>
      <c r="O127" s="7">
        <v>1</v>
      </c>
      <c r="P127" s="7">
        <v>1</v>
      </c>
      <c r="Q127" s="7">
        <v>1</v>
      </c>
      <c r="R127" s="7">
        <v>1</v>
      </c>
      <c r="S127" s="7">
        <v>1</v>
      </c>
      <c r="T127" s="7">
        <v>1</v>
      </c>
      <c r="U127" s="7">
        <v>1</v>
      </c>
      <c r="V127" s="7">
        <v>1</v>
      </c>
      <c r="W127" s="7">
        <v>1</v>
      </c>
      <c r="X127" s="7">
        <v>18</v>
      </c>
      <c r="Y127" s="8">
        <v>1</v>
      </c>
      <c r="Z127" s="14" t="s">
        <v>1120</v>
      </c>
      <c r="AA127" s="7">
        <v>1</v>
      </c>
      <c r="AB127" s="7">
        <v>1</v>
      </c>
      <c r="AC127" s="7">
        <v>1</v>
      </c>
      <c r="AD127" s="7">
        <v>1</v>
      </c>
      <c r="AE127" s="7">
        <v>0</v>
      </c>
      <c r="AF127" s="7">
        <v>0</v>
      </c>
      <c r="AG127" s="7">
        <v>1</v>
      </c>
      <c r="AH127" s="7">
        <v>1</v>
      </c>
      <c r="AI127" s="7">
        <v>1</v>
      </c>
      <c r="AJ127" s="7">
        <v>1</v>
      </c>
      <c r="AK127" s="7">
        <v>1</v>
      </c>
      <c r="AL127" s="7">
        <v>0</v>
      </c>
      <c r="AM127" s="7">
        <v>0</v>
      </c>
      <c r="AN127" s="7">
        <v>0</v>
      </c>
      <c r="AO127" s="7">
        <v>1</v>
      </c>
      <c r="AP127" s="7">
        <v>1</v>
      </c>
      <c r="AQ127" s="7">
        <v>1</v>
      </c>
      <c r="AR127" s="7">
        <v>1</v>
      </c>
      <c r="AS127" s="7">
        <v>13</v>
      </c>
      <c r="AT127" s="8">
        <v>0.72222222222222232</v>
      </c>
      <c r="AU127" s="14" t="s">
        <v>1120</v>
      </c>
      <c r="AV127" s="7">
        <v>31</v>
      </c>
      <c r="AW127" s="8">
        <v>0.86111111111111116</v>
      </c>
    </row>
    <row r="128" spans="1:49" ht="15.75" customHeight="1" x14ac:dyDescent="0.25">
      <c r="A128" s="5" t="s">
        <v>11</v>
      </c>
      <c r="B128" s="7" t="s">
        <v>399</v>
      </c>
      <c r="C128" s="7" t="s">
        <v>1103</v>
      </c>
      <c r="D128" s="6" t="s">
        <v>1097</v>
      </c>
      <c r="E128" s="5" t="s">
        <v>426</v>
      </c>
      <c r="F128" s="7">
        <v>0</v>
      </c>
      <c r="G128" s="7">
        <v>1</v>
      </c>
      <c r="H128" s="7">
        <v>0</v>
      </c>
      <c r="I128" s="7">
        <v>1</v>
      </c>
      <c r="J128" s="7">
        <v>0</v>
      </c>
      <c r="K128" s="7">
        <v>1</v>
      </c>
      <c r="L128" s="7">
        <v>0</v>
      </c>
      <c r="M128" s="7">
        <v>0</v>
      </c>
      <c r="N128" s="7">
        <v>1</v>
      </c>
      <c r="O128" s="7">
        <v>1</v>
      </c>
      <c r="P128" s="7">
        <v>0</v>
      </c>
      <c r="Q128" s="7">
        <v>1</v>
      </c>
      <c r="R128" s="7">
        <v>1</v>
      </c>
      <c r="S128" s="7">
        <v>1</v>
      </c>
      <c r="T128" s="7">
        <v>0</v>
      </c>
      <c r="U128" s="7">
        <v>1</v>
      </c>
      <c r="V128" s="7">
        <v>1</v>
      </c>
      <c r="W128" s="7">
        <v>1</v>
      </c>
      <c r="X128" s="7">
        <v>11</v>
      </c>
      <c r="Y128" s="8">
        <v>0.61111111111111116</v>
      </c>
      <c r="Z128" s="14" t="s">
        <v>1119</v>
      </c>
      <c r="AA128" s="7">
        <v>1</v>
      </c>
      <c r="AB128" s="7">
        <v>0</v>
      </c>
      <c r="AC128" s="7">
        <v>0</v>
      </c>
      <c r="AD128" s="7">
        <v>1</v>
      </c>
      <c r="AE128" s="7">
        <v>0</v>
      </c>
      <c r="AF128" s="7">
        <v>1</v>
      </c>
      <c r="AG128" s="7">
        <v>0</v>
      </c>
      <c r="AH128" s="7">
        <v>0</v>
      </c>
      <c r="AI128" s="7">
        <v>0</v>
      </c>
      <c r="AJ128" s="7">
        <v>1</v>
      </c>
      <c r="AK128" s="7">
        <v>0</v>
      </c>
      <c r="AL128" s="7">
        <v>1</v>
      </c>
      <c r="AM128" s="7">
        <v>1</v>
      </c>
      <c r="AN128" s="7">
        <v>0</v>
      </c>
      <c r="AO128" s="7">
        <v>1</v>
      </c>
      <c r="AP128" s="7">
        <v>0</v>
      </c>
      <c r="AQ128" s="7">
        <v>1</v>
      </c>
      <c r="AR128" s="7">
        <v>1</v>
      </c>
      <c r="AS128" s="7">
        <v>9</v>
      </c>
      <c r="AT128" s="8">
        <v>0.5</v>
      </c>
      <c r="AU128" s="14" t="s">
        <v>1119</v>
      </c>
      <c r="AV128" s="7">
        <v>20</v>
      </c>
      <c r="AW128" s="8">
        <v>0.55555555555555558</v>
      </c>
    </row>
    <row r="129" spans="1:49" ht="15.75" customHeight="1" x14ac:dyDescent="0.25">
      <c r="A129" s="5" t="s">
        <v>11</v>
      </c>
      <c r="B129" s="7" t="s">
        <v>399</v>
      </c>
      <c r="C129" s="7" t="s">
        <v>1103</v>
      </c>
      <c r="D129" s="6" t="s">
        <v>1097</v>
      </c>
      <c r="E129" s="5" t="s">
        <v>427</v>
      </c>
      <c r="F129" s="7">
        <v>1</v>
      </c>
      <c r="G129" s="7">
        <v>1</v>
      </c>
      <c r="H129" s="7">
        <v>0</v>
      </c>
      <c r="I129" s="7">
        <v>1</v>
      </c>
      <c r="J129" s="7">
        <v>1</v>
      </c>
      <c r="K129" s="7">
        <v>1</v>
      </c>
      <c r="L129" s="7">
        <v>1</v>
      </c>
      <c r="M129" s="7">
        <v>0</v>
      </c>
      <c r="N129" s="7">
        <v>0</v>
      </c>
      <c r="O129" s="7">
        <v>1</v>
      </c>
      <c r="P129" s="7">
        <v>1</v>
      </c>
      <c r="Q129" s="7">
        <v>1</v>
      </c>
      <c r="R129" s="7">
        <v>1</v>
      </c>
      <c r="S129" s="7">
        <v>1</v>
      </c>
      <c r="T129" s="7">
        <v>1</v>
      </c>
      <c r="U129" s="7">
        <v>1</v>
      </c>
      <c r="V129" s="7">
        <v>1</v>
      </c>
      <c r="W129" s="7">
        <v>1</v>
      </c>
      <c r="X129" s="7">
        <v>15</v>
      </c>
      <c r="Y129" s="8">
        <v>0.83333333333333326</v>
      </c>
      <c r="Z129" s="14" t="s">
        <v>1120</v>
      </c>
      <c r="AA129" s="7">
        <v>0</v>
      </c>
      <c r="AB129" s="7">
        <v>1</v>
      </c>
      <c r="AC129" s="7">
        <v>1</v>
      </c>
      <c r="AD129" s="7">
        <v>1</v>
      </c>
      <c r="AE129" s="7">
        <v>1</v>
      </c>
      <c r="AF129" s="7">
        <v>0</v>
      </c>
      <c r="AG129" s="7">
        <v>1</v>
      </c>
      <c r="AH129" s="7">
        <v>1</v>
      </c>
      <c r="AI129" s="7">
        <v>0</v>
      </c>
      <c r="AJ129" s="7">
        <v>1</v>
      </c>
      <c r="AK129" s="7">
        <v>1</v>
      </c>
      <c r="AL129" s="7">
        <v>1</v>
      </c>
      <c r="AM129" s="7">
        <v>0</v>
      </c>
      <c r="AN129" s="7">
        <v>1</v>
      </c>
      <c r="AO129" s="7">
        <v>1</v>
      </c>
      <c r="AP129" s="7">
        <v>1</v>
      </c>
      <c r="AQ129" s="7">
        <v>1</v>
      </c>
      <c r="AR129" s="7">
        <v>1</v>
      </c>
      <c r="AS129" s="7">
        <v>14</v>
      </c>
      <c r="AT129" s="8">
        <v>0.77777777777777768</v>
      </c>
      <c r="AU129" s="14" t="s">
        <v>1120</v>
      </c>
      <c r="AV129" s="7">
        <v>29</v>
      </c>
      <c r="AW129" s="8">
        <v>0.80555555555555558</v>
      </c>
    </row>
    <row r="130" spans="1:49" ht="15.75" customHeight="1" x14ac:dyDescent="0.25">
      <c r="A130" s="5" t="s">
        <v>11</v>
      </c>
      <c r="B130" s="7" t="s">
        <v>399</v>
      </c>
      <c r="C130" s="7" t="s">
        <v>1103</v>
      </c>
      <c r="D130" s="6" t="s">
        <v>1097</v>
      </c>
      <c r="E130" s="5" t="s">
        <v>428</v>
      </c>
      <c r="F130" s="7">
        <v>1</v>
      </c>
      <c r="G130" s="7">
        <v>1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1</v>
      </c>
      <c r="N130" s="7">
        <v>1</v>
      </c>
      <c r="O130" s="7">
        <v>1</v>
      </c>
      <c r="P130" s="7">
        <v>1</v>
      </c>
      <c r="Q130" s="7">
        <v>1</v>
      </c>
      <c r="R130" s="7">
        <v>1</v>
      </c>
      <c r="S130" s="7">
        <v>1</v>
      </c>
      <c r="T130" s="7">
        <v>1</v>
      </c>
      <c r="U130" s="7">
        <v>1</v>
      </c>
      <c r="V130" s="7">
        <v>1</v>
      </c>
      <c r="W130" s="7">
        <v>1</v>
      </c>
      <c r="X130" s="7">
        <v>18</v>
      </c>
      <c r="Y130" s="8">
        <v>1</v>
      </c>
      <c r="Z130" s="14" t="s">
        <v>1120</v>
      </c>
      <c r="AA130" s="7">
        <v>1</v>
      </c>
      <c r="AB130" s="7">
        <v>1</v>
      </c>
      <c r="AC130" s="7">
        <v>1</v>
      </c>
      <c r="AD130" s="7">
        <v>1</v>
      </c>
      <c r="AE130" s="7">
        <v>1</v>
      </c>
      <c r="AF130" s="7">
        <v>1</v>
      </c>
      <c r="AG130" s="7">
        <v>1</v>
      </c>
      <c r="AH130" s="7">
        <v>1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  <c r="AP130" s="7">
        <v>1</v>
      </c>
      <c r="AQ130" s="7">
        <v>1</v>
      </c>
      <c r="AR130" s="7">
        <v>1</v>
      </c>
      <c r="AS130" s="7">
        <v>18</v>
      </c>
      <c r="AT130" s="8">
        <v>1</v>
      </c>
      <c r="AU130" s="14" t="s">
        <v>1120</v>
      </c>
      <c r="AV130" s="7">
        <v>36</v>
      </c>
      <c r="AW130" s="8">
        <v>1</v>
      </c>
    </row>
    <row r="131" spans="1:49" ht="15.75" customHeight="1" x14ac:dyDescent="0.25">
      <c r="A131" s="5" t="s">
        <v>11</v>
      </c>
      <c r="B131" s="7" t="s">
        <v>399</v>
      </c>
      <c r="C131" s="7" t="s">
        <v>1103</v>
      </c>
      <c r="D131" s="6" t="s">
        <v>1097</v>
      </c>
      <c r="E131" s="5" t="s">
        <v>429</v>
      </c>
      <c r="F131" s="7">
        <v>1</v>
      </c>
      <c r="G131" s="7">
        <v>1</v>
      </c>
      <c r="H131" s="7">
        <v>1</v>
      </c>
      <c r="I131" s="7">
        <v>1</v>
      </c>
      <c r="J131" s="7">
        <v>1</v>
      </c>
      <c r="K131" s="7">
        <v>1</v>
      </c>
      <c r="L131" s="7">
        <v>1</v>
      </c>
      <c r="M131" s="7">
        <v>1</v>
      </c>
      <c r="N131" s="7">
        <v>1</v>
      </c>
      <c r="O131" s="7">
        <v>1</v>
      </c>
      <c r="P131" s="7">
        <v>1</v>
      </c>
      <c r="Q131" s="7">
        <v>1</v>
      </c>
      <c r="R131" s="7">
        <v>1</v>
      </c>
      <c r="S131" s="7">
        <v>1</v>
      </c>
      <c r="T131" s="7">
        <v>1</v>
      </c>
      <c r="U131" s="7">
        <v>1</v>
      </c>
      <c r="V131" s="7">
        <v>1</v>
      </c>
      <c r="W131" s="7">
        <v>1</v>
      </c>
      <c r="X131" s="7">
        <v>18</v>
      </c>
      <c r="Y131" s="8">
        <v>1</v>
      </c>
      <c r="Z131" s="14" t="s">
        <v>1120</v>
      </c>
      <c r="AA131" s="7">
        <v>1</v>
      </c>
      <c r="AB131" s="7">
        <v>1</v>
      </c>
      <c r="AC131" s="7">
        <v>1</v>
      </c>
      <c r="AD131" s="7">
        <v>1</v>
      </c>
      <c r="AE131" s="7">
        <v>0</v>
      </c>
      <c r="AF131" s="7">
        <v>1</v>
      </c>
      <c r="AG131" s="7">
        <v>1</v>
      </c>
      <c r="AH131" s="7">
        <v>1</v>
      </c>
      <c r="AI131" s="7">
        <v>1</v>
      </c>
      <c r="AJ131" s="7">
        <v>1</v>
      </c>
      <c r="AK131" s="7">
        <v>1</v>
      </c>
      <c r="AL131" s="7">
        <v>1</v>
      </c>
      <c r="AM131" s="7">
        <v>1</v>
      </c>
      <c r="AN131" s="7">
        <v>1</v>
      </c>
      <c r="AO131" s="7">
        <v>1</v>
      </c>
      <c r="AP131" s="7">
        <v>1</v>
      </c>
      <c r="AQ131" s="7">
        <v>1</v>
      </c>
      <c r="AR131" s="7">
        <v>1</v>
      </c>
      <c r="AS131" s="7">
        <v>17</v>
      </c>
      <c r="AT131" s="8">
        <v>0.94444444444444442</v>
      </c>
      <c r="AU131" s="14" t="s">
        <v>1120</v>
      </c>
      <c r="AV131" s="7">
        <v>35</v>
      </c>
      <c r="AW131" s="8">
        <v>0.97222222222222232</v>
      </c>
    </row>
    <row r="132" spans="1:49" ht="15.75" customHeight="1" x14ac:dyDescent="0.25">
      <c r="A132" s="5" t="s">
        <v>11</v>
      </c>
      <c r="B132" s="7" t="s">
        <v>399</v>
      </c>
      <c r="C132" s="7" t="s">
        <v>1103</v>
      </c>
      <c r="D132" s="6" t="s">
        <v>1097</v>
      </c>
      <c r="E132" s="5" t="s">
        <v>430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1</v>
      </c>
      <c r="M132" s="7">
        <v>1</v>
      </c>
      <c r="N132" s="7">
        <v>1</v>
      </c>
      <c r="O132" s="7">
        <v>1</v>
      </c>
      <c r="P132" s="7">
        <v>1</v>
      </c>
      <c r="Q132" s="7">
        <v>1</v>
      </c>
      <c r="R132" s="7">
        <v>1</v>
      </c>
      <c r="S132" s="7">
        <v>1</v>
      </c>
      <c r="T132" s="7">
        <v>1</v>
      </c>
      <c r="U132" s="7">
        <v>1</v>
      </c>
      <c r="V132" s="7">
        <v>1</v>
      </c>
      <c r="W132" s="7">
        <v>1</v>
      </c>
      <c r="X132" s="7">
        <v>18</v>
      </c>
      <c r="Y132" s="8">
        <v>1</v>
      </c>
      <c r="Z132" s="14" t="s">
        <v>1120</v>
      </c>
      <c r="AA132" s="7">
        <v>1</v>
      </c>
      <c r="AB132" s="7">
        <v>1</v>
      </c>
      <c r="AC132" s="7">
        <v>1</v>
      </c>
      <c r="AD132" s="7">
        <v>1</v>
      </c>
      <c r="AE132" s="7">
        <v>1</v>
      </c>
      <c r="AF132" s="7">
        <v>0</v>
      </c>
      <c r="AG132" s="7">
        <v>1</v>
      </c>
      <c r="AH132" s="7">
        <v>0</v>
      </c>
      <c r="AI132" s="7">
        <v>0</v>
      </c>
      <c r="AJ132" s="7">
        <v>1</v>
      </c>
      <c r="AK132" s="7">
        <v>1</v>
      </c>
      <c r="AL132" s="7">
        <v>0</v>
      </c>
      <c r="AM132" s="7">
        <v>0</v>
      </c>
      <c r="AN132" s="7">
        <v>0</v>
      </c>
      <c r="AO132" s="7">
        <v>1</v>
      </c>
      <c r="AP132" s="7">
        <v>1</v>
      </c>
      <c r="AQ132" s="7">
        <v>1</v>
      </c>
      <c r="AR132" s="7">
        <v>1</v>
      </c>
      <c r="AS132" s="7">
        <v>12</v>
      </c>
      <c r="AT132" s="8">
        <v>0.66666666666666674</v>
      </c>
      <c r="AU132" s="14" t="s">
        <v>1119</v>
      </c>
      <c r="AV132" s="7">
        <v>30</v>
      </c>
      <c r="AW132" s="8">
        <v>0.83333333333333326</v>
      </c>
    </row>
    <row r="133" spans="1:49" ht="15.75" customHeight="1" x14ac:dyDescent="0.25">
      <c r="A133" s="5" t="s">
        <v>11</v>
      </c>
      <c r="B133" s="7" t="s">
        <v>399</v>
      </c>
      <c r="C133" s="7" t="s">
        <v>1096</v>
      </c>
      <c r="D133" s="6" t="s">
        <v>1097</v>
      </c>
      <c r="E133" s="5" t="s">
        <v>431</v>
      </c>
      <c r="F133" s="7">
        <v>1</v>
      </c>
      <c r="G133" s="7">
        <v>1</v>
      </c>
      <c r="H133" s="7">
        <v>1</v>
      </c>
      <c r="I133" s="7">
        <v>0</v>
      </c>
      <c r="J133" s="7">
        <v>1</v>
      </c>
      <c r="K133" s="7">
        <v>1</v>
      </c>
      <c r="L133" s="7">
        <v>1</v>
      </c>
      <c r="M133" s="7">
        <v>1</v>
      </c>
      <c r="N133" s="7">
        <v>1</v>
      </c>
      <c r="O133" s="7">
        <v>1</v>
      </c>
      <c r="P133" s="7">
        <v>1</v>
      </c>
      <c r="Q133" s="7">
        <v>1</v>
      </c>
      <c r="R133" s="7">
        <v>1</v>
      </c>
      <c r="S133" s="7">
        <v>0</v>
      </c>
      <c r="T133" s="7">
        <v>0</v>
      </c>
      <c r="U133" s="7">
        <v>1</v>
      </c>
      <c r="V133" s="7">
        <v>0</v>
      </c>
      <c r="W133" s="7">
        <v>1</v>
      </c>
      <c r="X133" s="7">
        <v>14</v>
      </c>
      <c r="Y133" s="8">
        <v>0.77777777777777768</v>
      </c>
      <c r="Z133" s="14" t="s">
        <v>1120</v>
      </c>
      <c r="AA133" s="7">
        <v>1</v>
      </c>
      <c r="AB133" s="7">
        <v>1</v>
      </c>
      <c r="AC133" s="7">
        <v>1</v>
      </c>
      <c r="AD133" s="7">
        <v>1</v>
      </c>
      <c r="AE133" s="7">
        <v>0</v>
      </c>
      <c r="AF133" s="7">
        <v>1</v>
      </c>
      <c r="AG133" s="7">
        <v>0</v>
      </c>
      <c r="AH133" s="7">
        <v>0</v>
      </c>
      <c r="AI133" s="7">
        <v>1</v>
      </c>
      <c r="AJ133" s="7">
        <v>1</v>
      </c>
      <c r="AK133" s="7">
        <v>0</v>
      </c>
      <c r="AL133" s="7">
        <v>0</v>
      </c>
      <c r="AM133" s="7">
        <v>0</v>
      </c>
      <c r="AN133" s="7">
        <v>0</v>
      </c>
      <c r="AO133" s="7">
        <v>1</v>
      </c>
      <c r="AP133" s="7">
        <v>0</v>
      </c>
      <c r="AQ133" s="7">
        <v>1</v>
      </c>
      <c r="AR133" s="7">
        <v>1</v>
      </c>
      <c r="AS133" s="7">
        <v>10</v>
      </c>
      <c r="AT133" s="8">
        <v>0.55555555555555558</v>
      </c>
      <c r="AU133" s="14" t="s">
        <v>1119</v>
      </c>
      <c r="AV133" s="7">
        <v>24</v>
      </c>
      <c r="AW133" s="8">
        <v>0.66666666666666674</v>
      </c>
    </row>
    <row r="134" spans="1:49" ht="15.75" customHeight="1" x14ac:dyDescent="0.25">
      <c r="A134" s="5" t="s">
        <v>11</v>
      </c>
      <c r="B134" s="7" t="s">
        <v>399</v>
      </c>
      <c r="C134" s="7" t="s">
        <v>1103</v>
      </c>
      <c r="D134" s="6" t="s">
        <v>1097</v>
      </c>
      <c r="E134" s="5" t="s">
        <v>432</v>
      </c>
      <c r="F134" s="7">
        <v>1</v>
      </c>
      <c r="G134" s="7">
        <v>1</v>
      </c>
      <c r="H134" s="7">
        <v>1</v>
      </c>
      <c r="I134" s="7">
        <v>1</v>
      </c>
      <c r="J134" s="7">
        <v>1</v>
      </c>
      <c r="K134" s="7">
        <v>1</v>
      </c>
      <c r="L134" s="7">
        <v>1</v>
      </c>
      <c r="M134" s="7">
        <v>1</v>
      </c>
      <c r="N134" s="7">
        <v>1</v>
      </c>
      <c r="O134" s="7">
        <v>1</v>
      </c>
      <c r="P134" s="7">
        <v>0</v>
      </c>
      <c r="Q134" s="7">
        <v>0</v>
      </c>
      <c r="R134" s="7">
        <v>1</v>
      </c>
      <c r="S134" s="7">
        <v>0</v>
      </c>
      <c r="T134" s="7">
        <v>0</v>
      </c>
      <c r="U134" s="7">
        <v>0</v>
      </c>
      <c r="V134" s="7">
        <v>1</v>
      </c>
      <c r="W134" s="7">
        <v>1</v>
      </c>
      <c r="X134" s="7">
        <v>13</v>
      </c>
      <c r="Y134" s="8">
        <v>0.72222222222222232</v>
      </c>
      <c r="Z134" s="14" t="s">
        <v>1120</v>
      </c>
      <c r="AA134" s="7">
        <v>1</v>
      </c>
      <c r="AB134" s="7">
        <v>1</v>
      </c>
      <c r="AC134" s="7">
        <v>1</v>
      </c>
      <c r="AD134" s="7">
        <v>1</v>
      </c>
      <c r="AE134" s="7">
        <v>1</v>
      </c>
      <c r="AF134" s="7">
        <v>0</v>
      </c>
      <c r="AG134" s="7">
        <v>0</v>
      </c>
      <c r="AH134" s="7">
        <v>1</v>
      </c>
      <c r="AI134" s="7">
        <v>0</v>
      </c>
      <c r="AJ134" s="7">
        <v>1</v>
      </c>
      <c r="AK134" s="7">
        <v>1</v>
      </c>
      <c r="AL134" s="7">
        <v>1</v>
      </c>
      <c r="AM134" s="7">
        <v>1</v>
      </c>
      <c r="AN134" s="7">
        <v>0</v>
      </c>
      <c r="AO134" s="7">
        <v>1</v>
      </c>
      <c r="AP134" s="7">
        <v>1</v>
      </c>
      <c r="AQ134" s="7">
        <v>1</v>
      </c>
      <c r="AR134" s="7">
        <v>1</v>
      </c>
      <c r="AS134" s="7">
        <v>14</v>
      </c>
      <c r="AT134" s="8">
        <v>0.77777777777777768</v>
      </c>
      <c r="AU134" s="14" t="s">
        <v>1120</v>
      </c>
      <c r="AV134" s="7">
        <v>27</v>
      </c>
      <c r="AW134" s="8">
        <v>0.75</v>
      </c>
    </row>
    <row r="135" spans="1:49" ht="15.75" customHeight="1" x14ac:dyDescent="0.25">
      <c r="A135" s="5" t="s">
        <v>11</v>
      </c>
      <c r="B135" s="7" t="s">
        <v>399</v>
      </c>
      <c r="C135" s="7" t="s">
        <v>1103</v>
      </c>
      <c r="D135" s="6" t="s">
        <v>1097</v>
      </c>
      <c r="E135" s="5" t="s">
        <v>433</v>
      </c>
      <c r="F135" s="7">
        <v>1</v>
      </c>
      <c r="G135" s="7">
        <v>1</v>
      </c>
      <c r="H135" s="7">
        <v>1</v>
      </c>
      <c r="I135" s="7">
        <v>1</v>
      </c>
      <c r="J135" s="7">
        <v>0</v>
      </c>
      <c r="K135" s="7">
        <v>1</v>
      </c>
      <c r="L135" s="7">
        <v>1</v>
      </c>
      <c r="M135" s="7">
        <v>1</v>
      </c>
      <c r="N135" s="7">
        <v>1</v>
      </c>
      <c r="O135" s="7">
        <v>1</v>
      </c>
      <c r="P135" s="7">
        <v>1</v>
      </c>
      <c r="Q135" s="7">
        <v>1</v>
      </c>
      <c r="R135" s="7">
        <v>1</v>
      </c>
      <c r="S135" s="7">
        <v>1</v>
      </c>
      <c r="T135" s="7">
        <v>1</v>
      </c>
      <c r="U135" s="7">
        <v>1</v>
      </c>
      <c r="V135" s="7">
        <v>1</v>
      </c>
      <c r="W135" s="7">
        <v>1</v>
      </c>
      <c r="X135" s="7">
        <v>17</v>
      </c>
      <c r="Y135" s="8">
        <v>0.94444444444444442</v>
      </c>
      <c r="Z135" s="14" t="s">
        <v>1120</v>
      </c>
      <c r="AA135" s="7">
        <v>1</v>
      </c>
      <c r="AB135" s="7">
        <v>1</v>
      </c>
      <c r="AC135" s="7">
        <v>1</v>
      </c>
      <c r="AD135" s="7">
        <v>1</v>
      </c>
      <c r="AE135" s="7">
        <v>1</v>
      </c>
      <c r="AF135" s="7">
        <v>0</v>
      </c>
      <c r="AG135" s="7">
        <v>1</v>
      </c>
      <c r="AH135" s="7">
        <v>1</v>
      </c>
      <c r="AI135" s="7">
        <v>1</v>
      </c>
      <c r="AJ135" s="7">
        <v>1</v>
      </c>
      <c r="AK135" s="7">
        <v>1</v>
      </c>
      <c r="AL135" s="7">
        <v>1</v>
      </c>
      <c r="AM135" s="7">
        <v>1</v>
      </c>
      <c r="AN135" s="7">
        <v>1</v>
      </c>
      <c r="AO135" s="7">
        <v>1</v>
      </c>
      <c r="AP135" s="7">
        <v>1</v>
      </c>
      <c r="AQ135" s="7">
        <v>1</v>
      </c>
      <c r="AR135" s="7">
        <v>1</v>
      </c>
      <c r="AS135" s="7">
        <v>17</v>
      </c>
      <c r="AT135" s="8">
        <v>0.94444444444444442</v>
      </c>
      <c r="AU135" s="14" t="s">
        <v>1120</v>
      </c>
      <c r="AV135" s="7">
        <v>34</v>
      </c>
      <c r="AW135" s="8">
        <v>0.94444444444444442</v>
      </c>
    </row>
    <row r="136" spans="1:49" ht="15.75" customHeight="1" x14ac:dyDescent="0.25">
      <c r="A136" s="5" t="s">
        <v>11</v>
      </c>
      <c r="B136" s="7" t="s">
        <v>399</v>
      </c>
      <c r="C136" s="7" t="s">
        <v>1103</v>
      </c>
      <c r="D136" s="6" t="s">
        <v>1097</v>
      </c>
      <c r="E136" s="5" t="s">
        <v>434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  <c r="M136" s="7">
        <v>0</v>
      </c>
      <c r="N136" s="7">
        <v>1</v>
      </c>
      <c r="O136" s="7">
        <v>1</v>
      </c>
      <c r="P136" s="7">
        <v>1</v>
      </c>
      <c r="Q136" s="7">
        <v>1</v>
      </c>
      <c r="R136" s="7">
        <v>1</v>
      </c>
      <c r="S136" s="7">
        <v>1</v>
      </c>
      <c r="T136" s="7">
        <v>1</v>
      </c>
      <c r="U136" s="7">
        <v>1</v>
      </c>
      <c r="V136" s="7">
        <v>1</v>
      </c>
      <c r="W136" s="7">
        <v>1</v>
      </c>
      <c r="X136" s="7">
        <v>17</v>
      </c>
      <c r="Y136" s="8">
        <v>0.94444444444444442</v>
      </c>
      <c r="Z136" s="14" t="s">
        <v>1120</v>
      </c>
      <c r="AA136" s="7">
        <v>1</v>
      </c>
      <c r="AB136" s="7">
        <v>1</v>
      </c>
      <c r="AC136" s="7">
        <v>1</v>
      </c>
      <c r="AD136" s="7">
        <v>1</v>
      </c>
      <c r="AE136" s="7">
        <v>1</v>
      </c>
      <c r="AF136" s="7">
        <v>1</v>
      </c>
      <c r="AG136" s="7">
        <v>1</v>
      </c>
      <c r="AH136" s="7">
        <v>1</v>
      </c>
      <c r="AI136" s="7">
        <v>1</v>
      </c>
      <c r="AJ136" s="7">
        <v>1</v>
      </c>
      <c r="AK136" s="7">
        <v>1</v>
      </c>
      <c r="AL136" s="7">
        <v>1</v>
      </c>
      <c r="AM136" s="7">
        <v>0</v>
      </c>
      <c r="AN136" s="7">
        <v>1</v>
      </c>
      <c r="AO136" s="7">
        <v>1</v>
      </c>
      <c r="AP136" s="7">
        <v>1</v>
      </c>
      <c r="AQ136" s="7">
        <v>1</v>
      </c>
      <c r="AR136" s="7">
        <v>1</v>
      </c>
      <c r="AS136" s="7">
        <v>17</v>
      </c>
      <c r="AT136" s="8">
        <v>0.94444444444444442</v>
      </c>
      <c r="AU136" s="14" t="s">
        <v>1120</v>
      </c>
      <c r="AV136" s="7">
        <v>34</v>
      </c>
      <c r="AW136" s="8">
        <v>0.94444444444444442</v>
      </c>
    </row>
    <row r="137" spans="1:49" ht="15.75" customHeight="1" x14ac:dyDescent="0.25">
      <c r="A137" s="5" t="s">
        <v>11</v>
      </c>
      <c r="B137" s="7" t="s">
        <v>399</v>
      </c>
      <c r="C137" s="7" t="s">
        <v>1103</v>
      </c>
      <c r="D137" s="6" t="s">
        <v>1097</v>
      </c>
      <c r="E137" s="5" t="s">
        <v>435</v>
      </c>
      <c r="F137" s="7">
        <v>1</v>
      </c>
      <c r="G137" s="7">
        <v>1</v>
      </c>
      <c r="H137" s="7">
        <v>1</v>
      </c>
      <c r="I137" s="7">
        <v>1</v>
      </c>
      <c r="J137" s="7">
        <v>1</v>
      </c>
      <c r="K137" s="7">
        <v>1</v>
      </c>
      <c r="L137" s="7">
        <v>1</v>
      </c>
      <c r="M137" s="7">
        <v>1</v>
      </c>
      <c r="N137" s="7">
        <v>1</v>
      </c>
      <c r="O137" s="7">
        <v>1</v>
      </c>
      <c r="P137" s="7">
        <v>1</v>
      </c>
      <c r="Q137" s="7">
        <v>1</v>
      </c>
      <c r="R137" s="7">
        <v>1</v>
      </c>
      <c r="S137" s="7">
        <v>1</v>
      </c>
      <c r="T137" s="7">
        <v>0</v>
      </c>
      <c r="U137" s="7">
        <v>1</v>
      </c>
      <c r="V137" s="7">
        <v>1</v>
      </c>
      <c r="W137" s="7">
        <v>1</v>
      </c>
      <c r="X137" s="7">
        <v>17</v>
      </c>
      <c r="Y137" s="8">
        <v>0.94444444444444442</v>
      </c>
      <c r="Z137" s="14" t="s">
        <v>1120</v>
      </c>
      <c r="AA137" s="7">
        <v>1</v>
      </c>
      <c r="AB137" s="7">
        <v>1</v>
      </c>
      <c r="AC137" s="7">
        <v>1</v>
      </c>
      <c r="AD137" s="7">
        <v>1</v>
      </c>
      <c r="AE137" s="7">
        <v>0</v>
      </c>
      <c r="AF137" s="7">
        <v>0</v>
      </c>
      <c r="AG137" s="7">
        <v>1</v>
      </c>
      <c r="AH137" s="7">
        <v>1</v>
      </c>
      <c r="AI137" s="7">
        <v>0</v>
      </c>
      <c r="AJ137" s="7">
        <v>1</v>
      </c>
      <c r="AK137" s="7">
        <v>1</v>
      </c>
      <c r="AL137" s="7">
        <v>0</v>
      </c>
      <c r="AM137" s="7">
        <v>0</v>
      </c>
      <c r="AN137" s="7">
        <v>1</v>
      </c>
      <c r="AO137" s="7">
        <v>1</v>
      </c>
      <c r="AP137" s="7">
        <v>0</v>
      </c>
      <c r="AQ137" s="7">
        <v>1</v>
      </c>
      <c r="AR137" s="7">
        <v>1</v>
      </c>
      <c r="AS137" s="7">
        <v>12</v>
      </c>
      <c r="AT137" s="8">
        <v>0.66666666666666674</v>
      </c>
      <c r="AU137" s="14" t="s">
        <v>1119</v>
      </c>
      <c r="AV137" s="7">
        <v>29</v>
      </c>
      <c r="AW137" s="8">
        <v>0.80555555555555558</v>
      </c>
    </row>
    <row r="138" spans="1:49" ht="15.75" customHeight="1" x14ac:dyDescent="0.25">
      <c r="A138" s="5" t="s">
        <v>11</v>
      </c>
      <c r="B138" s="7" t="s">
        <v>399</v>
      </c>
      <c r="C138" s="7" t="s">
        <v>1103</v>
      </c>
      <c r="D138" s="6" t="s">
        <v>1097</v>
      </c>
      <c r="E138" s="5" t="s">
        <v>436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  <c r="M138" s="7">
        <v>0</v>
      </c>
      <c r="N138" s="7">
        <v>1</v>
      </c>
      <c r="O138" s="7">
        <v>1</v>
      </c>
      <c r="P138" s="7">
        <v>1</v>
      </c>
      <c r="Q138" s="7">
        <v>1</v>
      </c>
      <c r="R138" s="7">
        <v>1</v>
      </c>
      <c r="S138" s="7">
        <v>1</v>
      </c>
      <c r="T138" s="7">
        <v>1</v>
      </c>
      <c r="U138" s="7">
        <v>1</v>
      </c>
      <c r="V138" s="7">
        <v>1</v>
      </c>
      <c r="W138" s="7">
        <v>1</v>
      </c>
      <c r="X138" s="7">
        <v>17</v>
      </c>
      <c r="Y138" s="8">
        <v>0.94444444444444442</v>
      </c>
      <c r="Z138" s="14" t="s">
        <v>1120</v>
      </c>
      <c r="AA138" s="7">
        <v>0</v>
      </c>
      <c r="AB138" s="7">
        <v>1</v>
      </c>
      <c r="AC138" s="7">
        <v>1</v>
      </c>
      <c r="AD138" s="7">
        <v>1</v>
      </c>
      <c r="AE138" s="7">
        <v>0</v>
      </c>
      <c r="AF138" s="7">
        <v>1</v>
      </c>
      <c r="AG138" s="7">
        <v>1</v>
      </c>
      <c r="AH138" s="7">
        <v>1</v>
      </c>
      <c r="AI138" s="7">
        <v>0</v>
      </c>
      <c r="AJ138" s="7">
        <v>0</v>
      </c>
      <c r="AK138" s="7">
        <v>1</v>
      </c>
      <c r="AL138" s="7">
        <v>1</v>
      </c>
      <c r="AM138" s="7">
        <v>0</v>
      </c>
      <c r="AN138" s="7">
        <v>1</v>
      </c>
      <c r="AO138" s="7">
        <v>1</v>
      </c>
      <c r="AP138" s="7">
        <v>1</v>
      </c>
      <c r="AQ138" s="7">
        <v>1</v>
      </c>
      <c r="AR138" s="7">
        <v>1</v>
      </c>
      <c r="AS138" s="7">
        <v>13</v>
      </c>
      <c r="AT138" s="8">
        <v>0.72222222222222232</v>
      </c>
      <c r="AU138" s="14" t="s">
        <v>1120</v>
      </c>
      <c r="AV138" s="7">
        <v>30</v>
      </c>
      <c r="AW138" s="8">
        <v>0.83333333333333326</v>
      </c>
    </row>
    <row r="139" spans="1:49" ht="15.75" customHeight="1" x14ac:dyDescent="0.25">
      <c r="A139" s="5" t="s">
        <v>11</v>
      </c>
      <c r="B139" s="7" t="s">
        <v>399</v>
      </c>
      <c r="C139" s="7" t="s">
        <v>1096</v>
      </c>
      <c r="D139" s="6" t="s">
        <v>1097</v>
      </c>
      <c r="E139" s="5" t="s">
        <v>437</v>
      </c>
      <c r="F139" s="7">
        <v>1</v>
      </c>
      <c r="G139" s="7">
        <v>1</v>
      </c>
      <c r="H139" s="7">
        <v>1</v>
      </c>
      <c r="I139" s="7">
        <v>1</v>
      </c>
      <c r="J139" s="7">
        <v>1</v>
      </c>
      <c r="K139" s="7">
        <v>1</v>
      </c>
      <c r="L139" s="7">
        <v>0</v>
      </c>
      <c r="M139" s="7">
        <v>0</v>
      </c>
      <c r="N139" s="7">
        <v>1</v>
      </c>
      <c r="O139" s="7">
        <v>1</v>
      </c>
      <c r="P139" s="7">
        <v>1</v>
      </c>
      <c r="Q139" s="7">
        <v>1</v>
      </c>
      <c r="R139" s="7">
        <v>1</v>
      </c>
      <c r="S139" s="7">
        <v>0</v>
      </c>
      <c r="T139" s="7">
        <v>1</v>
      </c>
      <c r="U139" s="7">
        <v>1</v>
      </c>
      <c r="V139" s="7">
        <v>1</v>
      </c>
      <c r="W139" s="7">
        <v>1</v>
      </c>
      <c r="X139" s="7">
        <v>15</v>
      </c>
      <c r="Y139" s="8">
        <v>0.83333333333333326</v>
      </c>
      <c r="Z139" s="14" t="s">
        <v>1120</v>
      </c>
      <c r="AA139" s="7">
        <v>1</v>
      </c>
      <c r="AB139" s="7">
        <v>1</v>
      </c>
      <c r="AC139" s="7">
        <v>1</v>
      </c>
      <c r="AD139" s="7">
        <v>1</v>
      </c>
      <c r="AE139" s="7">
        <v>0</v>
      </c>
      <c r="AF139" s="7">
        <v>0</v>
      </c>
      <c r="AG139" s="7">
        <v>1</v>
      </c>
      <c r="AH139" s="7">
        <v>1</v>
      </c>
      <c r="AI139" s="7">
        <v>0</v>
      </c>
      <c r="AJ139" s="7">
        <v>1</v>
      </c>
      <c r="AK139" s="7">
        <v>1</v>
      </c>
      <c r="AL139" s="7">
        <v>0</v>
      </c>
      <c r="AM139" s="7">
        <v>0</v>
      </c>
      <c r="AN139" s="7">
        <v>1</v>
      </c>
      <c r="AO139" s="7">
        <v>1</v>
      </c>
      <c r="AP139" s="7">
        <v>1</v>
      </c>
      <c r="AQ139" s="7">
        <v>1</v>
      </c>
      <c r="AR139" s="7">
        <v>1</v>
      </c>
      <c r="AS139" s="7">
        <v>13</v>
      </c>
      <c r="AT139" s="8">
        <v>0.72222222222222232</v>
      </c>
      <c r="AU139" s="14" t="s">
        <v>1120</v>
      </c>
      <c r="AV139" s="7">
        <v>28</v>
      </c>
      <c r="AW139" s="8">
        <v>0.77777777777777768</v>
      </c>
    </row>
    <row r="140" spans="1:49" ht="15.75" customHeight="1" x14ac:dyDescent="0.25">
      <c r="A140" s="5" t="s">
        <v>11</v>
      </c>
      <c r="B140" s="7" t="s">
        <v>399</v>
      </c>
      <c r="C140" s="7" t="s">
        <v>1103</v>
      </c>
      <c r="D140" s="6" t="s">
        <v>1097</v>
      </c>
      <c r="E140" s="5" t="s">
        <v>438</v>
      </c>
      <c r="F140" s="7">
        <v>1</v>
      </c>
      <c r="G140" s="7">
        <v>1</v>
      </c>
      <c r="H140" s="7">
        <v>1</v>
      </c>
      <c r="I140" s="7">
        <v>1</v>
      </c>
      <c r="J140" s="7">
        <v>1</v>
      </c>
      <c r="K140" s="7">
        <v>1</v>
      </c>
      <c r="L140" s="7">
        <v>1</v>
      </c>
      <c r="M140" s="7">
        <v>1</v>
      </c>
      <c r="N140" s="7">
        <v>1</v>
      </c>
      <c r="O140" s="7">
        <v>1</v>
      </c>
      <c r="P140" s="7">
        <v>1</v>
      </c>
      <c r="Q140" s="7">
        <v>1</v>
      </c>
      <c r="R140" s="7">
        <v>1</v>
      </c>
      <c r="S140" s="7">
        <v>1</v>
      </c>
      <c r="T140" s="7">
        <v>1</v>
      </c>
      <c r="U140" s="7">
        <v>1</v>
      </c>
      <c r="V140" s="7">
        <v>1</v>
      </c>
      <c r="W140" s="7">
        <v>0</v>
      </c>
      <c r="X140" s="7">
        <v>17</v>
      </c>
      <c r="Y140" s="8">
        <v>0.94444444444444442</v>
      </c>
      <c r="Z140" s="14" t="s">
        <v>1120</v>
      </c>
      <c r="AA140" s="7">
        <v>1</v>
      </c>
      <c r="AB140" s="7">
        <v>1</v>
      </c>
      <c r="AC140" s="7">
        <v>1</v>
      </c>
      <c r="AD140" s="7">
        <v>1</v>
      </c>
      <c r="AE140" s="7">
        <v>1</v>
      </c>
      <c r="AF140" s="7">
        <v>1</v>
      </c>
      <c r="AG140" s="7">
        <v>1</v>
      </c>
      <c r="AH140" s="7">
        <v>1</v>
      </c>
      <c r="AI140" s="7">
        <v>0</v>
      </c>
      <c r="AJ140" s="7">
        <v>1</v>
      </c>
      <c r="AK140" s="7">
        <v>1</v>
      </c>
      <c r="AL140" s="7">
        <v>1</v>
      </c>
      <c r="AM140" s="7">
        <v>0</v>
      </c>
      <c r="AN140" s="7">
        <v>0</v>
      </c>
      <c r="AO140" s="7">
        <v>1</v>
      </c>
      <c r="AP140" s="7">
        <v>1</v>
      </c>
      <c r="AQ140" s="7">
        <v>1</v>
      </c>
      <c r="AR140" s="7">
        <v>1</v>
      </c>
      <c r="AS140" s="7">
        <v>15</v>
      </c>
      <c r="AT140" s="8">
        <v>0.83333333333333326</v>
      </c>
      <c r="AU140" s="14" t="s">
        <v>1120</v>
      </c>
      <c r="AV140" s="7">
        <v>32</v>
      </c>
      <c r="AW140" s="8">
        <v>0.88888888888888884</v>
      </c>
    </row>
    <row r="141" spans="1:49" ht="15.75" customHeight="1" x14ac:dyDescent="0.25">
      <c r="A141" s="5" t="s">
        <v>11</v>
      </c>
      <c r="B141" s="7" t="s">
        <v>399</v>
      </c>
      <c r="C141" s="7" t="s">
        <v>1103</v>
      </c>
      <c r="D141" s="6" t="s">
        <v>1097</v>
      </c>
      <c r="E141" s="5" t="s">
        <v>439</v>
      </c>
      <c r="F141" s="7">
        <v>1</v>
      </c>
      <c r="G141" s="7">
        <v>1</v>
      </c>
      <c r="H141" s="7">
        <v>1</v>
      </c>
      <c r="I141" s="7">
        <v>1</v>
      </c>
      <c r="J141" s="7">
        <v>0</v>
      </c>
      <c r="K141" s="7">
        <v>1</v>
      </c>
      <c r="L141" s="7">
        <v>0</v>
      </c>
      <c r="M141" s="7">
        <v>0</v>
      </c>
      <c r="N141" s="7">
        <v>1</v>
      </c>
      <c r="O141" s="7">
        <v>1</v>
      </c>
      <c r="P141" s="7">
        <v>1</v>
      </c>
      <c r="Q141" s="7">
        <v>1</v>
      </c>
      <c r="R141" s="7">
        <v>1</v>
      </c>
      <c r="S141" s="7">
        <v>1</v>
      </c>
      <c r="T141" s="7">
        <v>1</v>
      </c>
      <c r="U141" s="7">
        <v>1</v>
      </c>
      <c r="V141" s="7">
        <v>1</v>
      </c>
      <c r="W141" s="7">
        <v>1</v>
      </c>
      <c r="X141" s="7">
        <v>15</v>
      </c>
      <c r="Y141" s="8">
        <v>0.83333333333333326</v>
      </c>
      <c r="Z141" s="14" t="s">
        <v>1120</v>
      </c>
      <c r="AA141" s="7">
        <v>1</v>
      </c>
      <c r="AB141" s="7">
        <v>1</v>
      </c>
      <c r="AC141" s="7">
        <v>1</v>
      </c>
      <c r="AD141" s="7">
        <v>1</v>
      </c>
      <c r="AE141" s="7">
        <v>1</v>
      </c>
      <c r="AF141" s="7">
        <v>1</v>
      </c>
      <c r="AG141" s="7">
        <v>1</v>
      </c>
      <c r="AH141" s="7">
        <v>1</v>
      </c>
      <c r="AI141" s="7">
        <v>0</v>
      </c>
      <c r="AJ141" s="7">
        <v>1</v>
      </c>
      <c r="AK141" s="7">
        <v>1</v>
      </c>
      <c r="AL141" s="7">
        <v>1</v>
      </c>
      <c r="AM141" s="7">
        <v>0</v>
      </c>
      <c r="AN141" s="7">
        <v>0</v>
      </c>
      <c r="AO141" s="7">
        <v>1</v>
      </c>
      <c r="AP141" s="7">
        <v>1</v>
      </c>
      <c r="AQ141" s="7">
        <v>1</v>
      </c>
      <c r="AR141" s="7">
        <v>0</v>
      </c>
      <c r="AS141" s="7">
        <v>14</v>
      </c>
      <c r="AT141" s="8">
        <v>0.77777777777777768</v>
      </c>
      <c r="AU141" s="14" t="s">
        <v>1120</v>
      </c>
      <c r="AV141" s="7">
        <v>29</v>
      </c>
      <c r="AW141" s="8">
        <v>0.80555555555555558</v>
      </c>
    </row>
    <row r="142" spans="1:49" ht="15.75" customHeight="1" x14ac:dyDescent="0.25">
      <c r="A142" s="5" t="s">
        <v>11</v>
      </c>
      <c r="B142" s="7" t="s">
        <v>399</v>
      </c>
      <c r="C142" s="7" t="s">
        <v>1103</v>
      </c>
      <c r="D142" s="6" t="s">
        <v>1097</v>
      </c>
      <c r="E142" s="5" t="s">
        <v>440</v>
      </c>
      <c r="F142" s="7">
        <v>1</v>
      </c>
      <c r="G142" s="7">
        <v>1</v>
      </c>
      <c r="H142" s="7">
        <v>1</v>
      </c>
      <c r="I142" s="7">
        <v>1</v>
      </c>
      <c r="J142" s="7">
        <v>1</v>
      </c>
      <c r="K142" s="7">
        <v>1</v>
      </c>
      <c r="L142" s="7">
        <v>1</v>
      </c>
      <c r="M142" s="7">
        <v>1</v>
      </c>
      <c r="N142" s="7">
        <v>1</v>
      </c>
      <c r="O142" s="7">
        <v>1</v>
      </c>
      <c r="P142" s="7">
        <v>1</v>
      </c>
      <c r="Q142" s="7">
        <v>1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1</v>
      </c>
      <c r="X142" s="7">
        <v>14</v>
      </c>
      <c r="Y142" s="8">
        <v>0.77777777777777768</v>
      </c>
      <c r="Z142" s="14" t="s">
        <v>1120</v>
      </c>
      <c r="AA142" s="7">
        <v>1</v>
      </c>
      <c r="AB142" s="7">
        <v>1</v>
      </c>
      <c r="AC142" s="7">
        <v>1</v>
      </c>
      <c r="AD142" s="7">
        <v>1</v>
      </c>
      <c r="AE142" s="7">
        <v>1</v>
      </c>
      <c r="AF142" s="7">
        <v>0</v>
      </c>
      <c r="AG142" s="7">
        <v>1</v>
      </c>
      <c r="AH142" s="7">
        <v>1</v>
      </c>
      <c r="AI142" s="7">
        <v>0</v>
      </c>
      <c r="AJ142" s="7">
        <v>1</v>
      </c>
      <c r="AK142" s="7">
        <v>1</v>
      </c>
      <c r="AL142" s="7">
        <v>1</v>
      </c>
      <c r="AM142" s="7">
        <v>0</v>
      </c>
      <c r="AN142" s="7">
        <v>1</v>
      </c>
      <c r="AO142" s="7">
        <v>1</v>
      </c>
      <c r="AP142" s="7">
        <v>1</v>
      </c>
      <c r="AQ142" s="7">
        <v>1</v>
      </c>
      <c r="AR142" s="7">
        <v>1</v>
      </c>
      <c r="AS142" s="7">
        <v>15</v>
      </c>
      <c r="AT142" s="8">
        <v>0.83333333333333326</v>
      </c>
      <c r="AU142" s="14" t="s">
        <v>1120</v>
      </c>
      <c r="AV142" s="7">
        <v>29</v>
      </c>
      <c r="AW142" s="8">
        <v>0.80555555555555558</v>
      </c>
    </row>
    <row r="143" spans="1:49" ht="15.75" customHeight="1" x14ac:dyDescent="0.25">
      <c r="A143" s="5" t="s">
        <v>11</v>
      </c>
      <c r="B143" s="7" t="s">
        <v>399</v>
      </c>
      <c r="C143" s="7" t="s">
        <v>1103</v>
      </c>
      <c r="D143" s="6" t="s">
        <v>1097</v>
      </c>
      <c r="E143" s="5" t="s">
        <v>441</v>
      </c>
      <c r="F143" s="7">
        <v>1</v>
      </c>
      <c r="G143" s="7">
        <v>1</v>
      </c>
      <c r="H143" s="7">
        <v>1</v>
      </c>
      <c r="I143" s="7">
        <v>1</v>
      </c>
      <c r="J143" s="7">
        <v>1</v>
      </c>
      <c r="K143" s="7">
        <v>1</v>
      </c>
      <c r="L143" s="7">
        <v>1</v>
      </c>
      <c r="M143" s="7">
        <v>1</v>
      </c>
      <c r="N143" s="7">
        <v>1</v>
      </c>
      <c r="O143" s="7">
        <v>1</v>
      </c>
      <c r="P143" s="7">
        <v>1</v>
      </c>
      <c r="Q143" s="7">
        <v>1</v>
      </c>
      <c r="R143" s="7">
        <v>1</v>
      </c>
      <c r="S143" s="7">
        <v>1</v>
      </c>
      <c r="T143" s="7">
        <v>1</v>
      </c>
      <c r="U143" s="7">
        <v>1</v>
      </c>
      <c r="V143" s="7">
        <v>1</v>
      </c>
      <c r="W143" s="7">
        <v>1</v>
      </c>
      <c r="X143" s="7">
        <v>18</v>
      </c>
      <c r="Y143" s="8">
        <v>1</v>
      </c>
      <c r="Z143" s="14" t="s">
        <v>1120</v>
      </c>
      <c r="AA143" s="7">
        <v>1</v>
      </c>
      <c r="AB143" s="7">
        <v>1</v>
      </c>
      <c r="AC143" s="7">
        <v>1</v>
      </c>
      <c r="AD143" s="7">
        <v>1</v>
      </c>
      <c r="AE143" s="7">
        <v>1</v>
      </c>
      <c r="AF143" s="7">
        <v>1</v>
      </c>
      <c r="AG143" s="7">
        <v>1</v>
      </c>
      <c r="AH143" s="7">
        <v>1</v>
      </c>
      <c r="AI143" s="7">
        <v>1</v>
      </c>
      <c r="AJ143" s="7">
        <v>1</v>
      </c>
      <c r="AK143" s="7">
        <v>1</v>
      </c>
      <c r="AL143" s="7">
        <v>1</v>
      </c>
      <c r="AM143" s="7">
        <v>0</v>
      </c>
      <c r="AN143" s="7">
        <v>0</v>
      </c>
      <c r="AO143" s="7">
        <v>1</v>
      </c>
      <c r="AP143" s="7">
        <v>1</v>
      </c>
      <c r="AQ143" s="7">
        <v>1</v>
      </c>
      <c r="AR143" s="7">
        <v>1</v>
      </c>
      <c r="AS143" s="7">
        <v>16</v>
      </c>
      <c r="AT143" s="8">
        <v>0.88888888888888884</v>
      </c>
      <c r="AU143" s="14" t="s">
        <v>1120</v>
      </c>
      <c r="AV143" s="7">
        <v>34</v>
      </c>
      <c r="AW143" s="8">
        <v>0.94444444444444442</v>
      </c>
    </row>
    <row r="144" spans="1:49" ht="15.75" customHeight="1" x14ac:dyDescent="0.25">
      <c r="A144" s="5" t="s">
        <v>11</v>
      </c>
      <c r="B144" s="7" t="s">
        <v>442</v>
      </c>
      <c r="C144" s="7" t="s">
        <v>1103</v>
      </c>
      <c r="D144" s="6" t="s">
        <v>1097</v>
      </c>
      <c r="E144" s="5" t="s">
        <v>443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  <c r="K144" s="7">
        <v>1</v>
      </c>
      <c r="L144" s="7">
        <v>1</v>
      </c>
      <c r="M144" s="7">
        <v>1</v>
      </c>
      <c r="N144" s="7">
        <v>1</v>
      </c>
      <c r="O144" s="7">
        <v>1</v>
      </c>
      <c r="P144" s="7">
        <v>1</v>
      </c>
      <c r="Q144" s="7">
        <v>1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1</v>
      </c>
      <c r="X144" s="7">
        <v>18</v>
      </c>
      <c r="Y144" s="8">
        <v>1</v>
      </c>
      <c r="Z144" s="14" t="s">
        <v>1120</v>
      </c>
      <c r="AA144" s="7">
        <v>1</v>
      </c>
      <c r="AB144" s="7">
        <v>1</v>
      </c>
      <c r="AC144" s="7">
        <v>1</v>
      </c>
      <c r="AD144" s="7">
        <v>1</v>
      </c>
      <c r="AE144" s="7">
        <v>0</v>
      </c>
      <c r="AF144" s="7">
        <v>1</v>
      </c>
      <c r="AG144" s="7">
        <v>1</v>
      </c>
      <c r="AH144" s="7">
        <v>1</v>
      </c>
      <c r="AI144" s="7">
        <v>1</v>
      </c>
      <c r="AJ144" s="7">
        <v>1</v>
      </c>
      <c r="AK144" s="7">
        <v>1</v>
      </c>
      <c r="AL144" s="7">
        <v>1</v>
      </c>
      <c r="AM144" s="7">
        <v>0</v>
      </c>
      <c r="AN144" s="7">
        <v>1</v>
      </c>
      <c r="AO144" s="7">
        <v>1</v>
      </c>
      <c r="AP144" s="7">
        <v>1</v>
      </c>
      <c r="AQ144" s="7">
        <v>1</v>
      </c>
      <c r="AR144" s="7">
        <v>1</v>
      </c>
      <c r="AS144" s="7">
        <v>16</v>
      </c>
      <c r="AT144" s="8">
        <v>0.88888888888888884</v>
      </c>
      <c r="AU144" s="14" t="s">
        <v>1120</v>
      </c>
      <c r="AV144" s="7">
        <v>34</v>
      </c>
      <c r="AW144" s="8">
        <v>0.94444444444444442</v>
      </c>
    </row>
    <row r="145" spans="1:49" ht="15.75" customHeight="1" x14ac:dyDescent="0.25">
      <c r="A145" s="5" t="s">
        <v>11</v>
      </c>
      <c r="B145" s="7" t="s">
        <v>442</v>
      </c>
      <c r="C145" s="7" t="s">
        <v>1103</v>
      </c>
      <c r="D145" s="6" t="s">
        <v>1097</v>
      </c>
      <c r="E145" s="5" t="s">
        <v>444</v>
      </c>
      <c r="F145" s="7">
        <v>1</v>
      </c>
      <c r="G145" s="7">
        <v>1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  <c r="M145" s="7">
        <v>1</v>
      </c>
      <c r="N145" s="7">
        <v>0</v>
      </c>
      <c r="O145" s="7">
        <v>1</v>
      </c>
      <c r="P145" s="7">
        <v>1</v>
      </c>
      <c r="Q145" s="7">
        <v>1</v>
      </c>
      <c r="R145" s="7">
        <v>1</v>
      </c>
      <c r="S145" s="7">
        <v>1</v>
      </c>
      <c r="T145" s="7">
        <v>1</v>
      </c>
      <c r="U145" s="7">
        <v>1</v>
      </c>
      <c r="V145" s="7">
        <v>1</v>
      </c>
      <c r="W145" s="7">
        <v>1</v>
      </c>
      <c r="X145" s="7">
        <v>17</v>
      </c>
      <c r="Y145" s="8">
        <v>0.94444444444444442</v>
      </c>
      <c r="Z145" s="14" t="s">
        <v>1120</v>
      </c>
      <c r="AA145" s="7">
        <v>1</v>
      </c>
      <c r="AB145" s="7">
        <v>1</v>
      </c>
      <c r="AC145" s="7">
        <v>1</v>
      </c>
      <c r="AD145" s="7">
        <v>1</v>
      </c>
      <c r="AE145" s="7">
        <v>0</v>
      </c>
      <c r="AF145" s="7">
        <v>1</v>
      </c>
      <c r="AG145" s="7">
        <v>1</v>
      </c>
      <c r="AH145" s="7">
        <v>1</v>
      </c>
      <c r="AI145" s="7">
        <v>1</v>
      </c>
      <c r="AJ145" s="7">
        <v>1</v>
      </c>
      <c r="AK145" s="7">
        <v>1</v>
      </c>
      <c r="AL145" s="7">
        <v>1</v>
      </c>
      <c r="AM145" s="7">
        <v>1</v>
      </c>
      <c r="AN145" s="7">
        <v>0</v>
      </c>
      <c r="AO145" s="7">
        <v>0</v>
      </c>
      <c r="AP145" s="7">
        <v>0</v>
      </c>
      <c r="AQ145" s="7">
        <v>1</v>
      </c>
      <c r="AR145" s="7">
        <v>0</v>
      </c>
      <c r="AS145" s="7">
        <v>13</v>
      </c>
      <c r="AT145" s="8">
        <v>0.72222222222222232</v>
      </c>
      <c r="AU145" s="14" t="s">
        <v>1120</v>
      </c>
      <c r="AV145" s="7">
        <v>30</v>
      </c>
      <c r="AW145" s="8">
        <v>0.83333333333333326</v>
      </c>
    </row>
    <row r="146" spans="1:49" ht="15.75" customHeight="1" x14ac:dyDescent="0.25">
      <c r="A146" s="5" t="s">
        <v>11</v>
      </c>
      <c r="B146" s="7" t="s">
        <v>442</v>
      </c>
      <c r="C146" s="7" t="s">
        <v>1103</v>
      </c>
      <c r="D146" s="6" t="s">
        <v>1097</v>
      </c>
      <c r="E146" s="5" t="s">
        <v>445</v>
      </c>
      <c r="F146" s="7">
        <v>1</v>
      </c>
      <c r="G146" s="7">
        <v>1</v>
      </c>
      <c r="H146" s="7">
        <v>1</v>
      </c>
      <c r="I146" s="7">
        <v>1</v>
      </c>
      <c r="J146" s="7">
        <v>1</v>
      </c>
      <c r="K146" s="7">
        <v>1</v>
      </c>
      <c r="L146" s="7">
        <v>1</v>
      </c>
      <c r="M146" s="7">
        <v>1</v>
      </c>
      <c r="N146" s="7">
        <v>0</v>
      </c>
      <c r="O146" s="7">
        <v>1</v>
      </c>
      <c r="P146" s="7">
        <v>1</v>
      </c>
      <c r="Q146" s="7">
        <v>1</v>
      </c>
      <c r="R146" s="7">
        <v>1</v>
      </c>
      <c r="S146" s="7">
        <v>1</v>
      </c>
      <c r="T146" s="7">
        <v>1</v>
      </c>
      <c r="U146" s="7">
        <v>1</v>
      </c>
      <c r="V146" s="7">
        <v>1</v>
      </c>
      <c r="W146" s="7">
        <v>1</v>
      </c>
      <c r="X146" s="7">
        <v>17</v>
      </c>
      <c r="Y146" s="8">
        <v>0.94444444444444442</v>
      </c>
      <c r="Z146" s="14" t="s">
        <v>1120</v>
      </c>
      <c r="AA146" s="7">
        <v>1</v>
      </c>
      <c r="AB146" s="7">
        <v>1</v>
      </c>
      <c r="AC146" s="7">
        <v>1</v>
      </c>
      <c r="AD146" s="7">
        <v>0</v>
      </c>
      <c r="AE146" s="7">
        <v>0</v>
      </c>
      <c r="AF146" s="7">
        <v>1</v>
      </c>
      <c r="AG146" s="7">
        <v>1</v>
      </c>
      <c r="AH146" s="7">
        <v>1</v>
      </c>
      <c r="AI146" s="7">
        <v>1</v>
      </c>
      <c r="AJ146" s="7">
        <v>1</v>
      </c>
      <c r="AK146" s="7">
        <v>1</v>
      </c>
      <c r="AL146" s="7">
        <v>1</v>
      </c>
      <c r="AM146" s="7">
        <v>0</v>
      </c>
      <c r="AN146" s="7">
        <v>1</v>
      </c>
      <c r="AO146" s="7">
        <v>1</v>
      </c>
      <c r="AP146" s="7">
        <v>0</v>
      </c>
      <c r="AQ146" s="7">
        <v>1</v>
      </c>
      <c r="AR146" s="7">
        <v>1</v>
      </c>
      <c r="AS146" s="7">
        <v>14</v>
      </c>
      <c r="AT146" s="8">
        <v>0.77777777777777768</v>
      </c>
      <c r="AU146" s="14" t="s">
        <v>1120</v>
      </c>
      <c r="AV146" s="7">
        <v>31</v>
      </c>
      <c r="AW146" s="8">
        <v>0.86111111111111116</v>
      </c>
    </row>
    <row r="147" spans="1:49" ht="15.75" customHeight="1" x14ac:dyDescent="0.25">
      <c r="A147" s="5" t="s">
        <v>11</v>
      </c>
      <c r="B147" s="7" t="s">
        <v>442</v>
      </c>
      <c r="C147" s="6" t="s">
        <v>1099</v>
      </c>
      <c r="D147" s="6" t="s">
        <v>1100</v>
      </c>
      <c r="E147" s="5" t="s">
        <v>1167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18</v>
      </c>
      <c r="Y147" s="8">
        <v>1</v>
      </c>
      <c r="Z147" s="14" t="s">
        <v>1120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18</v>
      </c>
      <c r="AT147" s="8">
        <v>1</v>
      </c>
      <c r="AU147" s="14" t="s">
        <v>1120</v>
      </c>
      <c r="AV147" s="7">
        <v>0</v>
      </c>
      <c r="AW147" s="8">
        <v>0</v>
      </c>
    </row>
    <row r="148" spans="1:49" ht="15.75" customHeight="1" x14ac:dyDescent="0.25">
      <c r="A148" s="5" t="s">
        <v>11</v>
      </c>
      <c r="B148" s="7" t="s">
        <v>442</v>
      </c>
      <c r="C148" s="7" t="s">
        <v>1103</v>
      </c>
      <c r="D148" s="6" t="s">
        <v>1097</v>
      </c>
      <c r="E148" s="5" t="s">
        <v>446</v>
      </c>
      <c r="F148" s="7">
        <v>1</v>
      </c>
      <c r="G148" s="7">
        <v>1</v>
      </c>
      <c r="H148" s="7">
        <v>0</v>
      </c>
      <c r="I148" s="7">
        <v>1</v>
      </c>
      <c r="J148" s="7">
        <v>1</v>
      </c>
      <c r="K148" s="7">
        <v>1</v>
      </c>
      <c r="L148" s="7">
        <v>1</v>
      </c>
      <c r="M148" s="7">
        <v>0</v>
      </c>
      <c r="N148" s="7">
        <v>1</v>
      </c>
      <c r="O148" s="7">
        <v>1</v>
      </c>
      <c r="P148" s="7">
        <v>1</v>
      </c>
      <c r="Q148" s="7">
        <v>1</v>
      </c>
      <c r="R148" s="7">
        <v>1</v>
      </c>
      <c r="S148" s="7">
        <v>0</v>
      </c>
      <c r="T148" s="7">
        <v>1</v>
      </c>
      <c r="U148" s="7">
        <v>1</v>
      </c>
      <c r="V148" s="7">
        <v>1</v>
      </c>
      <c r="W148" s="7">
        <v>1</v>
      </c>
      <c r="X148" s="7">
        <v>15</v>
      </c>
      <c r="Y148" s="8">
        <v>0.83333333333333326</v>
      </c>
      <c r="Z148" s="14" t="s">
        <v>1120</v>
      </c>
      <c r="AA148" s="7">
        <v>1</v>
      </c>
      <c r="AB148" s="7">
        <v>1</v>
      </c>
      <c r="AC148" s="7">
        <v>1</v>
      </c>
      <c r="AD148" s="7">
        <v>1</v>
      </c>
      <c r="AE148" s="7">
        <v>1</v>
      </c>
      <c r="AF148" s="7">
        <v>0</v>
      </c>
      <c r="AG148" s="7">
        <v>1</v>
      </c>
      <c r="AH148" s="7">
        <v>1</v>
      </c>
      <c r="AI148" s="7">
        <v>1</v>
      </c>
      <c r="AJ148" s="7">
        <v>1</v>
      </c>
      <c r="AK148" s="7">
        <v>1</v>
      </c>
      <c r="AL148" s="7">
        <v>1</v>
      </c>
      <c r="AM148" s="7">
        <v>1</v>
      </c>
      <c r="AN148" s="7">
        <v>1</v>
      </c>
      <c r="AO148" s="7">
        <v>1</v>
      </c>
      <c r="AP148" s="7">
        <v>1</v>
      </c>
      <c r="AQ148" s="7">
        <v>1</v>
      </c>
      <c r="AR148" s="7">
        <v>0</v>
      </c>
      <c r="AS148" s="7">
        <v>16</v>
      </c>
      <c r="AT148" s="8">
        <v>0.88888888888888884</v>
      </c>
      <c r="AU148" s="14" t="s">
        <v>1120</v>
      </c>
      <c r="AV148" s="7">
        <v>31</v>
      </c>
      <c r="AW148" s="8">
        <v>0.86111111111111116</v>
      </c>
    </row>
    <row r="149" spans="1:49" ht="15.75" customHeight="1" x14ac:dyDescent="0.25">
      <c r="A149" s="5" t="s">
        <v>11</v>
      </c>
      <c r="B149" s="7" t="s">
        <v>442</v>
      </c>
      <c r="C149" s="6" t="s">
        <v>1099</v>
      </c>
      <c r="D149" s="6" t="s">
        <v>1100</v>
      </c>
      <c r="E149" s="5" t="s">
        <v>447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18</v>
      </c>
      <c r="Y149" s="8">
        <v>1</v>
      </c>
      <c r="Z149" s="14" t="s">
        <v>1120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18</v>
      </c>
      <c r="AT149" s="8">
        <v>1</v>
      </c>
      <c r="AU149" s="14" t="s">
        <v>1120</v>
      </c>
      <c r="AV149" s="7">
        <v>0</v>
      </c>
      <c r="AW149" s="8">
        <v>0</v>
      </c>
    </row>
    <row r="150" spans="1:49" ht="15.75" customHeight="1" x14ac:dyDescent="0.25">
      <c r="A150" s="5" t="s">
        <v>11</v>
      </c>
      <c r="B150" s="7" t="s">
        <v>442</v>
      </c>
      <c r="C150" s="7" t="s">
        <v>1103</v>
      </c>
      <c r="D150" s="6" t="s">
        <v>1097</v>
      </c>
      <c r="E150" s="5" t="s">
        <v>448</v>
      </c>
      <c r="F150" s="7">
        <v>1</v>
      </c>
      <c r="G150" s="7">
        <v>1</v>
      </c>
      <c r="H150" s="7">
        <v>1</v>
      </c>
      <c r="I150" s="7">
        <v>1</v>
      </c>
      <c r="J150" s="7">
        <v>1</v>
      </c>
      <c r="K150" s="7">
        <v>1</v>
      </c>
      <c r="L150" s="7">
        <v>1</v>
      </c>
      <c r="M150" s="7">
        <v>1</v>
      </c>
      <c r="N150" s="7">
        <v>1</v>
      </c>
      <c r="O150" s="7">
        <v>1</v>
      </c>
      <c r="P150" s="7">
        <v>1</v>
      </c>
      <c r="Q150" s="7">
        <v>1</v>
      </c>
      <c r="R150" s="7">
        <v>1</v>
      </c>
      <c r="S150" s="7">
        <v>1</v>
      </c>
      <c r="T150" s="7">
        <v>1</v>
      </c>
      <c r="U150" s="7">
        <v>1</v>
      </c>
      <c r="V150" s="7">
        <v>1</v>
      </c>
      <c r="W150" s="7">
        <v>1</v>
      </c>
      <c r="X150" s="7">
        <v>18</v>
      </c>
      <c r="Y150" s="8">
        <v>1</v>
      </c>
      <c r="Z150" s="14" t="s">
        <v>1120</v>
      </c>
      <c r="AA150" s="7">
        <v>1</v>
      </c>
      <c r="AB150" s="7">
        <v>1</v>
      </c>
      <c r="AC150" s="7">
        <v>1</v>
      </c>
      <c r="AD150" s="7">
        <v>1</v>
      </c>
      <c r="AE150" s="7">
        <v>1</v>
      </c>
      <c r="AF150" s="7">
        <v>1</v>
      </c>
      <c r="AG150" s="7">
        <v>1</v>
      </c>
      <c r="AH150" s="7">
        <v>1</v>
      </c>
      <c r="AI150" s="7">
        <v>1</v>
      </c>
      <c r="AJ150" s="7">
        <v>1</v>
      </c>
      <c r="AK150" s="7">
        <v>1</v>
      </c>
      <c r="AL150" s="7">
        <v>0</v>
      </c>
      <c r="AM150" s="7">
        <v>0</v>
      </c>
      <c r="AN150" s="7">
        <v>1</v>
      </c>
      <c r="AO150" s="7">
        <v>1</v>
      </c>
      <c r="AP150" s="7">
        <v>1</v>
      </c>
      <c r="AQ150" s="7">
        <v>1</v>
      </c>
      <c r="AR150" s="7">
        <v>1</v>
      </c>
      <c r="AS150" s="7">
        <v>16</v>
      </c>
      <c r="AT150" s="8">
        <v>0.88888888888888884</v>
      </c>
      <c r="AU150" s="14" t="s">
        <v>1120</v>
      </c>
      <c r="AV150" s="7">
        <v>34</v>
      </c>
      <c r="AW150" s="8">
        <v>0.94444444444444442</v>
      </c>
    </row>
    <row r="151" spans="1:49" ht="15.75" customHeight="1" x14ac:dyDescent="0.25">
      <c r="A151" s="5" t="s">
        <v>11</v>
      </c>
      <c r="B151" s="7" t="s">
        <v>442</v>
      </c>
      <c r="C151" s="7" t="s">
        <v>1103</v>
      </c>
      <c r="D151" s="6" t="s">
        <v>1097</v>
      </c>
      <c r="E151" s="5" t="s">
        <v>449</v>
      </c>
      <c r="F151" s="7">
        <v>0</v>
      </c>
      <c r="G151" s="7">
        <v>1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  <c r="M151" s="7">
        <v>0</v>
      </c>
      <c r="N151" s="7">
        <v>1</v>
      </c>
      <c r="O151" s="7">
        <v>1</v>
      </c>
      <c r="P151" s="7">
        <v>1</v>
      </c>
      <c r="Q151" s="7">
        <v>1</v>
      </c>
      <c r="R151" s="7">
        <v>1</v>
      </c>
      <c r="S151" s="7">
        <v>1</v>
      </c>
      <c r="T151" s="7">
        <v>1</v>
      </c>
      <c r="U151" s="7">
        <v>1</v>
      </c>
      <c r="V151" s="7">
        <v>1</v>
      </c>
      <c r="W151" s="7">
        <v>1</v>
      </c>
      <c r="X151" s="7">
        <v>16</v>
      </c>
      <c r="Y151" s="8">
        <v>0.88888888888888884</v>
      </c>
      <c r="Z151" s="14" t="s">
        <v>1120</v>
      </c>
      <c r="AA151" s="7">
        <v>1</v>
      </c>
      <c r="AB151" s="7">
        <v>1</v>
      </c>
      <c r="AC151" s="7">
        <v>1</v>
      </c>
      <c r="AD151" s="7">
        <v>0</v>
      </c>
      <c r="AE151" s="7">
        <v>0</v>
      </c>
      <c r="AF151" s="7">
        <v>1</v>
      </c>
      <c r="AG151" s="7">
        <v>1</v>
      </c>
      <c r="AH151" s="7">
        <v>1</v>
      </c>
      <c r="AI151" s="7">
        <v>1</v>
      </c>
      <c r="AJ151" s="7">
        <v>1</v>
      </c>
      <c r="AK151" s="7">
        <v>1</v>
      </c>
      <c r="AL151" s="7">
        <v>0</v>
      </c>
      <c r="AM151" s="7">
        <v>0</v>
      </c>
      <c r="AN151" s="7">
        <v>1</v>
      </c>
      <c r="AO151" s="7">
        <v>1</v>
      </c>
      <c r="AP151" s="7">
        <v>1</v>
      </c>
      <c r="AQ151" s="7">
        <v>1</v>
      </c>
      <c r="AR151" s="7">
        <v>1</v>
      </c>
      <c r="AS151" s="7">
        <v>14</v>
      </c>
      <c r="AT151" s="8">
        <v>0.77777777777777768</v>
      </c>
      <c r="AU151" s="14" t="s">
        <v>1120</v>
      </c>
      <c r="AV151" s="7">
        <v>30</v>
      </c>
      <c r="AW151" s="8">
        <v>0.83333333333333326</v>
      </c>
    </row>
    <row r="152" spans="1:49" ht="15.75" customHeight="1" x14ac:dyDescent="0.25">
      <c r="A152" s="5" t="s">
        <v>11</v>
      </c>
      <c r="B152" s="7" t="s">
        <v>442</v>
      </c>
      <c r="C152" s="7" t="s">
        <v>1104</v>
      </c>
      <c r="D152" s="6" t="s">
        <v>1097</v>
      </c>
      <c r="E152" s="5" t="s">
        <v>450</v>
      </c>
      <c r="F152" s="7">
        <v>1</v>
      </c>
      <c r="G152" s="7">
        <v>1</v>
      </c>
      <c r="H152" s="7">
        <v>1</v>
      </c>
      <c r="I152" s="7">
        <v>1</v>
      </c>
      <c r="J152" s="7">
        <v>1</v>
      </c>
      <c r="K152" s="7">
        <v>1</v>
      </c>
      <c r="L152" s="7">
        <v>1</v>
      </c>
      <c r="M152" s="7">
        <v>1</v>
      </c>
      <c r="N152" s="7">
        <v>1</v>
      </c>
      <c r="O152" s="7">
        <v>1</v>
      </c>
      <c r="P152" s="7">
        <v>1</v>
      </c>
      <c r="Q152" s="7">
        <v>1</v>
      </c>
      <c r="R152" s="7">
        <v>1</v>
      </c>
      <c r="S152" s="7">
        <v>0</v>
      </c>
      <c r="T152" s="7">
        <v>1</v>
      </c>
      <c r="U152" s="7">
        <v>1</v>
      </c>
      <c r="V152" s="7">
        <v>1</v>
      </c>
      <c r="W152" s="7">
        <v>0</v>
      </c>
      <c r="X152" s="7">
        <v>16</v>
      </c>
      <c r="Y152" s="8">
        <v>0.88888888888888884</v>
      </c>
      <c r="Z152" s="14" t="s">
        <v>1120</v>
      </c>
      <c r="AA152" s="7">
        <v>0</v>
      </c>
      <c r="AB152" s="7">
        <v>1</v>
      </c>
      <c r="AC152" s="7">
        <v>1</v>
      </c>
      <c r="AD152" s="7">
        <v>1</v>
      </c>
      <c r="AE152" s="7">
        <v>1</v>
      </c>
      <c r="AF152" s="7">
        <v>0</v>
      </c>
      <c r="AG152" s="7">
        <v>1</v>
      </c>
      <c r="AH152" s="7">
        <v>1</v>
      </c>
      <c r="AI152" s="7">
        <v>1</v>
      </c>
      <c r="AJ152" s="7">
        <v>1</v>
      </c>
      <c r="AK152" s="7">
        <v>1</v>
      </c>
      <c r="AL152" s="7">
        <v>0</v>
      </c>
      <c r="AM152" s="7">
        <v>0</v>
      </c>
      <c r="AN152" s="7">
        <v>0</v>
      </c>
      <c r="AO152" s="7">
        <v>1</v>
      </c>
      <c r="AP152" s="7">
        <v>1</v>
      </c>
      <c r="AQ152" s="7">
        <v>1</v>
      </c>
      <c r="AR152" s="7">
        <v>0</v>
      </c>
      <c r="AS152" s="7">
        <v>12</v>
      </c>
      <c r="AT152" s="8">
        <v>0.66666666666666674</v>
      </c>
      <c r="AU152" s="14" t="s">
        <v>1119</v>
      </c>
      <c r="AV152" s="7">
        <v>28</v>
      </c>
      <c r="AW152" s="8">
        <v>0.77777777777777768</v>
      </c>
    </row>
    <row r="153" spans="1:49" ht="15.75" customHeight="1" x14ac:dyDescent="0.25">
      <c r="A153" s="5" t="s">
        <v>11</v>
      </c>
      <c r="B153" s="7" t="s">
        <v>442</v>
      </c>
      <c r="C153" s="7" t="s">
        <v>1103</v>
      </c>
      <c r="D153" s="6" t="s">
        <v>1097</v>
      </c>
      <c r="E153" s="5" t="s">
        <v>451</v>
      </c>
      <c r="F153" s="7">
        <v>0</v>
      </c>
      <c r="G153" s="7">
        <v>0</v>
      </c>
      <c r="H153" s="7">
        <v>1</v>
      </c>
      <c r="I153" s="7">
        <v>1</v>
      </c>
      <c r="J153" s="7">
        <v>1</v>
      </c>
      <c r="K153" s="7">
        <v>1</v>
      </c>
      <c r="L153" s="7">
        <v>0</v>
      </c>
      <c r="M153" s="7">
        <v>0</v>
      </c>
      <c r="N153" s="7">
        <v>0</v>
      </c>
      <c r="O153" s="7">
        <v>1</v>
      </c>
      <c r="P153" s="7">
        <v>1</v>
      </c>
      <c r="Q153" s="7">
        <v>0</v>
      </c>
      <c r="R153" s="7">
        <v>1</v>
      </c>
      <c r="S153" s="7">
        <v>1</v>
      </c>
      <c r="T153" s="7">
        <v>0</v>
      </c>
      <c r="U153" s="7">
        <v>0</v>
      </c>
      <c r="V153" s="7">
        <v>0</v>
      </c>
      <c r="W153" s="7">
        <v>0</v>
      </c>
      <c r="X153" s="7">
        <v>8</v>
      </c>
      <c r="Y153" s="8">
        <v>0.44444444444444442</v>
      </c>
      <c r="Z153" s="14" t="s">
        <v>1119</v>
      </c>
      <c r="AA153" s="7">
        <v>1</v>
      </c>
      <c r="AB153" s="7">
        <v>0</v>
      </c>
      <c r="AC153" s="7">
        <v>0</v>
      </c>
      <c r="AD153" s="7">
        <v>0</v>
      </c>
      <c r="AE153" s="7">
        <v>0</v>
      </c>
      <c r="AF153" s="7">
        <v>1</v>
      </c>
      <c r="AG153" s="7">
        <v>0</v>
      </c>
      <c r="AH153" s="7">
        <v>0</v>
      </c>
      <c r="AI153" s="7">
        <v>0</v>
      </c>
      <c r="AJ153" s="7">
        <v>1</v>
      </c>
      <c r="AK153" s="7">
        <v>0</v>
      </c>
      <c r="AL153" s="7">
        <v>1</v>
      </c>
      <c r="AM153" s="7">
        <v>0</v>
      </c>
      <c r="AN153" s="7">
        <v>0</v>
      </c>
      <c r="AO153" s="7">
        <v>1</v>
      </c>
      <c r="AP153" s="7">
        <v>0</v>
      </c>
      <c r="AQ153" s="7">
        <v>1</v>
      </c>
      <c r="AR153" s="7">
        <v>0</v>
      </c>
      <c r="AS153" s="7">
        <v>6</v>
      </c>
      <c r="AT153" s="8">
        <v>0.33333333333333337</v>
      </c>
      <c r="AU153" s="14" t="s">
        <v>1102</v>
      </c>
      <c r="AV153" s="7">
        <v>14</v>
      </c>
      <c r="AW153" s="8">
        <v>0.38888888888888884</v>
      </c>
    </row>
    <row r="154" spans="1:49" ht="15.75" customHeight="1" x14ac:dyDescent="0.25">
      <c r="A154" s="5" t="s">
        <v>11</v>
      </c>
      <c r="B154" s="7" t="s">
        <v>442</v>
      </c>
      <c r="C154" s="7" t="s">
        <v>1103</v>
      </c>
      <c r="D154" s="6" t="s">
        <v>1097</v>
      </c>
      <c r="E154" s="5" t="s">
        <v>452</v>
      </c>
      <c r="F154" s="7">
        <v>0</v>
      </c>
      <c r="G154" s="7">
        <v>1</v>
      </c>
      <c r="H154" s="7">
        <v>1</v>
      </c>
      <c r="I154" s="7">
        <v>1</v>
      </c>
      <c r="J154" s="7">
        <v>1</v>
      </c>
      <c r="K154" s="7">
        <v>1</v>
      </c>
      <c r="L154" s="7">
        <v>1</v>
      </c>
      <c r="M154" s="7">
        <v>1</v>
      </c>
      <c r="N154" s="7">
        <v>0</v>
      </c>
      <c r="O154" s="7">
        <v>1</v>
      </c>
      <c r="P154" s="7">
        <v>1</v>
      </c>
      <c r="Q154" s="7">
        <v>1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10</v>
      </c>
      <c r="Y154" s="8">
        <v>0.55555555555555558</v>
      </c>
      <c r="Z154" s="14" t="s">
        <v>1119</v>
      </c>
      <c r="AA154" s="7">
        <v>1</v>
      </c>
      <c r="AB154" s="7">
        <v>1</v>
      </c>
      <c r="AC154" s="7">
        <v>1</v>
      </c>
      <c r="AD154" s="7">
        <v>1</v>
      </c>
      <c r="AE154" s="7">
        <v>1</v>
      </c>
      <c r="AF154" s="7">
        <v>0</v>
      </c>
      <c r="AG154" s="7">
        <v>0</v>
      </c>
      <c r="AH154" s="7">
        <v>1</v>
      </c>
      <c r="AI154" s="7">
        <v>0</v>
      </c>
      <c r="AJ154" s="7">
        <v>1</v>
      </c>
      <c r="AK154" s="7">
        <v>1</v>
      </c>
      <c r="AL154" s="7">
        <v>1</v>
      </c>
      <c r="AM154" s="7">
        <v>0</v>
      </c>
      <c r="AN154" s="7">
        <v>1</v>
      </c>
      <c r="AO154" s="7">
        <v>0</v>
      </c>
      <c r="AP154" s="7">
        <v>1</v>
      </c>
      <c r="AQ154" s="7">
        <v>1</v>
      </c>
      <c r="AR154" s="7">
        <v>0</v>
      </c>
      <c r="AS154" s="7">
        <v>12</v>
      </c>
      <c r="AT154" s="8">
        <v>0.66666666666666674</v>
      </c>
      <c r="AU154" s="14" t="s">
        <v>1119</v>
      </c>
      <c r="AV154" s="7">
        <v>22</v>
      </c>
      <c r="AW154" s="8">
        <v>0.61111111111111116</v>
      </c>
    </row>
    <row r="155" spans="1:49" ht="15.75" customHeight="1" x14ac:dyDescent="0.25">
      <c r="A155" s="5" t="s">
        <v>11</v>
      </c>
      <c r="B155" s="7" t="s">
        <v>442</v>
      </c>
      <c r="C155" s="7" t="s">
        <v>1103</v>
      </c>
      <c r="D155" s="6" t="s">
        <v>1097</v>
      </c>
      <c r="E155" s="5" t="s">
        <v>453</v>
      </c>
      <c r="F155" s="7">
        <v>1</v>
      </c>
      <c r="G155" s="7">
        <v>1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  <c r="M155" s="7">
        <v>0</v>
      </c>
      <c r="N155" s="7">
        <v>1</v>
      </c>
      <c r="O155" s="7">
        <v>1</v>
      </c>
      <c r="P155" s="7">
        <v>1</v>
      </c>
      <c r="Q155" s="7">
        <v>1</v>
      </c>
      <c r="R155" s="7">
        <v>1</v>
      </c>
      <c r="S155" s="7">
        <v>1</v>
      </c>
      <c r="T155" s="7">
        <v>1</v>
      </c>
      <c r="U155" s="7">
        <v>1</v>
      </c>
      <c r="V155" s="7">
        <v>1</v>
      </c>
      <c r="W155" s="7">
        <v>1</v>
      </c>
      <c r="X155" s="7">
        <v>17</v>
      </c>
      <c r="Y155" s="8">
        <v>0.94444444444444442</v>
      </c>
      <c r="Z155" s="14" t="s">
        <v>1120</v>
      </c>
      <c r="AA155" s="7">
        <v>1</v>
      </c>
      <c r="AB155" s="7">
        <v>1</v>
      </c>
      <c r="AC155" s="7">
        <v>0</v>
      </c>
      <c r="AD155" s="7">
        <v>0</v>
      </c>
      <c r="AE155" s="7">
        <v>1</v>
      </c>
      <c r="AF155" s="7">
        <v>1</v>
      </c>
      <c r="AG155" s="7">
        <v>1</v>
      </c>
      <c r="AH155" s="7">
        <v>0</v>
      </c>
      <c r="AI155" s="7">
        <v>0</v>
      </c>
      <c r="AJ155" s="7">
        <v>1</v>
      </c>
      <c r="AK155" s="7">
        <v>1</v>
      </c>
      <c r="AL155" s="7">
        <v>1</v>
      </c>
      <c r="AM155" s="7">
        <v>0</v>
      </c>
      <c r="AN155" s="7">
        <v>1</v>
      </c>
      <c r="AO155" s="7">
        <v>1</v>
      </c>
      <c r="AP155" s="7">
        <v>1</v>
      </c>
      <c r="AQ155" s="7">
        <v>1</v>
      </c>
      <c r="AR155" s="7">
        <v>1</v>
      </c>
      <c r="AS155" s="7">
        <v>13</v>
      </c>
      <c r="AT155" s="8">
        <v>0.72222222222222232</v>
      </c>
      <c r="AU155" s="14" t="s">
        <v>1120</v>
      </c>
      <c r="AV155" s="7">
        <v>30</v>
      </c>
      <c r="AW155" s="8">
        <v>0.83333333333333326</v>
      </c>
    </row>
    <row r="156" spans="1:49" ht="15.75" customHeight="1" x14ac:dyDescent="0.25">
      <c r="A156" s="5" t="s">
        <v>11</v>
      </c>
      <c r="B156" s="7" t="s">
        <v>442</v>
      </c>
      <c r="C156" s="7" t="s">
        <v>1104</v>
      </c>
      <c r="D156" s="6" t="s">
        <v>1097</v>
      </c>
      <c r="E156" s="5" t="s">
        <v>454</v>
      </c>
      <c r="F156" s="7">
        <v>1</v>
      </c>
      <c r="G156" s="7">
        <v>1</v>
      </c>
      <c r="H156" s="7">
        <v>1</v>
      </c>
      <c r="I156" s="7">
        <v>1</v>
      </c>
      <c r="J156" s="7">
        <v>1</v>
      </c>
      <c r="K156" s="7">
        <v>1</v>
      </c>
      <c r="L156" s="7">
        <v>1</v>
      </c>
      <c r="M156" s="7">
        <v>1</v>
      </c>
      <c r="N156" s="7">
        <v>1</v>
      </c>
      <c r="O156" s="7">
        <v>1</v>
      </c>
      <c r="P156" s="7">
        <v>1</v>
      </c>
      <c r="Q156" s="7">
        <v>1</v>
      </c>
      <c r="R156" s="7">
        <v>1</v>
      </c>
      <c r="S156" s="7">
        <v>0</v>
      </c>
      <c r="T156" s="7">
        <v>1</v>
      </c>
      <c r="U156" s="7">
        <v>1</v>
      </c>
      <c r="V156" s="7">
        <v>1</v>
      </c>
      <c r="W156" s="7">
        <v>1</v>
      </c>
      <c r="X156" s="7">
        <v>17</v>
      </c>
      <c r="Y156" s="8">
        <v>0.94444444444444442</v>
      </c>
      <c r="Z156" s="14" t="s">
        <v>1120</v>
      </c>
      <c r="AA156" s="7">
        <v>1</v>
      </c>
      <c r="AB156" s="7">
        <v>1</v>
      </c>
      <c r="AC156" s="7">
        <v>1</v>
      </c>
      <c r="AD156" s="7">
        <v>1</v>
      </c>
      <c r="AE156" s="7">
        <v>1</v>
      </c>
      <c r="AF156" s="7">
        <v>1</v>
      </c>
      <c r="AG156" s="7">
        <v>1</v>
      </c>
      <c r="AH156" s="7">
        <v>1</v>
      </c>
      <c r="AI156" s="7">
        <v>1</v>
      </c>
      <c r="AJ156" s="7">
        <v>1</v>
      </c>
      <c r="AK156" s="7">
        <v>1</v>
      </c>
      <c r="AL156" s="7">
        <v>1</v>
      </c>
      <c r="AM156" s="7">
        <v>0</v>
      </c>
      <c r="AN156" s="7">
        <v>0</v>
      </c>
      <c r="AO156" s="7">
        <v>0</v>
      </c>
      <c r="AP156" s="7">
        <v>1</v>
      </c>
      <c r="AQ156" s="7">
        <v>1</v>
      </c>
      <c r="AR156" s="7">
        <v>1</v>
      </c>
      <c r="AS156" s="7">
        <v>15</v>
      </c>
      <c r="AT156" s="8">
        <v>0.83333333333333326</v>
      </c>
      <c r="AU156" s="14" t="s">
        <v>1120</v>
      </c>
      <c r="AV156" s="7">
        <v>32</v>
      </c>
      <c r="AW156" s="8">
        <v>0.88888888888888884</v>
      </c>
    </row>
    <row r="157" spans="1:49" ht="15.75" customHeight="1" x14ac:dyDescent="0.25">
      <c r="A157" s="5" t="s">
        <v>11</v>
      </c>
      <c r="B157" s="7" t="s">
        <v>442</v>
      </c>
      <c r="C157" s="7" t="s">
        <v>1096</v>
      </c>
      <c r="D157" s="6" t="s">
        <v>1097</v>
      </c>
      <c r="E157" s="5" t="s">
        <v>455</v>
      </c>
      <c r="F157" s="7">
        <v>1</v>
      </c>
      <c r="G157" s="7">
        <v>1</v>
      </c>
      <c r="H157" s="7">
        <v>1</v>
      </c>
      <c r="I157" s="7">
        <v>1</v>
      </c>
      <c r="J157" s="7">
        <v>1</v>
      </c>
      <c r="K157" s="7">
        <v>1</v>
      </c>
      <c r="L157" s="7">
        <v>1</v>
      </c>
      <c r="M157" s="7">
        <v>1</v>
      </c>
      <c r="N157" s="7">
        <v>1</v>
      </c>
      <c r="O157" s="7">
        <v>1</v>
      </c>
      <c r="P157" s="7">
        <v>1</v>
      </c>
      <c r="Q157" s="7">
        <v>1</v>
      </c>
      <c r="R157" s="7">
        <v>1</v>
      </c>
      <c r="S157" s="7">
        <v>1</v>
      </c>
      <c r="T157" s="7">
        <v>1</v>
      </c>
      <c r="U157" s="7">
        <v>1</v>
      </c>
      <c r="V157" s="7">
        <v>1</v>
      </c>
      <c r="W157" s="7">
        <v>1</v>
      </c>
      <c r="X157" s="7">
        <v>18</v>
      </c>
      <c r="Y157" s="8">
        <v>1</v>
      </c>
      <c r="Z157" s="14" t="s">
        <v>1120</v>
      </c>
      <c r="AA157" s="7">
        <v>1</v>
      </c>
      <c r="AB157" s="7">
        <v>1</v>
      </c>
      <c r="AC157" s="7">
        <v>0</v>
      </c>
      <c r="AD157" s="7">
        <v>1</v>
      </c>
      <c r="AE157" s="7">
        <v>1</v>
      </c>
      <c r="AF157" s="7">
        <v>1</v>
      </c>
      <c r="AG157" s="7">
        <v>1</v>
      </c>
      <c r="AH157" s="7">
        <v>0</v>
      </c>
      <c r="AI157" s="7">
        <v>1</v>
      </c>
      <c r="AJ157" s="7">
        <v>1</v>
      </c>
      <c r="AK157" s="7">
        <v>1</v>
      </c>
      <c r="AL157" s="7">
        <v>0</v>
      </c>
      <c r="AM157" s="7">
        <v>1</v>
      </c>
      <c r="AN157" s="7">
        <v>1</v>
      </c>
      <c r="AO157" s="7">
        <v>1</v>
      </c>
      <c r="AP157" s="7">
        <v>0</v>
      </c>
      <c r="AQ157" s="7">
        <v>1</v>
      </c>
      <c r="AR157" s="7">
        <v>1</v>
      </c>
      <c r="AS157" s="7">
        <v>14</v>
      </c>
      <c r="AT157" s="8">
        <v>0.77777777777777768</v>
      </c>
      <c r="AU157" s="14" t="s">
        <v>1120</v>
      </c>
      <c r="AV157" s="7">
        <v>32</v>
      </c>
      <c r="AW157" s="8">
        <v>0.88888888888888884</v>
      </c>
    </row>
    <row r="158" spans="1:49" ht="15.75" customHeight="1" x14ac:dyDescent="0.25">
      <c r="A158" s="5" t="s">
        <v>11</v>
      </c>
      <c r="B158" s="7" t="s">
        <v>442</v>
      </c>
      <c r="C158" s="7" t="s">
        <v>1103</v>
      </c>
      <c r="D158" s="6" t="s">
        <v>1097</v>
      </c>
      <c r="E158" s="5" t="s">
        <v>456</v>
      </c>
      <c r="F158" s="7">
        <v>1</v>
      </c>
      <c r="G158" s="7">
        <v>1</v>
      </c>
      <c r="H158" s="7">
        <v>1</v>
      </c>
      <c r="I158" s="7">
        <v>1</v>
      </c>
      <c r="J158" s="7">
        <v>1</v>
      </c>
      <c r="K158" s="7">
        <v>1</v>
      </c>
      <c r="L158" s="7">
        <v>1</v>
      </c>
      <c r="M158" s="7">
        <v>1</v>
      </c>
      <c r="N158" s="7">
        <v>1</v>
      </c>
      <c r="O158" s="7">
        <v>1</v>
      </c>
      <c r="P158" s="7">
        <v>1</v>
      </c>
      <c r="Q158" s="7">
        <v>1</v>
      </c>
      <c r="R158" s="7">
        <v>1</v>
      </c>
      <c r="S158" s="7">
        <v>1</v>
      </c>
      <c r="T158" s="7">
        <v>1</v>
      </c>
      <c r="U158" s="7">
        <v>1</v>
      </c>
      <c r="V158" s="7">
        <v>1</v>
      </c>
      <c r="W158" s="7">
        <v>1</v>
      </c>
      <c r="X158" s="7">
        <v>18</v>
      </c>
      <c r="Y158" s="8">
        <v>1</v>
      </c>
      <c r="Z158" s="14" t="s">
        <v>1120</v>
      </c>
      <c r="AA158" s="7">
        <v>1</v>
      </c>
      <c r="AB158" s="7">
        <v>1</v>
      </c>
      <c r="AC158" s="7">
        <v>1</v>
      </c>
      <c r="AD158" s="7">
        <v>0</v>
      </c>
      <c r="AE158" s="7">
        <v>1</v>
      </c>
      <c r="AF158" s="7">
        <v>1</v>
      </c>
      <c r="AG158" s="7">
        <v>1</v>
      </c>
      <c r="AH158" s="7">
        <v>1</v>
      </c>
      <c r="AI158" s="7">
        <v>1</v>
      </c>
      <c r="AJ158" s="7">
        <v>1</v>
      </c>
      <c r="AK158" s="7">
        <v>1</v>
      </c>
      <c r="AL158" s="7">
        <v>1</v>
      </c>
      <c r="AM158" s="7">
        <v>0</v>
      </c>
      <c r="AN158" s="7">
        <v>1</v>
      </c>
      <c r="AO158" s="7">
        <v>1</v>
      </c>
      <c r="AP158" s="7">
        <v>1</v>
      </c>
      <c r="AQ158" s="7">
        <v>1</v>
      </c>
      <c r="AR158" s="7">
        <v>1</v>
      </c>
      <c r="AS158" s="7">
        <v>16</v>
      </c>
      <c r="AT158" s="8">
        <v>0.88888888888888884</v>
      </c>
      <c r="AU158" s="14" t="s">
        <v>1120</v>
      </c>
      <c r="AV158" s="7">
        <v>34</v>
      </c>
      <c r="AW158" s="8">
        <v>0.94444444444444442</v>
      </c>
    </row>
    <row r="159" spans="1:49" ht="15.75" customHeight="1" x14ac:dyDescent="0.25">
      <c r="A159" s="5" t="s">
        <v>11</v>
      </c>
      <c r="B159" s="7" t="s">
        <v>442</v>
      </c>
      <c r="C159" s="7" t="s">
        <v>1103</v>
      </c>
      <c r="D159" s="6" t="s">
        <v>1097</v>
      </c>
      <c r="E159" s="5" t="s">
        <v>457</v>
      </c>
      <c r="F159" s="7">
        <v>1</v>
      </c>
      <c r="G159" s="7">
        <v>1</v>
      </c>
      <c r="H159" s="7">
        <v>1</v>
      </c>
      <c r="I159" s="7">
        <v>1</v>
      </c>
      <c r="J159" s="7">
        <v>1</v>
      </c>
      <c r="K159" s="7">
        <v>1</v>
      </c>
      <c r="L159" s="7">
        <v>1</v>
      </c>
      <c r="M159" s="7">
        <v>1</v>
      </c>
      <c r="N159" s="7">
        <v>1</v>
      </c>
      <c r="O159" s="7">
        <v>1</v>
      </c>
      <c r="P159" s="7">
        <v>1</v>
      </c>
      <c r="Q159" s="7">
        <v>1</v>
      </c>
      <c r="R159" s="7">
        <v>1</v>
      </c>
      <c r="S159" s="7">
        <v>1</v>
      </c>
      <c r="T159" s="7">
        <v>1</v>
      </c>
      <c r="U159" s="7">
        <v>1</v>
      </c>
      <c r="V159" s="7">
        <v>1</v>
      </c>
      <c r="W159" s="7">
        <v>1</v>
      </c>
      <c r="X159" s="7">
        <v>18</v>
      </c>
      <c r="Y159" s="8">
        <v>1</v>
      </c>
      <c r="Z159" s="14" t="s">
        <v>1120</v>
      </c>
      <c r="AA159" s="7">
        <v>1</v>
      </c>
      <c r="AB159" s="7">
        <v>1</v>
      </c>
      <c r="AC159" s="7">
        <v>1</v>
      </c>
      <c r="AD159" s="7">
        <v>1</v>
      </c>
      <c r="AE159" s="7">
        <v>0</v>
      </c>
      <c r="AF159" s="7">
        <v>0</v>
      </c>
      <c r="AG159" s="7">
        <v>1</v>
      </c>
      <c r="AH159" s="7">
        <v>0</v>
      </c>
      <c r="AI159" s="7">
        <v>0</v>
      </c>
      <c r="AJ159" s="7">
        <v>1</v>
      </c>
      <c r="AK159" s="7">
        <v>1</v>
      </c>
      <c r="AL159" s="7">
        <v>1</v>
      </c>
      <c r="AM159" s="7">
        <v>0</v>
      </c>
      <c r="AN159" s="7">
        <v>1</v>
      </c>
      <c r="AO159" s="7">
        <v>1</v>
      </c>
      <c r="AP159" s="7">
        <v>1</v>
      </c>
      <c r="AQ159" s="7">
        <v>1</v>
      </c>
      <c r="AR159" s="7">
        <v>1</v>
      </c>
      <c r="AS159" s="7">
        <v>13</v>
      </c>
      <c r="AT159" s="8">
        <v>0.72222222222222232</v>
      </c>
      <c r="AU159" s="14" t="s">
        <v>1120</v>
      </c>
      <c r="AV159" s="7">
        <v>31</v>
      </c>
      <c r="AW159" s="8">
        <v>0.86111111111111116</v>
      </c>
    </row>
    <row r="160" spans="1:49" ht="15.75" customHeight="1" x14ac:dyDescent="0.25">
      <c r="A160" s="5" t="s">
        <v>11</v>
      </c>
      <c r="B160" s="7" t="s">
        <v>442</v>
      </c>
      <c r="C160" s="7" t="s">
        <v>1096</v>
      </c>
      <c r="D160" s="6" t="s">
        <v>1097</v>
      </c>
      <c r="E160" s="5" t="s">
        <v>458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  <c r="M160" s="7">
        <v>1</v>
      </c>
      <c r="N160" s="7">
        <v>1</v>
      </c>
      <c r="O160" s="7">
        <v>1</v>
      </c>
      <c r="P160" s="7">
        <v>1</v>
      </c>
      <c r="Q160" s="7">
        <v>1</v>
      </c>
      <c r="R160" s="7">
        <v>1</v>
      </c>
      <c r="S160" s="7">
        <v>1</v>
      </c>
      <c r="T160" s="7">
        <v>1</v>
      </c>
      <c r="U160" s="7">
        <v>1</v>
      </c>
      <c r="V160" s="7">
        <v>1</v>
      </c>
      <c r="W160" s="7">
        <v>1</v>
      </c>
      <c r="X160" s="7">
        <v>18</v>
      </c>
      <c r="Y160" s="8">
        <v>1</v>
      </c>
      <c r="Z160" s="14" t="s">
        <v>1120</v>
      </c>
      <c r="AA160" s="7">
        <v>1</v>
      </c>
      <c r="AB160" s="7">
        <v>1</v>
      </c>
      <c r="AC160" s="7">
        <v>1</v>
      </c>
      <c r="AD160" s="7">
        <v>1</v>
      </c>
      <c r="AE160" s="7">
        <v>0</v>
      </c>
      <c r="AF160" s="7">
        <v>0</v>
      </c>
      <c r="AG160" s="7">
        <v>1</v>
      </c>
      <c r="AH160" s="7">
        <v>1</v>
      </c>
      <c r="AI160" s="7">
        <v>0</v>
      </c>
      <c r="AJ160" s="7">
        <v>1</v>
      </c>
      <c r="AK160" s="7">
        <v>1</v>
      </c>
      <c r="AL160" s="7">
        <v>1</v>
      </c>
      <c r="AM160" s="7">
        <v>0</v>
      </c>
      <c r="AN160" s="7">
        <v>1</v>
      </c>
      <c r="AO160" s="7">
        <v>1</v>
      </c>
      <c r="AP160" s="7">
        <v>1</v>
      </c>
      <c r="AQ160" s="7">
        <v>1</v>
      </c>
      <c r="AR160" s="7">
        <v>0</v>
      </c>
      <c r="AS160" s="7">
        <v>13</v>
      </c>
      <c r="AT160" s="8">
        <v>0.72222222222222232</v>
      </c>
      <c r="AU160" s="14" t="s">
        <v>1120</v>
      </c>
      <c r="AV160" s="7">
        <v>31</v>
      </c>
      <c r="AW160" s="8">
        <v>0.86111111111111116</v>
      </c>
    </row>
    <row r="161" spans="1:49" ht="15.75" customHeight="1" x14ac:dyDescent="0.25">
      <c r="A161" s="5" t="s">
        <v>11</v>
      </c>
      <c r="B161" s="7" t="s">
        <v>442</v>
      </c>
      <c r="C161" s="7" t="s">
        <v>1103</v>
      </c>
      <c r="D161" s="6" t="s">
        <v>1097</v>
      </c>
      <c r="E161" s="5" t="s">
        <v>459</v>
      </c>
      <c r="F161" s="7">
        <v>1</v>
      </c>
      <c r="G161" s="7">
        <v>1</v>
      </c>
      <c r="H161" s="7">
        <v>1</v>
      </c>
      <c r="I161" s="7">
        <v>1</v>
      </c>
      <c r="J161" s="7">
        <v>0</v>
      </c>
      <c r="K161" s="7">
        <v>1</v>
      </c>
      <c r="L161" s="7">
        <v>1</v>
      </c>
      <c r="M161" s="7">
        <v>1</v>
      </c>
      <c r="N161" s="7">
        <v>1</v>
      </c>
      <c r="O161" s="7">
        <v>1</v>
      </c>
      <c r="P161" s="7">
        <v>1</v>
      </c>
      <c r="Q161" s="7">
        <v>1</v>
      </c>
      <c r="R161" s="7">
        <v>1</v>
      </c>
      <c r="S161" s="7">
        <v>1</v>
      </c>
      <c r="T161" s="7">
        <v>1</v>
      </c>
      <c r="U161" s="7">
        <v>1</v>
      </c>
      <c r="V161" s="7">
        <v>1</v>
      </c>
      <c r="W161" s="7">
        <v>1</v>
      </c>
      <c r="X161" s="7">
        <v>17</v>
      </c>
      <c r="Y161" s="8">
        <v>0.94444444444444442</v>
      </c>
      <c r="Z161" s="14" t="s">
        <v>1120</v>
      </c>
      <c r="AA161" s="7">
        <v>1</v>
      </c>
      <c r="AB161" s="7">
        <v>1</v>
      </c>
      <c r="AC161" s="7">
        <v>1</v>
      </c>
      <c r="AD161" s="7">
        <v>1</v>
      </c>
      <c r="AE161" s="7">
        <v>0</v>
      </c>
      <c r="AF161" s="7">
        <v>1</v>
      </c>
      <c r="AG161" s="7">
        <v>1</v>
      </c>
      <c r="AH161" s="7">
        <v>1</v>
      </c>
      <c r="AI161" s="7">
        <v>1</v>
      </c>
      <c r="AJ161" s="7">
        <v>1</v>
      </c>
      <c r="AK161" s="7">
        <v>1</v>
      </c>
      <c r="AL161" s="7">
        <v>1</v>
      </c>
      <c r="AM161" s="7">
        <v>0</v>
      </c>
      <c r="AN161" s="7">
        <v>1</v>
      </c>
      <c r="AO161" s="7">
        <v>1</v>
      </c>
      <c r="AP161" s="7">
        <v>1</v>
      </c>
      <c r="AQ161" s="7">
        <v>1</v>
      </c>
      <c r="AR161" s="7">
        <v>1</v>
      </c>
      <c r="AS161" s="7">
        <v>16</v>
      </c>
      <c r="AT161" s="8">
        <v>0.88888888888888884</v>
      </c>
      <c r="AU161" s="14" t="s">
        <v>1120</v>
      </c>
      <c r="AV161" s="7">
        <v>33</v>
      </c>
      <c r="AW161" s="8">
        <v>0.91666666666666674</v>
      </c>
    </row>
    <row r="162" spans="1:49" ht="15.75" customHeight="1" x14ac:dyDescent="0.25">
      <c r="A162" s="5" t="s">
        <v>11</v>
      </c>
      <c r="B162" s="7" t="s">
        <v>442</v>
      </c>
      <c r="C162" s="7" t="s">
        <v>1103</v>
      </c>
      <c r="D162" s="6" t="s">
        <v>1097</v>
      </c>
      <c r="E162" s="5" t="s">
        <v>460</v>
      </c>
      <c r="F162" s="7">
        <v>1</v>
      </c>
      <c r="G162" s="7">
        <v>1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  <c r="M162" s="7">
        <v>0</v>
      </c>
      <c r="N162" s="7">
        <v>1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17</v>
      </c>
      <c r="Y162" s="8">
        <v>0.94444444444444442</v>
      </c>
      <c r="Z162" s="14" t="s">
        <v>1120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7">
        <v>1</v>
      </c>
      <c r="AK162" s="7">
        <v>1</v>
      </c>
      <c r="AL162" s="7">
        <v>1</v>
      </c>
      <c r="AM162" s="7">
        <v>0</v>
      </c>
      <c r="AN162" s="7">
        <v>1</v>
      </c>
      <c r="AO162" s="7">
        <v>1</v>
      </c>
      <c r="AP162" s="7">
        <v>1</v>
      </c>
      <c r="AQ162" s="7">
        <v>1</v>
      </c>
      <c r="AR162" s="7">
        <v>1</v>
      </c>
      <c r="AS162" s="7">
        <v>17</v>
      </c>
      <c r="AT162" s="8">
        <v>0.94444444444444442</v>
      </c>
      <c r="AU162" s="14" t="s">
        <v>1120</v>
      </c>
      <c r="AV162" s="7">
        <v>34</v>
      </c>
      <c r="AW162" s="8">
        <v>0.94444444444444442</v>
      </c>
    </row>
    <row r="163" spans="1:49" ht="15.75" customHeight="1" x14ac:dyDescent="0.25">
      <c r="A163" s="5" t="s">
        <v>11</v>
      </c>
      <c r="B163" s="7" t="s">
        <v>442</v>
      </c>
      <c r="C163" s="7" t="s">
        <v>1103</v>
      </c>
      <c r="D163" s="6" t="s">
        <v>1097</v>
      </c>
      <c r="E163" s="5" t="s">
        <v>461</v>
      </c>
      <c r="F163" s="7">
        <v>0</v>
      </c>
      <c r="G163" s="7">
        <v>1</v>
      </c>
      <c r="H163" s="7">
        <v>0</v>
      </c>
      <c r="I163" s="7">
        <v>1</v>
      </c>
      <c r="J163" s="7">
        <v>1</v>
      </c>
      <c r="K163" s="7">
        <v>1</v>
      </c>
      <c r="L163" s="7">
        <v>1</v>
      </c>
      <c r="M163" s="7">
        <v>0</v>
      </c>
      <c r="N163" s="7">
        <v>1</v>
      </c>
      <c r="O163" s="7">
        <v>0</v>
      </c>
      <c r="P163" s="7">
        <v>1</v>
      </c>
      <c r="Q163" s="7">
        <v>0</v>
      </c>
      <c r="R163" s="7">
        <v>1</v>
      </c>
      <c r="S163" s="7">
        <v>1</v>
      </c>
      <c r="T163" s="7">
        <v>1</v>
      </c>
      <c r="U163" s="7">
        <v>1</v>
      </c>
      <c r="V163" s="7">
        <v>1</v>
      </c>
      <c r="W163" s="7">
        <v>1</v>
      </c>
      <c r="X163" s="7">
        <v>13</v>
      </c>
      <c r="Y163" s="8">
        <v>0.72222222222222232</v>
      </c>
      <c r="Z163" s="14" t="s">
        <v>1120</v>
      </c>
      <c r="AA163" s="7">
        <v>0</v>
      </c>
      <c r="AB163" s="7">
        <v>1</v>
      </c>
      <c r="AC163" s="7">
        <v>1</v>
      </c>
      <c r="AD163" s="7">
        <v>0</v>
      </c>
      <c r="AE163" s="7">
        <v>0</v>
      </c>
      <c r="AF163" s="7">
        <v>1</v>
      </c>
      <c r="AG163" s="7">
        <v>1</v>
      </c>
      <c r="AH163" s="7">
        <v>0</v>
      </c>
      <c r="AI163" s="7">
        <v>0</v>
      </c>
      <c r="AJ163" s="7">
        <v>1</v>
      </c>
      <c r="AK163" s="7">
        <v>1</v>
      </c>
      <c r="AL163" s="7">
        <v>0</v>
      </c>
      <c r="AM163" s="7">
        <v>1</v>
      </c>
      <c r="AN163" s="7">
        <v>0</v>
      </c>
      <c r="AO163" s="7">
        <v>1</v>
      </c>
      <c r="AP163" s="7">
        <v>0</v>
      </c>
      <c r="AQ163" s="7">
        <v>1</v>
      </c>
      <c r="AR163" s="7">
        <v>1</v>
      </c>
      <c r="AS163" s="7">
        <v>10</v>
      </c>
      <c r="AT163" s="8">
        <v>0.55555555555555558</v>
      </c>
      <c r="AU163" s="14" t="s">
        <v>1119</v>
      </c>
      <c r="AV163" s="7">
        <v>23</v>
      </c>
      <c r="AW163" s="8">
        <v>0.63888888888888884</v>
      </c>
    </row>
    <row r="164" spans="1:49" ht="15.75" customHeight="1" x14ac:dyDescent="0.25">
      <c r="A164" s="5" t="s">
        <v>11</v>
      </c>
      <c r="B164" s="7" t="s">
        <v>442</v>
      </c>
      <c r="C164" s="7" t="s">
        <v>1103</v>
      </c>
      <c r="D164" s="6" t="s">
        <v>1097</v>
      </c>
      <c r="E164" s="5" t="s">
        <v>462</v>
      </c>
      <c r="F164" s="7">
        <v>1</v>
      </c>
      <c r="G164" s="7">
        <v>1</v>
      </c>
      <c r="H164" s="7">
        <v>1</v>
      </c>
      <c r="I164" s="7">
        <v>1</v>
      </c>
      <c r="J164" s="7">
        <v>1</v>
      </c>
      <c r="K164" s="7">
        <v>1</v>
      </c>
      <c r="L164" s="7">
        <v>1</v>
      </c>
      <c r="M164" s="7">
        <v>1</v>
      </c>
      <c r="N164" s="7">
        <v>1</v>
      </c>
      <c r="O164" s="7">
        <v>1</v>
      </c>
      <c r="P164" s="7">
        <v>1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18</v>
      </c>
      <c r="Y164" s="8">
        <v>1</v>
      </c>
      <c r="Z164" s="14" t="s">
        <v>1120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7">
        <v>1</v>
      </c>
      <c r="AK164" s="7">
        <v>1</v>
      </c>
      <c r="AL164" s="7">
        <v>1</v>
      </c>
      <c r="AM164" s="7">
        <v>1</v>
      </c>
      <c r="AN164" s="7">
        <v>1</v>
      </c>
      <c r="AO164" s="7">
        <v>1</v>
      </c>
      <c r="AP164" s="7">
        <v>1</v>
      </c>
      <c r="AQ164" s="7">
        <v>1</v>
      </c>
      <c r="AR164" s="7">
        <v>1</v>
      </c>
      <c r="AS164" s="7">
        <v>18</v>
      </c>
      <c r="AT164" s="8">
        <v>1</v>
      </c>
      <c r="AU164" s="14" t="s">
        <v>1120</v>
      </c>
      <c r="AV164" s="7">
        <v>36</v>
      </c>
      <c r="AW164" s="8">
        <v>1</v>
      </c>
    </row>
    <row r="165" spans="1:49" ht="15.75" customHeight="1" x14ac:dyDescent="0.25">
      <c r="A165" s="5" t="s">
        <v>11</v>
      </c>
      <c r="B165" s="7" t="s">
        <v>442</v>
      </c>
      <c r="C165" s="7" t="s">
        <v>1103</v>
      </c>
      <c r="D165" s="6" t="s">
        <v>1097</v>
      </c>
      <c r="E165" s="5" t="s">
        <v>463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  <c r="M165" s="7">
        <v>1</v>
      </c>
      <c r="N165" s="7">
        <v>1</v>
      </c>
      <c r="O165" s="7">
        <v>1</v>
      </c>
      <c r="P165" s="7">
        <v>1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18</v>
      </c>
      <c r="Y165" s="8">
        <v>1</v>
      </c>
      <c r="Z165" s="14" t="s">
        <v>1120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7">
        <v>1</v>
      </c>
      <c r="AK165" s="7">
        <v>1</v>
      </c>
      <c r="AL165" s="7">
        <v>0</v>
      </c>
      <c r="AM165" s="7">
        <v>1</v>
      </c>
      <c r="AN165" s="7">
        <v>1</v>
      </c>
      <c r="AO165" s="7">
        <v>1</v>
      </c>
      <c r="AP165" s="7">
        <v>1</v>
      </c>
      <c r="AQ165" s="7">
        <v>1</v>
      </c>
      <c r="AR165" s="7">
        <v>1</v>
      </c>
      <c r="AS165" s="7">
        <v>17</v>
      </c>
      <c r="AT165" s="8">
        <v>0.94444444444444442</v>
      </c>
      <c r="AU165" s="14" t="s">
        <v>1120</v>
      </c>
      <c r="AV165" s="7">
        <v>35</v>
      </c>
      <c r="AW165" s="8">
        <v>0.97222222222222232</v>
      </c>
    </row>
    <row r="166" spans="1:49" ht="15.75" customHeight="1" x14ac:dyDescent="0.25">
      <c r="A166" s="5" t="s">
        <v>11</v>
      </c>
      <c r="B166" s="7" t="s">
        <v>442</v>
      </c>
      <c r="C166" s="7" t="s">
        <v>1103</v>
      </c>
      <c r="D166" s="6" t="s">
        <v>1097</v>
      </c>
      <c r="E166" s="5" t="s">
        <v>464</v>
      </c>
      <c r="F166" s="7">
        <v>1</v>
      </c>
      <c r="G166" s="7">
        <v>1</v>
      </c>
      <c r="H166" s="7">
        <v>1</v>
      </c>
      <c r="I166" s="7">
        <v>1</v>
      </c>
      <c r="J166" s="7">
        <v>1</v>
      </c>
      <c r="K166" s="7">
        <v>1</v>
      </c>
      <c r="L166" s="7">
        <v>1</v>
      </c>
      <c r="M166" s="7">
        <v>0</v>
      </c>
      <c r="N166" s="7">
        <v>0</v>
      </c>
      <c r="O166" s="7">
        <v>1</v>
      </c>
      <c r="P166" s="7">
        <v>1</v>
      </c>
      <c r="Q166" s="7">
        <v>1</v>
      </c>
      <c r="R166" s="7">
        <v>1</v>
      </c>
      <c r="S166" s="7">
        <v>1</v>
      </c>
      <c r="T166" s="7">
        <v>0</v>
      </c>
      <c r="U166" s="7">
        <v>1</v>
      </c>
      <c r="V166" s="7">
        <v>1</v>
      </c>
      <c r="W166" s="7">
        <v>1</v>
      </c>
      <c r="X166" s="7">
        <v>18</v>
      </c>
      <c r="Y166" s="8">
        <v>1</v>
      </c>
      <c r="Z166" s="14" t="s">
        <v>1120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7">
        <v>1</v>
      </c>
      <c r="AG166" s="7">
        <v>1</v>
      </c>
      <c r="AH166" s="7">
        <v>1</v>
      </c>
      <c r="AI166" s="7">
        <v>1</v>
      </c>
      <c r="AJ166" s="7">
        <v>1</v>
      </c>
      <c r="AK166" s="7">
        <v>1</v>
      </c>
      <c r="AL166" s="7">
        <v>0</v>
      </c>
      <c r="AM166" s="7">
        <v>1</v>
      </c>
      <c r="AN166" s="7">
        <v>0</v>
      </c>
      <c r="AO166" s="7">
        <v>1</v>
      </c>
      <c r="AP166" s="7">
        <v>0</v>
      </c>
      <c r="AQ166" s="7">
        <v>1</v>
      </c>
      <c r="AR166" s="7">
        <v>1</v>
      </c>
      <c r="AS166" s="7">
        <v>15</v>
      </c>
      <c r="AT166" s="8">
        <v>0.83333333333333326</v>
      </c>
      <c r="AU166" s="14" t="s">
        <v>1120</v>
      </c>
      <c r="AV166" s="7">
        <v>30</v>
      </c>
      <c r="AW166" s="8">
        <v>0.83333333333333326</v>
      </c>
    </row>
    <row r="167" spans="1:49" ht="15.75" customHeight="1" x14ac:dyDescent="0.25">
      <c r="A167" s="5" t="s">
        <v>11</v>
      </c>
      <c r="B167" s="7" t="s">
        <v>465</v>
      </c>
      <c r="C167" s="7" t="s">
        <v>1096</v>
      </c>
      <c r="D167" s="6" t="s">
        <v>1097</v>
      </c>
      <c r="E167" s="5" t="s">
        <v>466</v>
      </c>
      <c r="F167" s="7">
        <v>1</v>
      </c>
      <c r="G167" s="7">
        <v>1</v>
      </c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1</v>
      </c>
      <c r="N167" s="7">
        <v>1</v>
      </c>
      <c r="O167" s="7">
        <v>1</v>
      </c>
      <c r="P167" s="7">
        <v>1</v>
      </c>
      <c r="Q167" s="7">
        <v>1</v>
      </c>
      <c r="R167" s="7">
        <v>1</v>
      </c>
      <c r="S167" s="7">
        <v>1</v>
      </c>
      <c r="T167" s="7">
        <v>1</v>
      </c>
      <c r="U167" s="7">
        <v>1</v>
      </c>
      <c r="V167" s="7">
        <v>1</v>
      </c>
      <c r="W167" s="7">
        <v>1</v>
      </c>
      <c r="X167" s="7">
        <v>18</v>
      </c>
      <c r="Y167" s="8">
        <v>1</v>
      </c>
      <c r="Z167" s="14" t="s">
        <v>1120</v>
      </c>
      <c r="AA167" s="7">
        <v>1</v>
      </c>
      <c r="AB167" s="7">
        <v>1</v>
      </c>
      <c r="AC167" s="7">
        <v>1</v>
      </c>
      <c r="AD167" s="7">
        <v>1</v>
      </c>
      <c r="AE167" s="7">
        <v>1</v>
      </c>
      <c r="AF167" s="7">
        <v>1</v>
      </c>
      <c r="AG167" s="7">
        <v>1</v>
      </c>
      <c r="AH167" s="7">
        <v>1</v>
      </c>
      <c r="AI167" s="7">
        <v>1</v>
      </c>
      <c r="AJ167" s="7">
        <v>1</v>
      </c>
      <c r="AK167" s="7">
        <v>1</v>
      </c>
      <c r="AL167" s="7">
        <v>1</v>
      </c>
      <c r="AM167" s="7">
        <v>1</v>
      </c>
      <c r="AN167" s="7">
        <v>1</v>
      </c>
      <c r="AO167" s="7">
        <v>1</v>
      </c>
      <c r="AP167" s="7">
        <v>1</v>
      </c>
      <c r="AQ167" s="7">
        <v>1</v>
      </c>
      <c r="AR167" s="7">
        <v>1</v>
      </c>
      <c r="AS167" s="7">
        <v>18</v>
      </c>
      <c r="AT167" s="8">
        <v>1</v>
      </c>
      <c r="AU167" s="14" t="s">
        <v>1120</v>
      </c>
      <c r="AV167" s="7">
        <v>36</v>
      </c>
      <c r="AW167" s="8">
        <v>1</v>
      </c>
    </row>
    <row r="168" spans="1:49" ht="15.75" customHeight="1" x14ac:dyDescent="0.25">
      <c r="A168" s="5" t="s">
        <v>11</v>
      </c>
      <c r="B168" s="7" t="s">
        <v>465</v>
      </c>
      <c r="C168" s="7" t="s">
        <v>1096</v>
      </c>
      <c r="D168" s="6" t="s">
        <v>1097</v>
      </c>
      <c r="E168" s="5" t="s">
        <v>467</v>
      </c>
      <c r="F168" s="7">
        <v>1</v>
      </c>
      <c r="G168" s="7">
        <v>1</v>
      </c>
      <c r="H168" s="7">
        <v>1</v>
      </c>
      <c r="I168" s="7">
        <v>1</v>
      </c>
      <c r="J168" s="7">
        <v>1</v>
      </c>
      <c r="K168" s="7">
        <v>1</v>
      </c>
      <c r="L168" s="7">
        <v>1</v>
      </c>
      <c r="M168" s="7">
        <v>1</v>
      </c>
      <c r="N168" s="7">
        <v>0</v>
      </c>
      <c r="O168" s="7">
        <v>1</v>
      </c>
      <c r="P168" s="7">
        <v>1</v>
      </c>
      <c r="Q168" s="7">
        <v>1</v>
      </c>
      <c r="R168" s="7">
        <v>1</v>
      </c>
      <c r="S168" s="7">
        <v>1</v>
      </c>
      <c r="T168" s="7">
        <v>0</v>
      </c>
      <c r="U168" s="7">
        <v>1</v>
      </c>
      <c r="V168" s="7">
        <v>1</v>
      </c>
      <c r="W168" s="7">
        <v>1</v>
      </c>
      <c r="X168" s="7">
        <v>16</v>
      </c>
      <c r="Y168" s="8">
        <v>0.88888888888888884</v>
      </c>
      <c r="Z168" s="14" t="s">
        <v>1120</v>
      </c>
      <c r="AA168" s="7">
        <v>1</v>
      </c>
      <c r="AB168" s="7">
        <v>1</v>
      </c>
      <c r="AC168" s="7">
        <v>1</v>
      </c>
      <c r="AD168" s="7">
        <v>1</v>
      </c>
      <c r="AE168" s="7">
        <v>0</v>
      </c>
      <c r="AF168" s="7">
        <v>0</v>
      </c>
      <c r="AG168" s="7">
        <v>1</v>
      </c>
      <c r="AH168" s="7">
        <v>1</v>
      </c>
      <c r="AI168" s="7">
        <v>0</v>
      </c>
      <c r="AJ168" s="7">
        <v>1</v>
      </c>
      <c r="AK168" s="7">
        <v>1</v>
      </c>
      <c r="AL168" s="7">
        <v>1</v>
      </c>
      <c r="AM168" s="7">
        <v>0</v>
      </c>
      <c r="AN168" s="7">
        <v>1</v>
      </c>
      <c r="AO168" s="7">
        <v>1</v>
      </c>
      <c r="AP168" s="7">
        <v>0</v>
      </c>
      <c r="AQ168" s="7">
        <v>1</v>
      </c>
      <c r="AR168" s="7">
        <v>1</v>
      </c>
      <c r="AS168" s="7">
        <v>13</v>
      </c>
      <c r="AT168" s="8">
        <v>0.72222222222222232</v>
      </c>
      <c r="AU168" s="14" t="s">
        <v>1120</v>
      </c>
      <c r="AV168" s="7">
        <v>29</v>
      </c>
      <c r="AW168" s="8">
        <v>0.80555555555555558</v>
      </c>
    </row>
    <row r="169" spans="1:49" ht="15.75" customHeight="1" x14ac:dyDescent="0.25">
      <c r="A169" s="5" t="s">
        <v>11</v>
      </c>
      <c r="B169" s="7" t="s">
        <v>465</v>
      </c>
      <c r="C169" s="7" t="s">
        <v>1103</v>
      </c>
      <c r="D169" s="6" t="s">
        <v>1097</v>
      </c>
      <c r="E169" s="5" t="s">
        <v>468</v>
      </c>
      <c r="F169" s="7">
        <v>1</v>
      </c>
      <c r="G169" s="7">
        <v>1</v>
      </c>
      <c r="H169" s="7">
        <v>1</v>
      </c>
      <c r="I169" s="7">
        <v>1</v>
      </c>
      <c r="J169" s="7">
        <v>1</v>
      </c>
      <c r="K169" s="7">
        <v>1</v>
      </c>
      <c r="L169" s="7">
        <v>1</v>
      </c>
      <c r="M169" s="7">
        <v>1</v>
      </c>
      <c r="N169" s="7">
        <v>1</v>
      </c>
      <c r="O169" s="7">
        <v>1</v>
      </c>
      <c r="P169" s="7">
        <v>1</v>
      </c>
      <c r="Q169" s="7">
        <v>1</v>
      </c>
      <c r="R169" s="7">
        <v>1</v>
      </c>
      <c r="S169" s="7">
        <v>1</v>
      </c>
      <c r="T169" s="7">
        <v>1</v>
      </c>
      <c r="U169" s="7">
        <v>1</v>
      </c>
      <c r="V169" s="7">
        <v>1</v>
      </c>
      <c r="W169" s="7">
        <v>1</v>
      </c>
      <c r="X169" s="7">
        <v>18</v>
      </c>
      <c r="Y169" s="8">
        <v>1</v>
      </c>
      <c r="Z169" s="14" t="s">
        <v>1120</v>
      </c>
      <c r="AA169" s="7">
        <v>1</v>
      </c>
      <c r="AB169" s="7">
        <v>1</v>
      </c>
      <c r="AC169" s="7">
        <v>1</v>
      </c>
      <c r="AD169" s="7">
        <v>1</v>
      </c>
      <c r="AE169" s="7">
        <v>0</v>
      </c>
      <c r="AF169" s="7">
        <v>0</v>
      </c>
      <c r="AG169" s="7">
        <v>1</v>
      </c>
      <c r="AH169" s="7">
        <v>1</v>
      </c>
      <c r="AI169" s="7">
        <v>0</v>
      </c>
      <c r="AJ169" s="7">
        <v>1</v>
      </c>
      <c r="AK169" s="7">
        <v>1</v>
      </c>
      <c r="AL169" s="7">
        <v>1</v>
      </c>
      <c r="AM169" s="7">
        <v>0</v>
      </c>
      <c r="AN169" s="7">
        <v>0</v>
      </c>
      <c r="AO169" s="7">
        <v>1</v>
      </c>
      <c r="AP169" s="7">
        <v>0</v>
      </c>
      <c r="AQ169" s="7">
        <v>1</v>
      </c>
      <c r="AR169" s="7">
        <v>1</v>
      </c>
      <c r="AS169" s="7">
        <v>12</v>
      </c>
      <c r="AT169" s="8">
        <v>0.66666666666666674</v>
      </c>
      <c r="AU169" s="14" t="s">
        <v>1119</v>
      </c>
      <c r="AV169" s="7">
        <v>30</v>
      </c>
      <c r="AW169" s="8">
        <v>0.83333333333333326</v>
      </c>
    </row>
    <row r="170" spans="1:49" ht="15.75" customHeight="1" x14ac:dyDescent="0.25">
      <c r="A170" s="5" t="s">
        <v>11</v>
      </c>
      <c r="B170" s="7" t="s">
        <v>465</v>
      </c>
      <c r="C170" s="7" t="s">
        <v>1103</v>
      </c>
      <c r="D170" s="6" t="s">
        <v>1097</v>
      </c>
      <c r="E170" s="5" t="s">
        <v>469</v>
      </c>
      <c r="F170" s="7">
        <v>1</v>
      </c>
      <c r="G170" s="7">
        <v>1</v>
      </c>
      <c r="H170" s="7">
        <v>1</v>
      </c>
      <c r="I170" s="7">
        <v>0</v>
      </c>
      <c r="J170" s="7">
        <v>0</v>
      </c>
      <c r="K170" s="7">
        <v>0</v>
      </c>
      <c r="L170" s="7">
        <v>1</v>
      </c>
      <c r="M170" s="7">
        <v>1</v>
      </c>
      <c r="N170" s="7">
        <v>0</v>
      </c>
      <c r="O170" s="7">
        <v>1</v>
      </c>
      <c r="P170" s="7">
        <v>1</v>
      </c>
      <c r="Q170" s="7">
        <v>0</v>
      </c>
      <c r="R170" s="7">
        <v>1</v>
      </c>
      <c r="S170" s="7">
        <v>0</v>
      </c>
      <c r="T170" s="7">
        <v>0</v>
      </c>
      <c r="U170" s="7">
        <v>1</v>
      </c>
      <c r="V170" s="7">
        <v>1</v>
      </c>
      <c r="W170" s="7">
        <v>1</v>
      </c>
      <c r="X170" s="7">
        <v>11</v>
      </c>
      <c r="Y170" s="8">
        <v>0.61111111111111116</v>
      </c>
      <c r="Z170" s="14" t="s">
        <v>1119</v>
      </c>
      <c r="AA170" s="7">
        <v>1</v>
      </c>
      <c r="AB170" s="7">
        <v>1</v>
      </c>
      <c r="AC170" s="7">
        <v>1</v>
      </c>
      <c r="AD170" s="7">
        <v>0</v>
      </c>
      <c r="AE170" s="7">
        <v>0</v>
      </c>
      <c r="AF170" s="7">
        <v>1</v>
      </c>
      <c r="AG170" s="7">
        <v>1</v>
      </c>
      <c r="AH170" s="7">
        <v>1</v>
      </c>
      <c r="AI170" s="7">
        <v>0</v>
      </c>
      <c r="AJ170" s="7">
        <v>1</v>
      </c>
      <c r="AK170" s="7">
        <v>1</v>
      </c>
      <c r="AL170" s="7">
        <v>1</v>
      </c>
      <c r="AM170" s="7">
        <v>0</v>
      </c>
      <c r="AN170" s="7">
        <v>1</v>
      </c>
      <c r="AO170" s="7">
        <v>1</v>
      </c>
      <c r="AP170" s="7">
        <v>0</v>
      </c>
      <c r="AQ170" s="7">
        <v>1</v>
      </c>
      <c r="AR170" s="7">
        <v>1</v>
      </c>
      <c r="AS170" s="7">
        <v>13</v>
      </c>
      <c r="AT170" s="8">
        <v>0.72222222222222232</v>
      </c>
      <c r="AU170" s="14" t="s">
        <v>1120</v>
      </c>
      <c r="AV170" s="7">
        <v>24</v>
      </c>
      <c r="AW170" s="8">
        <v>0.66666666666666674</v>
      </c>
    </row>
    <row r="171" spans="1:49" ht="15.75" customHeight="1" x14ac:dyDescent="0.25">
      <c r="A171" s="5" t="s">
        <v>11</v>
      </c>
      <c r="B171" s="7" t="s">
        <v>465</v>
      </c>
      <c r="C171" s="7" t="s">
        <v>1168</v>
      </c>
      <c r="D171" s="6" t="s">
        <v>1097</v>
      </c>
      <c r="E171" s="5" t="s">
        <v>470</v>
      </c>
      <c r="F171" s="7">
        <v>1</v>
      </c>
      <c r="G171" s="7">
        <v>1</v>
      </c>
      <c r="H171" s="7">
        <v>0</v>
      </c>
      <c r="I171" s="7">
        <v>1</v>
      </c>
      <c r="J171" s="7">
        <v>1</v>
      </c>
      <c r="K171" s="7">
        <v>1</v>
      </c>
      <c r="L171" s="7">
        <v>1</v>
      </c>
      <c r="M171" s="7">
        <v>1</v>
      </c>
      <c r="N171" s="7">
        <v>0</v>
      </c>
      <c r="O171" s="7">
        <v>1</v>
      </c>
      <c r="P171" s="7">
        <v>1</v>
      </c>
      <c r="Q171" s="7">
        <v>0</v>
      </c>
      <c r="R171" s="7">
        <v>0</v>
      </c>
      <c r="S171" s="7">
        <v>1</v>
      </c>
      <c r="T171" s="7">
        <v>1</v>
      </c>
      <c r="U171" s="7">
        <v>1</v>
      </c>
      <c r="V171" s="7">
        <v>1</v>
      </c>
      <c r="W171" s="7">
        <v>1</v>
      </c>
      <c r="X171" s="7">
        <v>14</v>
      </c>
      <c r="Y171" s="8">
        <v>0.77777777777777768</v>
      </c>
      <c r="Z171" s="14" t="s">
        <v>1120</v>
      </c>
      <c r="AA171" s="7">
        <v>1</v>
      </c>
      <c r="AB171" s="7">
        <v>1</v>
      </c>
      <c r="AC171" s="7">
        <v>1</v>
      </c>
      <c r="AD171" s="7">
        <v>1</v>
      </c>
      <c r="AE171" s="7">
        <v>0</v>
      </c>
      <c r="AF171" s="7">
        <v>0</v>
      </c>
      <c r="AG171" s="7">
        <v>1</v>
      </c>
      <c r="AH171" s="7">
        <v>1</v>
      </c>
      <c r="AI171" s="7">
        <v>1</v>
      </c>
      <c r="AJ171" s="7">
        <v>1</v>
      </c>
      <c r="AK171" s="7">
        <v>1</v>
      </c>
      <c r="AL171" s="7">
        <v>1</v>
      </c>
      <c r="AM171" s="7">
        <v>0</v>
      </c>
      <c r="AN171" s="7">
        <v>0</v>
      </c>
      <c r="AO171" s="7">
        <v>1</v>
      </c>
      <c r="AP171" s="7">
        <v>1</v>
      </c>
      <c r="AQ171" s="7">
        <v>1</v>
      </c>
      <c r="AR171" s="7">
        <v>1</v>
      </c>
      <c r="AS171" s="7">
        <v>14</v>
      </c>
      <c r="AT171" s="8">
        <v>0.77777777777777768</v>
      </c>
      <c r="AU171" s="14" t="s">
        <v>1120</v>
      </c>
      <c r="AV171" s="7">
        <v>28</v>
      </c>
      <c r="AW171" s="8">
        <v>0.77777777777777768</v>
      </c>
    </row>
    <row r="172" spans="1:49" ht="15.75" customHeight="1" x14ac:dyDescent="0.25">
      <c r="A172" s="5" t="s">
        <v>11</v>
      </c>
      <c r="B172" s="7" t="s">
        <v>465</v>
      </c>
      <c r="C172" s="7" t="s">
        <v>1103</v>
      </c>
      <c r="D172" s="6" t="s">
        <v>1097</v>
      </c>
      <c r="E172" s="5" t="s">
        <v>1169</v>
      </c>
      <c r="F172" s="7">
        <v>0</v>
      </c>
      <c r="G172" s="7">
        <v>1</v>
      </c>
      <c r="H172" s="7">
        <v>1</v>
      </c>
      <c r="I172" s="7">
        <v>1</v>
      </c>
      <c r="J172" s="7">
        <v>0</v>
      </c>
      <c r="K172" s="7">
        <v>1</v>
      </c>
      <c r="L172" s="7">
        <v>0</v>
      </c>
      <c r="M172" s="7">
        <v>1</v>
      </c>
      <c r="N172" s="7">
        <v>0</v>
      </c>
      <c r="O172" s="7">
        <v>1</v>
      </c>
      <c r="P172" s="7">
        <v>1</v>
      </c>
      <c r="Q172" s="7">
        <v>0</v>
      </c>
      <c r="R172" s="7">
        <v>1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8</v>
      </c>
      <c r="Y172" s="8">
        <v>0.44444444444444442</v>
      </c>
      <c r="Z172" s="14" t="s">
        <v>1119</v>
      </c>
      <c r="AA172" s="7">
        <v>1</v>
      </c>
      <c r="AB172" s="7">
        <v>1</v>
      </c>
      <c r="AC172" s="7">
        <v>1</v>
      </c>
      <c r="AD172" s="7">
        <v>1</v>
      </c>
      <c r="AE172" s="7">
        <v>0</v>
      </c>
      <c r="AF172" s="7">
        <v>1</v>
      </c>
      <c r="AG172" s="7">
        <v>0</v>
      </c>
      <c r="AH172" s="7">
        <v>0</v>
      </c>
      <c r="AI172" s="7">
        <v>0</v>
      </c>
      <c r="AJ172" s="7">
        <v>1</v>
      </c>
      <c r="AK172" s="7">
        <v>1</v>
      </c>
      <c r="AL172" s="7">
        <v>0</v>
      </c>
      <c r="AM172" s="7">
        <v>1</v>
      </c>
      <c r="AN172" s="7">
        <v>1</v>
      </c>
      <c r="AO172" s="7">
        <v>0</v>
      </c>
      <c r="AP172" s="7">
        <v>0</v>
      </c>
      <c r="AQ172" s="7">
        <v>1</v>
      </c>
      <c r="AR172" s="7">
        <v>1</v>
      </c>
      <c r="AS172" s="7">
        <v>11</v>
      </c>
      <c r="AT172" s="8">
        <v>0.61111111111111116</v>
      </c>
      <c r="AU172" s="14" t="s">
        <v>1119</v>
      </c>
      <c r="AV172" s="7">
        <v>19</v>
      </c>
      <c r="AW172" s="8">
        <v>0.52777777777777779</v>
      </c>
    </row>
    <row r="173" spans="1:49" ht="15.75" customHeight="1" x14ac:dyDescent="0.25">
      <c r="A173" s="5" t="s">
        <v>11</v>
      </c>
      <c r="B173" s="7" t="s">
        <v>465</v>
      </c>
      <c r="C173" s="7" t="s">
        <v>1103</v>
      </c>
      <c r="D173" s="6" t="s">
        <v>1097</v>
      </c>
      <c r="E173" s="5" t="s">
        <v>1170</v>
      </c>
      <c r="F173" s="7">
        <v>1</v>
      </c>
      <c r="G173" s="7">
        <v>1</v>
      </c>
      <c r="H173" s="7">
        <v>1</v>
      </c>
      <c r="I173" s="7">
        <v>1</v>
      </c>
      <c r="J173" s="7">
        <v>1</v>
      </c>
      <c r="K173" s="7">
        <v>1</v>
      </c>
      <c r="L173" s="7">
        <v>1</v>
      </c>
      <c r="M173" s="7">
        <v>1</v>
      </c>
      <c r="N173" s="7">
        <v>1</v>
      </c>
      <c r="O173" s="7">
        <v>1</v>
      </c>
      <c r="P173" s="7">
        <v>1</v>
      </c>
      <c r="Q173" s="7">
        <v>1</v>
      </c>
      <c r="R173" s="7">
        <v>1</v>
      </c>
      <c r="S173" s="7">
        <v>1</v>
      </c>
      <c r="T173" s="7">
        <v>1</v>
      </c>
      <c r="U173" s="7">
        <v>1</v>
      </c>
      <c r="V173" s="7">
        <v>1</v>
      </c>
      <c r="W173" s="7">
        <v>1</v>
      </c>
      <c r="X173" s="7">
        <v>18</v>
      </c>
      <c r="Y173" s="8">
        <v>1</v>
      </c>
      <c r="Z173" s="14" t="s">
        <v>1120</v>
      </c>
      <c r="AA173" s="7">
        <v>1</v>
      </c>
      <c r="AB173" s="7">
        <v>1</v>
      </c>
      <c r="AC173" s="7">
        <v>1</v>
      </c>
      <c r="AD173" s="7">
        <v>1</v>
      </c>
      <c r="AE173" s="7">
        <v>1</v>
      </c>
      <c r="AF173" s="7">
        <v>1</v>
      </c>
      <c r="AG173" s="7">
        <v>1</v>
      </c>
      <c r="AH173" s="7">
        <v>1</v>
      </c>
      <c r="AI173" s="7">
        <v>1</v>
      </c>
      <c r="AJ173" s="7">
        <v>1</v>
      </c>
      <c r="AK173" s="7">
        <v>1</v>
      </c>
      <c r="AL173" s="7">
        <v>1</v>
      </c>
      <c r="AM173" s="7">
        <v>0</v>
      </c>
      <c r="AN173" s="7">
        <v>1</v>
      </c>
      <c r="AO173" s="7">
        <v>1</v>
      </c>
      <c r="AP173" s="7">
        <v>1</v>
      </c>
      <c r="AQ173" s="7">
        <v>1</v>
      </c>
      <c r="AR173" s="7">
        <v>1</v>
      </c>
      <c r="AS173" s="7">
        <v>18</v>
      </c>
      <c r="AT173" s="8">
        <v>1</v>
      </c>
      <c r="AU173" s="14" t="s">
        <v>1120</v>
      </c>
      <c r="AV173" s="7">
        <v>35</v>
      </c>
      <c r="AW173" s="8">
        <v>0.97222222222222232</v>
      </c>
    </row>
    <row r="174" spans="1:49" ht="15.75" customHeight="1" x14ac:dyDescent="0.25">
      <c r="A174" s="5" t="s">
        <v>11</v>
      </c>
      <c r="B174" s="7" t="s">
        <v>465</v>
      </c>
      <c r="C174" s="7" t="s">
        <v>1096</v>
      </c>
      <c r="D174" s="6" t="s">
        <v>1097</v>
      </c>
      <c r="E174" s="5" t="s">
        <v>1171</v>
      </c>
      <c r="F174" s="7">
        <v>1</v>
      </c>
      <c r="G174" s="7">
        <v>1</v>
      </c>
      <c r="H174" s="7">
        <v>1</v>
      </c>
      <c r="I174" s="7">
        <v>0</v>
      </c>
      <c r="J174" s="7">
        <v>1</v>
      </c>
      <c r="K174" s="7">
        <v>1</v>
      </c>
      <c r="L174" s="7">
        <v>1</v>
      </c>
      <c r="M174" s="7">
        <v>1</v>
      </c>
      <c r="N174" s="7">
        <v>0</v>
      </c>
      <c r="O174" s="7">
        <v>1</v>
      </c>
      <c r="P174" s="7">
        <v>0</v>
      </c>
      <c r="Q174" s="7">
        <v>1</v>
      </c>
      <c r="R174" s="7">
        <v>0</v>
      </c>
      <c r="S174" s="7">
        <v>1</v>
      </c>
      <c r="T174" s="7">
        <v>0</v>
      </c>
      <c r="U174" s="7">
        <v>0</v>
      </c>
      <c r="V174" s="7">
        <v>0</v>
      </c>
      <c r="W174" s="7">
        <v>1</v>
      </c>
      <c r="X174" s="7">
        <v>18</v>
      </c>
      <c r="Y174" s="8">
        <v>1</v>
      </c>
      <c r="Z174" s="14" t="s">
        <v>1120</v>
      </c>
      <c r="AA174" s="7">
        <v>0</v>
      </c>
      <c r="AB174" s="7">
        <v>1</v>
      </c>
      <c r="AC174" s="7">
        <v>1</v>
      </c>
      <c r="AD174" s="7">
        <v>0</v>
      </c>
      <c r="AE174" s="7">
        <v>0</v>
      </c>
      <c r="AF174" s="7">
        <v>0</v>
      </c>
      <c r="AG174" s="7">
        <v>1</v>
      </c>
      <c r="AH174" s="7">
        <v>0</v>
      </c>
      <c r="AI174" s="7">
        <v>0</v>
      </c>
      <c r="AJ174" s="7">
        <v>0</v>
      </c>
      <c r="AK174" s="7">
        <v>0</v>
      </c>
      <c r="AL174" s="7">
        <v>1</v>
      </c>
      <c r="AM174" s="7">
        <v>0</v>
      </c>
      <c r="AN174" s="7">
        <v>0</v>
      </c>
      <c r="AO174" s="7">
        <v>1</v>
      </c>
      <c r="AP174" s="7">
        <v>1</v>
      </c>
      <c r="AQ174" s="7">
        <v>1</v>
      </c>
      <c r="AR174" s="7">
        <v>1</v>
      </c>
      <c r="AS174" s="7">
        <v>18</v>
      </c>
      <c r="AT174" s="8">
        <v>1</v>
      </c>
      <c r="AU174" s="14" t="s">
        <v>1120</v>
      </c>
      <c r="AV174" s="7">
        <v>19</v>
      </c>
      <c r="AW174" s="8">
        <v>0.52777777777777779</v>
      </c>
    </row>
    <row r="175" spans="1:49" ht="15.75" customHeight="1" x14ac:dyDescent="0.25">
      <c r="A175" s="5" t="s">
        <v>11</v>
      </c>
      <c r="B175" s="7" t="s">
        <v>465</v>
      </c>
      <c r="C175" s="7" t="s">
        <v>1103</v>
      </c>
      <c r="D175" s="6" t="s">
        <v>1097</v>
      </c>
      <c r="E175" s="5" t="s">
        <v>471</v>
      </c>
      <c r="F175" s="7">
        <v>1</v>
      </c>
      <c r="G175" s="7">
        <v>1</v>
      </c>
      <c r="H175" s="7">
        <v>0</v>
      </c>
      <c r="I175" s="7">
        <v>1</v>
      </c>
      <c r="J175" s="7">
        <v>1</v>
      </c>
      <c r="K175" s="7">
        <v>1</v>
      </c>
      <c r="L175" s="7">
        <v>1</v>
      </c>
      <c r="M175" s="7">
        <v>0</v>
      </c>
      <c r="N175" s="7">
        <v>1</v>
      </c>
      <c r="O175" s="7">
        <v>1</v>
      </c>
      <c r="P175" s="7">
        <v>1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1</v>
      </c>
      <c r="X175" s="7">
        <v>18</v>
      </c>
      <c r="Y175" s="8">
        <v>1</v>
      </c>
      <c r="Z175" s="14" t="s">
        <v>1120</v>
      </c>
      <c r="AA175" s="7">
        <v>1</v>
      </c>
      <c r="AB175" s="7">
        <v>1</v>
      </c>
      <c r="AC175" s="7">
        <v>1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1</v>
      </c>
      <c r="AK175" s="7">
        <v>1</v>
      </c>
      <c r="AL175" s="7">
        <v>0</v>
      </c>
      <c r="AM175" s="7">
        <v>0</v>
      </c>
      <c r="AN175" s="7">
        <v>0</v>
      </c>
      <c r="AO175" s="7">
        <v>0</v>
      </c>
      <c r="AP175" s="7">
        <v>1</v>
      </c>
      <c r="AQ175" s="7">
        <v>1</v>
      </c>
      <c r="AR175" s="7">
        <v>1</v>
      </c>
      <c r="AS175" s="7">
        <v>8</v>
      </c>
      <c r="AT175" s="8">
        <v>0.44444444444444442</v>
      </c>
      <c r="AU175" s="14" t="s">
        <v>1119</v>
      </c>
      <c r="AV175" s="7">
        <v>19</v>
      </c>
      <c r="AW175" s="8">
        <v>0.52777777777777779</v>
      </c>
    </row>
    <row r="176" spans="1:49" ht="15.75" customHeight="1" x14ac:dyDescent="0.25">
      <c r="A176" s="5" t="s">
        <v>11</v>
      </c>
      <c r="B176" s="7" t="s">
        <v>465</v>
      </c>
      <c r="C176" s="7" t="s">
        <v>1103</v>
      </c>
      <c r="D176" s="6" t="s">
        <v>1097</v>
      </c>
      <c r="E176" s="5" t="s">
        <v>472</v>
      </c>
      <c r="F176" s="7">
        <v>1</v>
      </c>
      <c r="G176" s="7">
        <v>1</v>
      </c>
      <c r="H176" s="7">
        <v>0</v>
      </c>
      <c r="I176" s="7">
        <v>1</v>
      </c>
      <c r="J176" s="7">
        <v>0</v>
      </c>
      <c r="K176" s="7">
        <v>1</v>
      </c>
      <c r="L176" s="7">
        <v>0</v>
      </c>
      <c r="M176" s="7">
        <v>1</v>
      </c>
      <c r="N176" s="7">
        <v>0</v>
      </c>
      <c r="O176" s="7">
        <v>1</v>
      </c>
      <c r="P176" s="7">
        <v>1</v>
      </c>
      <c r="Q176" s="7">
        <v>1</v>
      </c>
      <c r="R176" s="7">
        <v>0</v>
      </c>
      <c r="S176" s="7">
        <v>0</v>
      </c>
      <c r="T176" s="7">
        <v>0</v>
      </c>
      <c r="U176" s="7">
        <v>1</v>
      </c>
      <c r="V176" s="7">
        <v>0</v>
      </c>
      <c r="W176" s="7">
        <v>1</v>
      </c>
      <c r="X176" s="7">
        <v>10</v>
      </c>
      <c r="Y176" s="8">
        <v>0.55555555555555558</v>
      </c>
      <c r="Z176" s="14" t="s">
        <v>1119</v>
      </c>
      <c r="AA176" s="7">
        <v>1</v>
      </c>
      <c r="AB176" s="7">
        <v>1</v>
      </c>
      <c r="AC176" s="7">
        <v>1</v>
      </c>
      <c r="AD176" s="7">
        <v>1</v>
      </c>
      <c r="AE176" s="7">
        <v>1</v>
      </c>
      <c r="AF176" s="7">
        <v>0</v>
      </c>
      <c r="AG176" s="7">
        <v>0</v>
      </c>
      <c r="AH176" s="7">
        <v>1</v>
      </c>
      <c r="AI176" s="7">
        <v>0</v>
      </c>
      <c r="AJ176" s="7">
        <v>1</v>
      </c>
      <c r="AK176" s="7">
        <v>1</v>
      </c>
      <c r="AL176" s="7">
        <v>0</v>
      </c>
      <c r="AM176" s="7">
        <v>0</v>
      </c>
      <c r="AN176" s="7">
        <v>0</v>
      </c>
      <c r="AO176" s="7">
        <v>1</v>
      </c>
      <c r="AP176" s="7">
        <v>1</v>
      </c>
      <c r="AQ176" s="7">
        <v>1</v>
      </c>
      <c r="AR176" s="7">
        <v>1</v>
      </c>
      <c r="AS176" s="7">
        <v>12</v>
      </c>
      <c r="AT176" s="8">
        <v>0.66666666666666674</v>
      </c>
      <c r="AU176" s="14" t="s">
        <v>1119</v>
      </c>
      <c r="AV176" s="7">
        <v>22</v>
      </c>
      <c r="AW176" s="8">
        <v>0.61111111111111116</v>
      </c>
    </row>
    <row r="177" spans="1:49" ht="15.75" customHeight="1" x14ac:dyDescent="0.25">
      <c r="A177" s="5" t="s">
        <v>11</v>
      </c>
      <c r="B177" s="7" t="s">
        <v>465</v>
      </c>
      <c r="C177" s="7" t="s">
        <v>1103</v>
      </c>
      <c r="D177" s="6" t="s">
        <v>1097</v>
      </c>
      <c r="E177" s="5" t="s">
        <v>473</v>
      </c>
      <c r="F177" s="7">
        <v>1</v>
      </c>
      <c r="G177" s="7">
        <v>1</v>
      </c>
      <c r="H177" s="7">
        <v>0</v>
      </c>
      <c r="I177" s="7">
        <v>1</v>
      </c>
      <c r="J177" s="7">
        <v>1</v>
      </c>
      <c r="K177" s="7">
        <v>1</v>
      </c>
      <c r="L177" s="7">
        <v>1</v>
      </c>
      <c r="M177" s="7">
        <v>1</v>
      </c>
      <c r="N177" s="7">
        <v>1</v>
      </c>
      <c r="O177" s="7">
        <v>1</v>
      </c>
      <c r="P177" s="7">
        <v>1</v>
      </c>
      <c r="Q177" s="7">
        <v>1</v>
      </c>
      <c r="R177" s="7">
        <v>1</v>
      </c>
      <c r="S177" s="7">
        <v>1</v>
      </c>
      <c r="T177" s="7">
        <v>1</v>
      </c>
      <c r="U177" s="7">
        <v>1</v>
      </c>
      <c r="V177" s="7">
        <v>1</v>
      </c>
      <c r="W177" s="7">
        <v>1</v>
      </c>
      <c r="X177" s="7">
        <v>18</v>
      </c>
      <c r="Y177" s="8">
        <v>1</v>
      </c>
      <c r="Z177" s="14" t="s">
        <v>1120</v>
      </c>
      <c r="AA177" s="7">
        <v>0</v>
      </c>
      <c r="AB177" s="7">
        <v>1</v>
      </c>
      <c r="AC177" s="7">
        <v>1</v>
      </c>
      <c r="AD177" s="7">
        <v>1</v>
      </c>
      <c r="AE177" s="7">
        <v>1</v>
      </c>
      <c r="AF177" s="7">
        <v>0</v>
      </c>
      <c r="AG177" s="7">
        <v>1</v>
      </c>
      <c r="AH177" s="7">
        <v>1</v>
      </c>
      <c r="AI177" s="7">
        <v>0</v>
      </c>
      <c r="AJ177" s="7">
        <v>1</v>
      </c>
      <c r="AK177" s="7">
        <v>1</v>
      </c>
      <c r="AL177" s="7">
        <v>0</v>
      </c>
      <c r="AM177" s="7">
        <v>1</v>
      </c>
      <c r="AN177" s="7">
        <v>1</v>
      </c>
      <c r="AO177" s="7">
        <v>1</v>
      </c>
      <c r="AP177" s="7">
        <v>1</v>
      </c>
      <c r="AQ177" s="7">
        <v>1</v>
      </c>
      <c r="AR177" s="7">
        <v>1</v>
      </c>
      <c r="AS177" s="7">
        <v>14</v>
      </c>
      <c r="AT177" s="8">
        <v>0.77777777777777768</v>
      </c>
      <c r="AU177" s="14" t="s">
        <v>1120</v>
      </c>
      <c r="AV177" s="7">
        <v>31</v>
      </c>
      <c r="AW177" s="8">
        <v>0.86111111111111116</v>
      </c>
    </row>
    <row r="178" spans="1:49" ht="15.75" customHeight="1" x14ac:dyDescent="0.25">
      <c r="A178" s="5" t="s">
        <v>11</v>
      </c>
      <c r="B178" s="7" t="s">
        <v>465</v>
      </c>
      <c r="C178" s="7" t="s">
        <v>1117</v>
      </c>
      <c r="D178" s="6" t="s">
        <v>1097</v>
      </c>
      <c r="E178" s="5" t="s">
        <v>474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7">
        <v>1</v>
      </c>
      <c r="L178" s="7">
        <v>1</v>
      </c>
      <c r="M178" s="7">
        <v>0</v>
      </c>
      <c r="N178" s="7">
        <v>1</v>
      </c>
      <c r="O178" s="7">
        <v>1</v>
      </c>
      <c r="P178" s="7">
        <v>1</v>
      </c>
      <c r="Q178" s="7">
        <v>1</v>
      </c>
      <c r="R178" s="7">
        <v>0</v>
      </c>
      <c r="S178" s="7">
        <v>1</v>
      </c>
      <c r="T178" s="7">
        <v>0</v>
      </c>
      <c r="U178" s="7">
        <v>1</v>
      </c>
      <c r="V178" s="7">
        <v>1</v>
      </c>
      <c r="W178" s="7">
        <v>1</v>
      </c>
      <c r="X178" s="7">
        <v>13</v>
      </c>
      <c r="Y178" s="8">
        <v>0.72222222222222232</v>
      </c>
      <c r="Z178" s="14" t="s">
        <v>1120</v>
      </c>
      <c r="AA178" s="7">
        <v>1</v>
      </c>
      <c r="AB178" s="7">
        <v>1</v>
      </c>
      <c r="AC178" s="7">
        <v>1</v>
      </c>
      <c r="AD178" s="7">
        <v>0</v>
      </c>
      <c r="AE178" s="7">
        <v>0</v>
      </c>
      <c r="AF178" s="7">
        <v>1</v>
      </c>
      <c r="AG178" s="7">
        <v>1</v>
      </c>
      <c r="AH178" s="7">
        <v>0</v>
      </c>
      <c r="AI178" s="7">
        <v>1</v>
      </c>
      <c r="AJ178" s="7">
        <v>1</v>
      </c>
      <c r="AK178" s="7">
        <v>1</v>
      </c>
      <c r="AL178" s="7">
        <v>1</v>
      </c>
      <c r="AM178" s="7">
        <v>0</v>
      </c>
      <c r="AN178" s="7">
        <v>0</v>
      </c>
      <c r="AO178" s="7">
        <v>1</v>
      </c>
      <c r="AP178" s="7">
        <v>1</v>
      </c>
      <c r="AQ178" s="7">
        <v>1</v>
      </c>
      <c r="AR178" s="7">
        <v>1</v>
      </c>
      <c r="AS178" s="7">
        <v>13</v>
      </c>
      <c r="AT178" s="8">
        <v>0.72222222222222232</v>
      </c>
      <c r="AU178" s="14" t="s">
        <v>1120</v>
      </c>
      <c r="AV178" s="7">
        <v>26</v>
      </c>
      <c r="AW178" s="8">
        <v>0.72222222222222232</v>
      </c>
    </row>
    <row r="179" spans="1:49" ht="15.75" customHeight="1" x14ac:dyDescent="0.25">
      <c r="A179" s="5" t="s">
        <v>11</v>
      </c>
      <c r="B179" s="7" t="s">
        <v>465</v>
      </c>
      <c r="C179" s="7" t="s">
        <v>1103</v>
      </c>
      <c r="D179" s="6" t="s">
        <v>1097</v>
      </c>
      <c r="E179" s="5" t="s">
        <v>475</v>
      </c>
      <c r="F179" s="7">
        <v>0</v>
      </c>
      <c r="G179" s="7">
        <v>1</v>
      </c>
      <c r="H179" s="7">
        <v>1</v>
      </c>
      <c r="I179" s="7">
        <v>1</v>
      </c>
      <c r="J179" s="7">
        <v>1</v>
      </c>
      <c r="K179" s="7">
        <v>1</v>
      </c>
      <c r="L179" s="7">
        <v>1</v>
      </c>
      <c r="M179" s="7">
        <v>0</v>
      </c>
      <c r="N179" s="7">
        <v>0</v>
      </c>
      <c r="O179" s="7">
        <v>1</v>
      </c>
      <c r="P179" s="7">
        <v>1</v>
      </c>
      <c r="Q179" s="7">
        <v>1</v>
      </c>
      <c r="R179" s="7">
        <v>1</v>
      </c>
      <c r="S179" s="7">
        <v>0</v>
      </c>
      <c r="T179" s="7">
        <v>1</v>
      </c>
      <c r="U179" s="7">
        <v>1</v>
      </c>
      <c r="V179" s="7">
        <v>1</v>
      </c>
      <c r="W179" s="7">
        <v>1</v>
      </c>
      <c r="X179" s="7">
        <v>18</v>
      </c>
      <c r="Y179" s="8">
        <v>1</v>
      </c>
      <c r="Z179" s="14" t="s">
        <v>1120</v>
      </c>
      <c r="AA179" s="7">
        <v>1</v>
      </c>
      <c r="AB179" s="7">
        <v>0</v>
      </c>
      <c r="AC179" s="7">
        <v>0</v>
      </c>
      <c r="AD179" s="7">
        <v>1</v>
      </c>
      <c r="AE179" s="7">
        <v>0</v>
      </c>
      <c r="AF179" s="7">
        <v>1</v>
      </c>
      <c r="AG179" s="7">
        <v>1</v>
      </c>
      <c r="AH179" s="7">
        <v>1</v>
      </c>
      <c r="AI179" s="7">
        <v>1</v>
      </c>
      <c r="AJ179" s="7">
        <v>1</v>
      </c>
      <c r="AK179" s="7">
        <v>1</v>
      </c>
      <c r="AL179" s="7">
        <v>0</v>
      </c>
      <c r="AM179" s="7">
        <v>1</v>
      </c>
      <c r="AN179" s="7">
        <v>0</v>
      </c>
      <c r="AO179" s="7">
        <v>1</v>
      </c>
      <c r="AP179" s="7">
        <v>1</v>
      </c>
      <c r="AQ179" s="7">
        <v>1</v>
      </c>
      <c r="AR179" s="7">
        <v>1</v>
      </c>
      <c r="AS179" s="7">
        <v>13</v>
      </c>
      <c r="AT179" s="8">
        <v>0.72222222222222232</v>
      </c>
      <c r="AU179" s="14" t="s">
        <v>1120</v>
      </c>
      <c r="AV179" s="7">
        <v>27</v>
      </c>
      <c r="AW179" s="8">
        <v>0.75</v>
      </c>
    </row>
    <row r="180" spans="1:49" ht="15.75" customHeight="1" x14ac:dyDescent="0.25">
      <c r="A180" s="5" t="s">
        <v>11</v>
      </c>
      <c r="B180" s="7" t="s">
        <v>465</v>
      </c>
      <c r="C180" s="7" t="s">
        <v>1103</v>
      </c>
      <c r="D180" s="6" t="s">
        <v>1097</v>
      </c>
      <c r="E180" s="5" t="s">
        <v>476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  <c r="M180" s="7">
        <v>1</v>
      </c>
      <c r="N180" s="7">
        <v>0</v>
      </c>
      <c r="O180" s="7">
        <v>1</v>
      </c>
      <c r="P180" s="7">
        <v>1</v>
      </c>
      <c r="Q180" s="7">
        <v>1</v>
      </c>
      <c r="R180" s="7">
        <v>1</v>
      </c>
      <c r="S180" s="7">
        <v>1</v>
      </c>
      <c r="T180" s="7">
        <v>1</v>
      </c>
      <c r="U180" s="7">
        <v>1</v>
      </c>
      <c r="V180" s="7">
        <v>0</v>
      </c>
      <c r="W180" s="7">
        <v>1</v>
      </c>
      <c r="X180" s="7">
        <v>16</v>
      </c>
      <c r="Y180" s="8">
        <v>0.88888888888888884</v>
      </c>
      <c r="Z180" s="14" t="s">
        <v>1120</v>
      </c>
      <c r="AA180" s="7">
        <v>0</v>
      </c>
      <c r="AB180" s="7">
        <v>1</v>
      </c>
      <c r="AC180" s="7">
        <v>1</v>
      </c>
      <c r="AD180" s="7">
        <v>1</v>
      </c>
      <c r="AE180" s="7">
        <v>0</v>
      </c>
      <c r="AF180" s="7">
        <v>0</v>
      </c>
      <c r="AG180" s="7">
        <v>0</v>
      </c>
      <c r="AH180" s="7">
        <v>0</v>
      </c>
      <c r="AI180" s="7">
        <v>1</v>
      </c>
      <c r="AJ180" s="7">
        <v>1</v>
      </c>
      <c r="AK180" s="7">
        <v>0</v>
      </c>
      <c r="AL180" s="7">
        <v>0</v>
      </c>
      <c r="AM180" s="7">
        <v>0</v>
      </c>
      <c r="AN180" s="7">
        <v>1</v>
      </c>
      <c r="AO180" s="7">
        <v>1</v>
      </c>
      <c r="AP180" s="7">
        <v>1</v>
      </c>
      <c r="AQ180" s="7">
        <v>1</v>
      </c>
      <c r="AR180" s="7">
        <v>1</v>
      </c>
      <c r="AS180" s="7">
        <v>10</v>
      </c>
      <c r="AT180" s="8">
        <v>0.55555555555555558</v>
      </c>
      <c r="AU180" s="14" t="s">
        <v>1119</v>
      </c>
      <c r="AV180" s="7">
        <v>26</v>
      </c>
      <c r="AW180" s="8">
        <v>0.72222222222222232</v>
      </c>
    </row>
    <row r="181" spans="1:49" ht="15.75" customHeight="1" x14ac:dyDescent="0.25">
      <c r="A181" s="5" t="s">
        <v>11</v>
      </c>
      <c r="B181" s="7" t="s">
        <v>465</v>
      </c>
      <c r="C181" s="7" t="s">
        <v>1117</v>
      </c>
      <c r="D181" s="6" t="s">
        <v>1097</v>
      </c>
      <c r="E181" s="5" t="s">
        <v>477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0</v>
      </c>
      <c r="M181" s="7">
        <v>1</v>
      </c>
      <c r="N181" s="7">
        <v>1</v>
      </c>
      <c r="O181" s="7">
        <v>0</v>
      </c>
      <c r="P181" s="7">
        <v>1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1</v>
      </c>
      <c r="W181" s="7">
        <v>1</v>
      </c>
      <c r="X181" s="7">
        <v>12</v>
      </c>
      <c r="Y181" s="8">
        <v>0.66666666666666674</v>
      </c>
      <c r="Z181" s="14" t="s">
        <v>1119</v>
      </c>
      <c r="AA181" s="7">
        <v>1</v>
      </c>
      <c r="AB181" s="7">
        <v>1</v>
      </c>
      <c r="AC181" s="7">
        <v>0</v>
      </c>
      <c r="AD181" s="7">
        <v>1</v>
      </c>
      <c r="AE181" s="7">
        <v>0</v>
      </c>
      <c r="AF181" s="7">
        <v>1</v>
      </c>
      <c r="AG181" s="7">
        <v>1</v>
      </c>
      <c r="AH181" s="7">
        <v>1</v>
      </c>
      <c r="AI181" s="7">
        <v>0</v>
      </c>
      <c r="AJ181" s="7">
        <v>1</v>
      </c>
      <c r="AK181" s="7">
        <v>1</v>
      </c>
      <c r="AL181" s="7">
        <v>1</v>
      </c>
      <c r="AM181" s="7">
        <v>0</v>
      </c>
      <c r="AN181" s="7">
        <v>1</v>
      </c>
      <c r="AO181" s="7">
        <v>1</v>
      </c>
      <c r="AP181" s="7">
        <v>0</v>
      </c>
      <c r="AQ181" s="7">
        <v>1</v>
      </c>
      <c r="AR181" s="7">
        <v>1</v>
      </c>
      <c r="AS181" s="7">
        <v>13</v>
      </c>
      <c r="AT181" s="8">
        <v>0.72222222222222232</v>
      </c>
      <c r="AU181" s="14" t="s">
        <v>1120</v>
      </c>
      <c r="AV181" s="7">
        <v>25</v>
      </c>
      <c r="AW181" s="8">
        <v>0.69444444444444442</v>
      </c>
    </row>
    <row r="182" spans="1:49" ht="15.75" customHeight="1" x14ac:dyDescent="0.25">
      <c r="A182" s="5" t="s">
        <v>11</v>
      </c>
      <c r="B182" s="7" t="s">
        <v>465</v>
      </c>
      <c r="C182" s="7" t="s">
        <v>1096</v>
      </c>
      <c r="D182" s="6" t="s">
        <v>1097</v>
      </c>
      <c r="E182" s="5" t="s">
        <v>478</v>
      </c>
      <c r="F182" s="7">
        <v>1</v>
      </c>
      <c r="G182" s="7">
        <v>1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0</v>
      </c>
      <c r="N182" s="7">
        <v>1</v>
      </c>
      <c r="O182" s="7">
        <v>1</v>
      </c>
      <c r="P182" s="7">
        <v>0</v>
      </c>
      <c r="Q182" s="7">
        <v>1</v>
      </c>
      <c r="R182" s="7">
        <v>1</v>
      </c>
      <c r="S182" s="7">
        <v>0</v>
      </c>
      <c r="T182" s="7">
        <v>1</v>
      </c>
      <c r="U182" s="7">
        <v>0</v>
      </c>
      <c r="V182" s="7">
        <v>1</v>
      </c>
      <c r="W182" s="7">
        <v>1</v>
      </c>
      <c r="X182" s="7">
        <v>14</v>
      </c>
      <c r="Y182" s="8">
        <v>0.77777777777777768</v>
      </c>
      <c r="Z182" s="14" t="s">
        <v>1120</v>
      </c>
      <c r="AA182" s="7">
        <v>0</v>
      </c>
      <c r="AB182" s="7">
        <v>1</v>
      </c>
      <c r="AC182" s="7">
        <v>1</v>
      </c>
      <c r="AD182" s="7">
        <v>1</v>
      </c>
      <c r="AE182" s="7">
        <v>1</v>
      </c>
      <c r="AF182" s="7">
        <v>1</v>
      </c>
      <c r="AG182" s="7">
        <v>1</v>
      </c>
      <c r="AH182" s="7">
        <v>1</v>
      </c>
      <c r="AI182" s="7">
        <v>1</v>
      </c>
      <c r="AJ182" s="7">
        <v>1</v>
      </c>
      <c r="AK182" s="7">
        <v>1</v>
      </c>
      <c r="AL182" s="7">
        <v>0</v>
      </c>
      <c r="AM182" s="7">
        <v>0</v>
      </c>
      <c r="AN182" s="7">
        <v>0</v>
      </c>
      <c r="AO182" s="7">
        <v>1</v>
      </c>
      <c r="AP182" s="7">
        <v>1</v>
      </c>
      <c r="AQ182" s="7">
        <v>1</v>
      </c>
      <c r="AR182" s="7">
        <v>1</v>
      </c>
      <c r="AS182" s="7">
        <v>14</v>
      </c>
      <c r="AT182" s="8">
        <v>0.77777777777777768</v>
      </c>
      <c r="AU182" s="14" t="s">
        <v>1120</v>
      </c>
      <c r="AV182" s="7">
        <v>28</v>
      </c>
      <c r="AW182" s="8">
        <v>0.77777777777777768</v>
      </c>
    </row>
    <row r="183" spans="1:49" ht="15.75" customHeight="1" x14ac:dyDescent="0.25">
      <c r="A183" s="5" t="s">
        <v>11</v>
      </c>
      <c r="B183" s="7" t="s">
        <v>465</v>
      </c>
      <c r="C183" s="7" t="s">
        <v>1104</v>
      </c>
      <c r="D183" s="6" t="s">
        <v>1097</v>
      </c>
      <c r="E183" s="5" t="s">
        <v>1172</v>
      </c>
      <c r="F183" s="7">
        <v>1</v>
      </c>
      <c r="G183" s="7">
        <v>1</v>
      </c>
      <c r="H183" s="7">
        <v>0</v>
      </c>
      <c r="I183" s="7">
        <v>1</v>
      </c>
      <c r="J183" s="7">
        <v>1</v>
      </c>
      <c r="K183" s="7">
        <v>1</v>
      </c>
      <c r="L183" s="7">
        <v>1</v>
      </c>
      <c r="M183" s="7">
        <v>1</v>
      </c>
      <c r="N183" s="7">
        <v>1</v>
      </c>
      <c r="O183" s="7">
        <v>1</v>
      </c>
      <c r="P183" s="7">
        <v>1</v>
      </c>
      <c r="Q183" s="7">
        <v>0</v>
      </c>
      <c r="R183" s="7">
        <v>1</v>
      </c>
      <c r="S183" s="7">
        <v>1</v>
      </c>
      <c r="T183" s="7">
        <v>1</v>
      </c>
      <c r="U183" s="7">
        <v>1</v>
      </c>
      <c r="V183" s="7">
        <v>1</v>
      </c>
      <c r="W183" s="7">
        <v>1</v>
      </c>
      <c r="X183" s="7">
        <v>16</v>
      </c>
      <c r="Y183" s="8">
        <v>0.88888888888888884</v>
      </c>
      <c r="Z183" s="14" t="s">
        <v>1120</v>
      </c>
      <c r="AA183" s="7">
        <v>1</v>
      </c>
      <c r="AB183" s="7">
        <v>1</v>
      </c>
      <c r="AC183" s="7">
        <v>1</v>
      </c>
      <c r="AD183" s="7">
        <v>1</v>
      </c>
      <c r="AE183" s="7">
        <v>1</v>
      </c>
      <c r="AF183" s="7">
        <v>1</v>
      </c>
      <c r="AG183" s="7">
        <v>1</v>
      </c>
      <c r="AH183" s="7">
        <v>1</v>
      </c>
      <c r="AI183" s="7">
        <v>0</v>
      </c>
      <c r="AJ183" s="7">
        <v>1</v>
      </c>
      <c r="AK183" s="7">
        <v>1</v>
      </c>
      <c r="AL183" s="7">
        <v>1</v>
      </c>
      <c r="AM183" s="7">
        <v>0</v>
      </c>
      <c r="AN183" s="7">
        <v>0</v>
      </c>
      <c r="AO183" s="7">
        <v>1</v>
      </c>
      <c r="AP183" s="7">
        <v>1</v>
      </c>
      <c r="AQ183" s="7">
        <v>1</v>
      </c>
      <c r="AR183" s="7">
        <v>1</v>
      </c>
      <c r="AS183" s="7">
        <v>15</v>
      </c>
      <c r="AT183" s="8">
        <v>0.83333333333333326</v>
      </c>
      <c r="AU183" s="14" t="s">
        <v>1120</v>
      </c>
      <c r="AV183" s="7">
        <v>31</v>
      </c>
      <c r="AW183" s="8">
        <v>0.86111111111111116</v>
      </c>
    </row>
    <row r="184" spans="1:49" ht="15.75" customHeight="1" x14ac:dyDescent="0.25">
      <c r="A184" s="5" t="s">
        <v>11</v>
      </c>
      <c r="B184" s="7" t="s">
        <v>465</v>
      </c>
      <c r="C184" s="7" t="s">
        <v>1103</v>
      </c>
      <c r="D184" s="6" t="s">
        <v>1097</v>
      </c>
      <c r="E184" s="5" t="s">
        <v>479</v>
      </c>
      <c r="F184" s="7">
        <v>0</v>
      </c>
      <c r="G184" s="7">
        <v>1</v>
      </c>
      <c r="H184" s="7">
        <v>0</v>
      </c>
      <c r="I184" s="7">
        <v>1</v>
      </c>
      <c r="J184" s="7">
        <v>1</v>
      </c>
      <c r="K184" s="7">
        <v>1</v>
      </c>
      <c r="L184" s="7">
        <v>1</v>
      </c>
      <c r="M184" s="7">
        <v>0</v>
      </c>
      <c r="N184" s="7">
        <v>0</v>
      </c>
      <c r="O184" s="7">
        <v>1</v>
      </c>
      <c r="P184" s="7">
        <v>1</v>
      </c>
      <c r="Q184" s="7">
        <v>1</v>
      </c>
      <c r="R184" s="7">
        <v>1</v>
      </c>
      <c r="S184" s="7">
        <v>0</v>
      </c>
      <c r="T184" s="7">
        <v>1</v>
      </c>
      <c r="U184" s="7">
        <v>1</v>
      </c>
      <c r="V184" s="7">
        <v>0</v>
      </c>
      <c r="W184" s="7">
        <v>1</v>
      </c>
      <c r="X184" s="7">
        <v>12</v>
      </c>
      <c r="Y184" s="8">
        <v>0.66666666666666674</v>
      </c>
      <c r="Z184" s="14" t="s">
        <v>1119</v>
      </c>
      <c r="AA184" s="7">
        <v>0</v>
      </c>
      <c r="AB184" s="7">
        <v>1</v>
      </c>
      <c r="AC184" s="7">
        <v>1</v>
      </c>
      <c r="AD184" s="7">
        <v>0</v>
      </c>
      <c r="AE184" s="7">
        <v>0</v>
      </c>
      <c r="AF184" s="7">
        <v>1</v>
      </c>
      <c r="AG184" s="7">
        <v>0</v>
      </c>
      <c r="AH184" s="7">
        <v>0</v>
      </c>
      <c r="AI184" s="7">
        <v>0</v>
      </c>
      <c r="AJ184" s="7">
        <v>1</v>
      </c>
      <c r="AK184" s="7">
        <v>0</v>
      </c>
      <c r="AL184" s="7">
        <v>0</v>
      </c>
      <c r="AM184" s="7">
        <v>0</v>
      </c>
      <c r="AN184" s="7">
        <v>0</v>
      </c>
      <c r="AO184" s="7">
        <v>1</v>
      </c>
      <c r="AP184" s="7">
        <v>0</v>
      </c>
      <c r="AQ184" s="7">
        <v>1</v>
      </c>
      <c r="AR184" s="7">
        <v>1</v>
      </c>
      <c r="AS184" s="7">
        <v>7</v>
      </c>
      <c r="AT184" s="8">
        <v>0.38888888888888884</v>
      </c>
      <c r="AU184" s="14" t="s">
        <v>1102</v>
      </c>
      <c r="AV184" s="7">
        <v>19</v>
      </c>
      <c r="AW184" s="8">
        <v>0.52777777777777779</v>
      </c>
    </row>
    <row r="185" spans="1:49" ht="15.75" customHeight="1" x14ac:dyDescent="0.25">
      <c r="A185" s="5" t="s">
        <v>11</v>
      </c>
      <c r="B185" s="7" t="s">
        <v>465</v>
      </c>
      <c r="C185" s="7" t="s">
        <v>1103</v>
      </c>
      <c r="D185" s="6" t="s">
        <v>1097</v>
      </c>
      <c r="E185" s="5" t="s">
        <v>480</v>
      </c>
      <c r="F185" s="7">
        <v>1</v>
      </c>
      <c r="G185" s="7">
        <v>1</v>
      </c>
      <c r="H185" s="7">
        <v>1</v>
      </c>
      <c r="I185" s="7">
        <v>1</v>
      </c>
      <c r="J185" s="7">
        <v>1</v>
      </c>
      <c r="K185" s="7">
        <v>1</v>
      </c>
      <c r="L185" s="7">
        <v>1</v>
      </c>
      <c r="M185" s="7">
        <v>1</v>
      </c>
      <c r="N185" s="7">
        <v>1</v>
      </c>
      <c r="O185" s="7">
        <v>1</v>
      </c>
      <c r="P185" s="7">
        <v>1</v>
      </c>
      <c r="Q185" s="7">
        <v>1</v>
      </c>
      <c r="R185" s="7">
        <v>1</v>
      </c>
      <c r="S185" s="7">
        <v>1</v>
      </c>
      <c r="T185" s="7">
        <v>1</v>
      </c>
      <c r="U185" s="7">
        <v>1</v>
      </c>
      <c r="V185" s="7">
        <v>1</v>
      </c>
      <c r="W185" s="7">
        <v>0</v>
      </c>
      <c r="X185" s="7">
        <v>18</v>
      </c>
      <c r="Y185" s="8">
        <v>1</v>
      </c>
      <c r="Z185" s="14" t="s">
        <v>1120</v>
      </c>
      <c r="AA185" s="7">
        <v>0</v>
      </c>
      <c r="AB185" s="7">
        <v>1</v>
      </c>
      <c r="AC185" s="7">
        <v>0</v>
      </c>
      <c r="AD185" s="7">
        <v>1</v>
      </c>
      <c r="AE185" s="7">
        <v>0</v>
      </c>
      <c r="AF185" s="7">
        <v>1</v>
      </c>
      <c r="AG185" s="7">
        <v>1</v>
      </c>
      <c r="AH185" s="7">
        <v>1</v>
      </c>
      <c r="AI185" s="7">
        <v>1</v>
      </c>
      <c r="AJ185" s="7">
        <v>1</v>
      </c>
      <c r="AK185" s="7">
        <v>1</v>
      </c>
      <c r="AL185" s="7">
        <v>1</v>
      </c>
      <c r="AM185" s="7">
        <v>0</v>
      </c>
      <c r="AN185" s="7">
        <v>0</v>
      </c>
      <c r="AO185" s="7">
        <v>1</v>
      </c>
      <c r="AP185" s="7">
        <v>1</v>
      </c>
      <c r="AQ185" s="7">
        <v>1</v>
      </c>
      <c r="AR185" s="7">
        <v>1</v>
      </c>
      <c r="AS185" s="7">
        <v>13</v>
      </c>
      <c r="AT185" s="8">
        <v>0.72222222222222232</v>
      </c>
      <c r="AU185" s="14" t="s">
        <v>1120</v>
      </c>
      <c r="AV185" s="7">
        <v>30</v>
      </c>
      <c r="AW185" s="8">
        <v>0.83333333333333326</v>
      </c>
    </row>
    <row r="186" spans="1:49" ht="15.75" customHeight="1" x14ac:dyDescent="0.25">
      <c r="A186" s="5" t="s">
        <v>11</v>
      </c>
      <c r="B186" s="7" t="s">
        <v>465</v>
      </c>
      <c r="C186" s="7" t="s">
        <v>1096</v>
      </c>
      <c r="D186" s="6" t="s">
        <v>1097</v>
      </c>
      <c r="E186" s="5" t="s">
        <v>481</v>
      </c>
      <c r="F186" s="7">
        <v>1</v>
      </c>
      <c r="G186" s="7">
        <v>1</v>
      </c>
      <c r="H186" s="7">
        <v>1</v>
      </c>
      <c r="I186" s="7">
        <v>1</v>
      </c>
      <c r="J186" s="7">
        <v>1</v>
      </c>
      <c r="K186" s="7">
        <v>1</v>
      </c>
      <c r="L186" s="7">
        <v>1</v>
      </c>
      <c r="M186" s="7">
        <v>1</v>
      </c>
      <c r="N186" s="7">
        <v>0</v>
      </c>
      <c r="O186" s="7">
        <v>1</v>
      </c>
      <c r="P186" s="7">
        <v>1</v>
      </c>
      <c r="Q186" s="7">
        <v>1</v>
      </c>
      <c r="R186" s="7">
        <v>0</v>
      </c>
      <c r="S186" s="7">
        <v>1</v>
      </c>
      <c r="T186" s="7">
        <v>1</v>
      </c>
      <c r="U186" s="7">
        <v>1</v>
      </c>
      <c r="V186" s="7">
        <v>1</v>
      </c>
      <c r="W186" s="7">
        <v>1</v>
      </c>
      <c r="X186" s="7">
        <v>16</v>
      </c>
      <c r="Y186" s="8">
        <v>0.88888888888888884</v>
      </c>
      <c r="Z186" s="14" t="s">
        <v>1120</v>
      </c>
      <c r="AA186" s="7">
        <v>1</v>
      </c>
      <c r="AB186" s="7">
        <v>1</v>
      </c>
      <c r="AC186" s="7">
        <v>1</v>
      </c>
      <c r="AD186" s="7">
        <v>1</v>
      </c>
      <c r="AE186" s="7">
        <v>0</v>
      </c>
      <c r="AF186" s="7">
        <v>0</v>
      </c>
      <c r="AG186" s="7">
        <v>1</v>
      </c>
      <c r="AH186" s="7">
        <v>1</v>
      </c>
      <c r="AI186" s="7">
        <v>1</v>
      </c>
      <c r="AJ186" s="7">
        <v>1</v>
      </c>
      <c r="AK186" s="7">
        <v>1</v>
      </c>
      <c r="AL186" s="7">
        <v>1</v>
      </c>
      <c r="AM186" s="7">
        <v>0</v>
      </c>
      <c r="AN186" s="7">
        <v>0</v>
      </c>
      <c r="AO186" s="7">
        <v>1</v>
      </c>
      <c r="AP186" s="7">
        <v>1</v>
      </c>
      <c r="AQ186" s="7">
        <v>1</v>
      </c>
      <c r="AR186" s="7">
        <v>1</v>
      </c>
      <c r="AS186" s="7">
        <v>14</v>
      </c>
      <c r="AT186" s="8">
        <v>0.77777777777777768</v>
      </c>
      <c r="AU186" s="14" t="s">
        <v>1120</v>
      </c>
      <c r="AV186" s="7">
        <v>30</v>
      </c>
      <c r="AW186" s="8">
        <v>0.83333333333333326</v>
      </c>
    </row>
    <row r="187" spans="1:49" ht="15.75" customHeight="1" x14ac:dyDescent="0.25">
      <c r="A187" s="5" t="s">
        <v>11</v>
      </c>
      <c r="B187" s="7" t="s">
        <v>465</v>
      </c>
      <c r="C187" s="7" t="s">
        <v>1103</v>
      </c>
      <c r="D187" s="6" t="s">
        <v>1097</v>
      </c>
      <c r="E187" s="5" t="s">
        <v>482</v>
      </c>
      <c r="F187" s="7">
        <v>1</v>
      </c>
      <c r="G187" s="7">
        <v>1</v>
      </c>
      <c r="H187" s="7">
        <v>0</v>
      </c>
      <c r="I187" s="7">
        <v>1</v>
      </c>
      <c r="J187" s="7">
        <v>1</v>
      </c>
      <c r="K187" s="7">
        <v>1</v>
      </c>
      <c r="L187" s="7">
        <v>0</v>
      </c>
      <c r="M187" s="7">
        <v>0</v>
      </c>
      <c r="N187" s="7">
        <v>0</v>
      </c>
      <c r="O187" s="7">
        <v>1</v>
      </c>
      <c r="P187" s="7">
        <v>1</v>
      </c>
      <c r="Q187" s="7">
        <v>1</v>
      </c>
      <c r="R187" s="7">
        <v>0</v>
      </c>
      <c r="S187" s="7">
        <v>1</v>
      </c>
      <c r="T187" s="7">
        <v>0</v>
      </c>
      <c r="U187" s="7">
        <v>0</v>
      </c>
      <c r="V187" s="7">
        <v>0</v>
      </c>
      <c r="W187" s="7">
        <v>0</v>
      </c>
      <c r="X187" s="7">
        <v>9</v>
      </c>
      <c r="Y187" s="8">
        <v>0.5</v>
      </c>
      <c r="Z187" s="14" t="s">
        <v>1119</v>
      </c>
      <c r="AA187" s="7">
        <v>1</v>
      </c>
      <c r="AB187" s="7">
        <v>1</v>
      </c>
      <c r="AC187" s="7">
        <v>0</v>
      </c>
      <c r="AD187" s="7">
        <v>1</v>
      </c>
      <c r="AE187" s="7">
        <v>1</v>
      </c>
      <c r="AF187" s="7">
        <v>0</v>
      </c>
      <c r="AG187" s="7">
        <v>0</v>
      </c>
      <c r="AH187" s="7">
        <v>0</v>
      </c>
      <c r="AI187" s="7">
        <v>1</v>
      </c>
      <c r="AJ187" s="7">
        <v>1</v>
      </c>
      <c r="AK187" s="7">
        <v>1</v>
      </c>
      <c r="AL187" s="7">
        <v>1</v>
      </c>
      <c r="AM187" s="7">
        <v>0</v>
      </c>
      <c r="AN187" s="7">
        <v>0</v>
      </c>
      <c r="AO187" s="7">
        <v>0</v>
      </c>
      <c r="AP187" s="7">
        <v>1</v>
      </c>
      <c r="AQ187" s="7">
        <v>1</v>
      </c>
      <c r="AR187" s="7">
        <v>1</v>
      </c>
      <c r="AS187" s="7">
        <v>11</v>
      </c>
      <c r="AT187" s="8">
        <v>0.61111111111111116</v>
      </c>
      <c r="AU187" s="14" t="s">
        <v>1119</v>
      </c>
      <c r="AV187" s="7">
        <v>20</v>
      </c>
      <c r="AW187" s="8">
        <v>0.55555555555555558</v>
      </c>
    </row>
    <row r="188" spans="1:49" ht="15.75" customHeight="1" x14ac:dyDescent="0.25">
      <c r="A188" s="5" t="s">
        <v>11</v>
      </c>
      <c r="B188" s="7" t="s">
        <v>465</v>
      </c>
      <c r="C188" s="7" t="s">
        <v>1103</v>
      </c>
      <c r="D188" s="6" t="s">
        <v>1097</v>
      </c>
      <c r="E188" s="5" t="s">
        <v>483</v>
      </c>
      <c r="F188" s="7">
        <v>1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0</v>
      </c>
      <c r="M188" s="7">
        <v>1</v>
      </c>
      <c r="N188" s="7">
        <v>0</v>
      </c>
      <c r="O188" s="7">
        <v>1</v>
      </c>
      <c r="P188" s="7">
        <v>1</v>
      </c>
      <c r="Q188" s="7">
        <v>1</v>
      </c>
      <c r="R188" s="7">
        <v>1</v>
      </c>
      <c r="S188" s="7">
        <v>1</v>
      </c>
      <c r="T188" s="7">
        <v>1</v>
      </c>
      <c r="U188" s="7">
        <v>1</v>
      </c>
      <c r="V188" s="7">
        <v>1</v>
      </c>
      <c r="W188" s="7">
        <v>0</v>
      </c>
      <c r="X188" s="7">
        <v>15</v>
      </c>
      <c r="Y188" s="8">
        <v>0.83333333333333326</v>
      </c>
      <c r="Z188" s="14" t="s">
        <v>1120</v>
      </c>
      <c r="AA188" s="7">
        <v>1</v>
      </c>
      <c r="AB188" s="7">
        <v>1</v>
      </c>
      <c r="AC188" s="7">
        <v>1</v>
      </c>
      <c r="AD188" s="7">
        <v>1</v>
      </c>
      <c r="AE188" s="7">
        <v>0</v>
      </c>
      <c r="AF188" s="7">
        <v>1</v>
      </c>
      <c r="AG188" s="7">
        <v>0</v>
      </c>
      <c r="AH188" s="7">
        <v>1</v>
      </c>
      <c r="AI188" s="7">
        <v>0</v>
      </c>
      <c r="AJ188" s="7">
        <v>1</v>
      </c>
      <c r="AK188" s="7">
        <v>1</v>
      </c>
      <c r="AL188" s="7">
        <v>1</v>
      </c>
      <c r="AM188" s="7">
        <v>0</v>
      </c>
      <c r="AN188" s="7">
        <v>0</v>
      </c>
      <c r="AO188" s="7">
        <v>1</v>
      </c>
      <c r="AP188" s="7">
        <v>0</v>
      </c>
      <c r="AQ188" s="7">
        <v>1</v>
      </c>
      <c r="AR188" s="7">
        <v>1</v>
      </c>
      <c r="AS188" s="7">
        <v>12</v>
      </c>
      <c r="AT188" s="8">
        <v>0.66666666666666674</v>
      </c>
      <c r="AU188" s="14" t="s">
        <v>1119</v>
      </c>
      <c r="AV188" s="7">
        <v>27</v>
      </c>
      <c r="AW188" s="8">
        <v>0.75</v>
      </c>
    </row>
    <row r="189" spans="1:49" ht="15.75" customHeight="1" x14ac:dyDescent="0.25">
      <c r="A189" s="5" t="s">
        <v>11</v>
      </c>
      <c r="B189" s="7" t="s">
        <v>465</v>
      </c>
      <c r="C189" s="7" t="s">
        <v>1103</v>
      </c>
      <c r="D189" s="6" t="s">
        <v>1097</v>
      </c>
      <c r="E189" s="5" t="s">
        <v>484</v>
      </c>
      <c r="F189" s="7">
        <v>1</v>
      </c>
      <c r="G189" s="7">
        <v>1</v>
      </c>
      <c r="H189" s="7">
        <v>1</v>
      </c>
      <c r="I189" s="7">
        <v>1</v>
      </c>
      <c r="J189" s="7">
        <v>1</v>
      </c>
      <c r="K189" s="7">
        <v>1</v>
      </c>
      <c r="L189" s="7">
        <v>1</v>
      </c>
      <c r="M189" s="7">
        <v>1</v>
      </c>
      <c r="N189" s="7">
        <v>1</v>
      </c>
      <c r="O189" s="7">
        <v>1</v>
      </c>
      <c r="P189" s="7">
        <v>1</v>
      </c>
      <c r="Q189" s="7">
        <v>1</v>
      </c>
      <c r="R189" s="7">
        <v>1</v>
      </c>
      <c r="S189" s="7">
        <v>1</v>
      </c>
      <c r="T189" s="7">
        <v>1</v>
      </c>
      <c r="U189" s="7">
        <v>1</v>
      </c>
      <c r="V189" s="7">
        <v>1</v>
      </c>
      <c r="W189" s="7">
        <v>1</v>
      </c>
      <c r="X189" s="7">
        <v>18</v>
      </c>
      <c r="Y189" s="8">
        <v>1</v>
      </c>
      <c r="Z189" s="14" t="s">
        <v>1120</v>
      </c>
      <c r="AA189" s="7">
        <v>1</v>
      </c>
      <c r="AB189" s="7">
        <v>1</v>
      </c>
      <c r="AC189" s="7">
        <v>1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1</v>
      </c>
      <c r="AJ189" s="7">
        <v>1</v>
      </c>
      <c r="AK189" s="7">
        <v>1</v>
      </c>
      <c r="AL189" s="7">
        <v>1</v>
      </c>
      <c r="AM189" s="7">
        <v>0</v>
      </c>
      <c r="AN189" s="7">
        <v>1</v>
      </c>
      <c r="AO189" s="7">
        <v>1</v>
      </c>
      <c r="AP189" s="7">
        <v>1</v>
      </c>
      <c r="AQ189" s="7">
        <v>1</v>
      </c>
      <c r="AR189" s="7">
        <v>1</v>
      </c>
      <c r="AS189" s="7">
        <v>12</v>
      </c>
      <c r="AT189" s="8">
        <v>0.66666666666666674</v>
      </c>
      <c r="AU189" s="14" t="s">
        <v>1119</v>
      </c>
      <c r="AV189" s="7">
        <v>30</v>
      </c>
      <c r="AW189" s="8">
        <v>0.83333333333333326</v>
      </c>
    </row>
    <row r="190" spans="1:49" ht="15.75" customHeight="1" x14ac:dyDescent="0.25">
      <c r="A190" s="5" t="s">
        <v>12</v>
      </c>
      <c r="B190" s="6" t="s">
        <v>1069</v>
      </c>
      <c r="C190" s="6" t="s">
        <v>1103</v>
      </c>
      <c r="D190" s="6" t="s">
        <v>1097</v>
      </c>
      <c r="E190" s="5" t="s">
        <v>485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0</v>
      </c>
      <c r="M190" s="7">
        <v>1</v>
      </c>
      <c r="N190" s="7">
        <v>1</v>
      </c>
      <c r="O190" s="7">
        <v>1</v>
      </c>
      <c r="P190" s="7">
        <v>1</v>
      </c>
      <c r="Q190" s="7">
        <v>1</v>
      </c>
      <c r="R190" s="7">
        <v>0</v>
      </c>
      <c r="S190" s="7">
        <v>1</v>
      </c>
      <c r="T190" s="7">
        <v>0</v>
      </c>
      <c r="U190" s="7">
        <v>1</v>
      </c>
      <c r="V190" s="7">
        <v>0</v>
      </c>
      <c r="W190" s="7">
        <v>0</v>
      </c>
      <c r="X190" s="7">
        <v>13</v>
      </c>
      <c r="Y190" s="8">
        <v>0.72222222222222232</v>
      </c>
      <c r="Z190" s="14" t="s">
        <v>1120</v>
      </c>
      <c r="AA190" s="7">
        <v>1</v>
      </c>
      <c r="AB190" s="7">
        <v>1</v>
      </c>
      <c r="AC190" s="7">
        <v>1</v>
      </c>
      <c r="AD190" s="7">
        <v>0</v>
      </c>
      <c r="AE190" s="7">
        <v>0</v>
      </c>
      <c r="AF190" s="7">
        <v>1</v>
      </c>
      <c r="AG190" s="7">
        <v>1</v>
      </c>
      <c r="AH190" s="7">
        <v>0</v>
      </c>
      <c r="AI190" s="7">
        <v>0</v>
      </c>
      <c r="AJ190" s="7">
        <v>1</v>
      </c>
      <c r="AK190" s="7">
        <v>1</v>
      </c>
      <c r="AL190" s="7">
        <v>1</v>
      </c>
      <c r="AM190" s="7">
        <v>0</v>
      </c>
      <c r="AN190" s="7">
        <v>0</v>
      </c>
      <c r="AO190" s="7">
        <v>0</v>
      </c>
      <c r="AP190" s="7">
        <v>0</v>
      </c>
      <c r="AQ190" s="7">
        <v>1</v>
      </c>
      <c r="AR190" s="7">
        <v>1</v>
      </c>
      <c r="AS190" s="7">
        <v>10</v>
      </c>
      <c r="AT190" s="8">
        <v>0.55555555555555558</v>
      </c>
      <c r="AU190" s="14" t="s">
        <v>1119</v>
      </c>
      <c r="AV190" s="7">
        <v>23</v>
      </c>
      <c r="AW190" s="8">
        <v>0.63888888888888884</v>
      </c>
    </row>
    <row r="191" spans="1:49" ht="15.75" customHeight="1" x14ac:dyDescent="0.25">
      <c r="A191" s="5" t="s">
        <v>12</v>
      </c>
      <c r="B191" s="6" t="s">
        <v>1069</v>
      </c>
      <c r="C191" s="6" t="s">
        <v>1104</v>
      </c>
      <c r="D191" s="6" t="s">
        <v>1097</v>
      </c>
      <c r="E191" s="5" t="s">
        <v>486</v>
      </c>
      <c r="F191" s="7">
        <v>0</v>
      </c>
      <c r="G191" s="7">
        <v>1</v>
      </c>
      <c r="H191" s="7">
        <v>0</v>
      </c>
      <c r="I191" s="7">
        <v>1</v>
      </c>
      <c r="J191" s="7">
        <v>0</v>
      </c>
      <c r="K191" s="7">
        <v>0</v>
      </c>
      <c r="L191" s="7">
        <v>0</v>
      </c>
      <c r="M191" s="7">
        <v>1</v>
      </c>
      <c r="N191" s="7">
        <v>0</v>
      </c>
      <c r="O191" s="7">
        <v>1</v>
      </c>
      <c r="P191" s="7">
        <v>0</v>
      </c>
      <c r="Q191" s="7">
        <v>0</v>
      </c>
      <c r="R191" s="7">
        <v>0</v>
      </c>
      <c r="S191" s="7">
        <v>0</v>
      </c>
      <c r="T191" s="7">
        <v>1</v>
      </c>
      <c r="U191" s="7">
        <v>0</v>
      </c>
      <c r="V191" s="7">
        <v>1</v>
      </c>
      <c r="W191" s="7">
        <v>0</v>
      </c>
      <c r="X191" s="7">
        <v>6</v>
      </c>
      <c r="Y191" s="8">
        <v>0.33333333333333337</v>
      </c>
      <c r="Z191" s="14" t="s">
        <v>1102</v>
      </c>
      <c r="AA191" s="7">
        <v>0</v>
      </c>
      <c r="AB191" s="7">
        <v>0</v>
      </c>
      <c r="AC191" s="7">
        <v>0</v>
      </c>
      <c r="AD191" s="7">
        <v>1</v>
      </c>
      <c r="AE191" s="7">
        <v>0</v>
      </c>
      <c r="AF191" s="7">
        <v>0</v>
      </c>
      <c r="AG191" s="7">
        <v>0</v>
      </c>
      <c r="AH191" s="7">
        <v>0</v>
      </c>
      <c r="AI191" s="7">
        <v>1</v>
      </c>
      <c r="AJ191" s="7">
        <v>1</v>
      </c>
      <c r="AK191" s="7">
        <v>0</v>
      </c>
      <c r="AL191" s="7">
        <v>0</v>
      </c>
      <c r="AM191" s="7">
        <v>0</v>
      </c>
      <c r="AN191" s="7">
        <v>1</v>
      </c>
      <c r="AO191" s="7">
        <v>0</v>
      </c>
      <c r="AP191" s="7">
        <v>0</v>
      </c>
      <c r="AQ191" s="7">
        <v>1</v>
      </c>
      <c r="AR191" s="7">
        <v>0</v>
      </c>
      <c r="AS191" s="7">
        <v>5</v>
      </c>
      <c r="AT191" s="8">
        <v>0.27777777777777779</v>
      </c>
      <c r="AU191" s="14" t="s">
        <v>1102</v>
      </c>
      <c r="AV191" s="7">
        <v>11</v>
      </c>
      <c r="AW191" s="8">
        <v>0.30555555555555558</v>
      </c>
    </row>
    <row r="192" spans="1:49" ht="15.75" customHeight="1" x14ac:dyDescent="0.25">
      <c r="A192" s="5" t="s">
        <v>12</v>
      </c>
      <c r="B192" s="6" t="s">
        <v>1069</v>
      </c>
      <c r="C192" s="6" t="s">
        <v>1104</v>
      </c>
      <c r="D192" s="6" t="s">
        <v>1097</v>
      </c>
      <c r="E192" s="5" t="s">
        <v>487</v>
      </c>
      <c r="F192" s="7">
        <v>0</v>
      </c>
      <c r="G192" s="7">
        <v>1</v>
      </c>
      <c r="H192" s="7">
        <v>1</v>
      </c>
      <c r="I192" s="7">
        <v>1</v>
      </c>
      <c r="J192" s="7">
        <v>0</v>
      </c>
      <c r="K192" s="7">
        <v>1</v>
      </c>
      <c r="L192" s="7">
        <v>1</v>
      </c>
      <c r="M192" s="7">
        <v>0</v>
      </c>
      <c r="N192" s="7">
        <v>0</v>
      </c>
      <c r="O192" s="7">
        <v>1</v>
      </c>
      <c r="P192" s="7">
        <v>1</v>
      </c>
      <c r="Q192" s="7">
        <v>0</v>
      </c>
      <c r="R192" s="7">
        <v>1</v>
      </c>
      <c r="S192" s="7">
        <v>1</v>
      </c>
      <c r="T192" s="7">
        <v>1</v>
      </c>
      <c r="U192" s="7">
        <v>0</v>
      </c>
      <c r="V192" s="7">
        <v>1</v>
      </c>
      <c r="W192" s="7">
        <v>0</v>
      </c>
      <c r="X192" s="7">
        <v>11</v>
      </c>
      <c r="Y192" s="8">
        <v>0.61111111111111116</v>
      </c>
      <c r="Z192" s="14" t="s">
        <v>1119</v>
      </c>
      <c r="AA192" s="7">
        <v>1</v>
      </c>
      <c r="AB192" s="7">
        <v>1</v>
      </c>
      <c r="AC192" s="7">
        <v>1</v>
      </c>
      <c r="AD192" s="7">
        <v>0</v>
      </c>
      <c r="AE192" s="7">
        <v>0</v>
      </c>
      <c r="AF192" s="7">
        <v>0</v>
      </c>
      <c r="AG192" s="7">
        <v>1</v>
      </c>
      <c r="AH192" s="7">
        <v>0</v>
      </c>
      <c r="AI192" s="7">
        <v>1</v>
      </c>
      <c r="AJ192" s="7">
        <v>1</v>
      </c>
      <c r="AK192" s="7">
        <v>1</v>
      </c>
      <c r="AL192" s="7">
        <v>0</v>
      </c>
      <c r="AM192" s="7">
        <v>0</v>
      </c>
      <c r="AN192" s="7">
        <v>0</v>
      </c>
      <c r="AO192" s="7">
        <v>1</v>
      </c>
      <c r="AP192" s="7">
        <v>0</v>
      </c>
      <c r="AQ192" s="7">
        <v>1</v>
      </c>
      <c r="AR192" s="7">
        <v>1</v>
      </c>
      <c r="AS192" s="7">
        <v>10</v>
      </c>
      <c r="AT192" s="8">
        <v>0.55555555555555558</v>
      </c>
      <c r="AU192" s="14" t="s">
        <v>1119</v>
      </c>
      <c r="AV192" s="7">
        <v>21</v>
      </c>
      <c r="AW192" s="8">
        <v>0.58333333333333337</v>
      </c>
    </row>
    <row r="193" spans="1:49" ht="15.75" customHeight="1" x14ac:dyDescent="0.25">
      <c r="A193" s="5" t="s">
        <v>12</v>
      </c>
      <c r="B193" s="6" t="s">
        <v>1069</v>
      </c>
      <c r="C193" s="6" t="s">
        <v>1104</v>
      </c>
      <c r="D193" s="6" t="s">
        <v>1097</v>
      </c>
      <c r="E193" s="5" t="s">
        <v>488</v>
      </c>
      <c r="F193" s="7">
        <v>1</v>
      </c>
      <c r="G193" s="7">
        <v>1</v>
      </c>
      <c r="H193" s="7">
        <v>1</v>
      </c>
      <c r="I193" s="7">
        <v>1</v>
      </c>
      <c r="J193" s="7">
        <v>1</v>
      </c>
      <c r="K193" s="7">
        <v>1</v>
      </c>
      <c r="L193" s="7">
        <v>1</v>
      </c>
      <c r="M193" s="7">
        <v>0</v>
      </c>
      <c r="N193" s="7">
        <v>0</v>
      </c>
      <c r="O193" s="7">
        <v>1</v>
      </c>
      <c r="P193" s="7">
        <v>1</v>
      </c>
      <c r="Q193" s="7">
        <v>1</v>
      </c>
      <c r="R193" s="7">
        <v>1</v>
      </c>
      <c r="S193" s="7">
        <v>0</v>
      </c>
      <c r="T193" s="7">
        <v>1</v>
      </c>
      <c r="U193" s="7">
        <v>1</v>
      </c>
      <c r="V193" s="7">
        <v>1</v>
      </c>
      <c r="W193" s="7">
        <v>1</v>
      </c>
      <c r="X193" s="7">
        <v>15</v>
      </c>
      <c r="Y193" s="8">
        <v>0.83333333333333326</v>
      </c>
      <c r="Z193" s="14" t="s">
        <v>1120</v>
      </c>
      <c r="AA193" s="7">
        <v>0</v>
      </c>
      <c r="AB193" s="7">
        <v>1</v>
      </c>
      <c r="AC193" s="7">
        <v>1</v>
      </c>
      <c r="AD193" s="7">
        <v>0</v>
      </c>
      <c r="AE193" s="7">
        <v>1</v>
      </c>
      <c r="AF193" s="7">
        <v>0</v>
      </c>
      <c r="AG193" s="7">
        <v>1</v>
      </c>
      <c r="AH193" s="7">
        <v>0</v>
      </c>
      <c r="AI193" s="7">
        <v>1</v>
      </c>
      <c r="AJ193" s="7">
        <v>0</v>
      </c>
      <c r="AK193" s="7">
        <v>1</v>
      </c>
      <c r="AL193" s="7">
        <v>0</v>
      </c>
      <c r="AM193" s="7">
        <v>0</v>
      </c>
      <c r="AN193" s="7">
        <v>0</v>
      </c>
      <c r="AO193" s="7">
        <v>1</v>
      </c>
      <c r="AP193" s="7">
        <v>0</v>
      </c>
      <c r="AQ193" s="7">
        <v>1</v>
      </c>
      <c r="AR193" s="7">
        <v>1</v>
      </c>
      <c r="AS193" s="7">
        <v>9</v>
      </c>
      <c r="AT193" s="8">
        <v>0.5</v>
      </c>
      <c r="AU193" s="14" t="s">
        <v>1119</v>
      </c>
      <c r="AV193" s="7">
        <v>24</v>
      </c>
      <c r="AW193" s="8">
        <v>0.66666666666666674</v>
      </c>
    </row>
    <row r="194" spans="1:49" ht="15.75" customHeight="1" x14ac:dyDescent="0.25">
      <c r="A194" s="5" t="s">
        <v>12</v>
      </c>
      <c r="B194" s="6" t="s">
        <v>1069</v>
      </c>
      <c r="C194" s="6" t="s">
        <v>1104</v>
      </c>
      <c r="D194" s="6" t="s">
        <v>1097</v>
      </c>
      <c r="E194" s="5" t="s">
        <v>489</v>
      </c>
      <c r="F194" s="7">
        <v>1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0</v>
      </c>
      <c r="M194" s="7">
        <v>1</v>
      </c>
      <c r="N194" s="7">
        <v>0</v>
      </c>
      <c r="O194" s="7">
        <v>1</v>
      </c>
      <c r="P194" s="7">
        <v>1</v>
      </c>
      <c r="Q194" s="7">
        <v>0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15</v>
      </c>
      <c r="Y194" s="8">
        <v>0.83333333333333326</v>
      </c>
      <c r="Z194" s="14" t="s">
        <v>1120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0</v>
      </c>
      <c r="AH194" s="7">
        <v>0</v>
      </c>
      <c r="AI194" s="7">
        <v>1</v>
      </c>
      <c r="AJ194" s="7">
        <v>1</v>
      </c>
      <c r="AK194" s="7">
        <v>1</v>
      </c>
      <c r="AL194" s="7">
        <v>0</v>
      </c>
      <c r="AM194" s="7">
        <v>1</v>
      </c>
      <c r="AN194" s="7">
        <v>1</v>
      </c>
      <c r="AO194" s="7">
        <v>1</v>
      </c>
      <c r="AP194" s="7">
        <v>0</v>
      </c>
      <c r="AQ194" s="7">
        <v>1</v>
      </c>
      <c r="AR194" s="7">
        <v>1</v>
      </c>
      <c r="AS194" s="7">
        <v>18</v>
      </c>
      <c r="AT194" s="8">
        <v>1</v>
      </c>
      <c r="AU194" s="14" t="s">
        <v>1120</v>
      </c>
      <c r="AV194" s="7">
        <v>29</v>
      </c>
      <c r="AW194" s="8">
        <v>0.80555555555555558</v>
      </c>
    </row>
    <row r="195" spans="1:49" ht="15.75" customHeight="1" x14ac:dyDescent="0.25">
      <c r="A195" s="5" t="s">
        <v>12</v>
      </c>
      <c r="B195" s="6" t="s">
        <v>1069</v>
      </c>
      <c r="C195" s="7" t="s">
        <v>1117</v>
      </c>
      <c r="D195" s="6" t="s">
        <v>1097</v>
      </c>
      <c r="E195" s="5" t="s">
        <v>490</v>
      </c>
      <c r="F195" s="7">
        <v>0</v>
      </c>
      <c r="G195" s="7">
        <v>1</v>
      </c>
      <c r="H195" s="7">
        <v>0</v>
      </c>
      <c r="I195" s="7">
        <v>1</v>
      </c>
      <c r="J195" s="7">
        <v>0</v>
      </c>
      <c r="K195" s="7">
        <v>1</v>
      </c>
      <c r="L195" s="7">
        <v>1</v>
      </c>
      <c r="M195" s="7">
        <v>0</v>
      </c>
      <c r="N195" s="7">
        <v>0</v>
      </c>
      <c r="O195" s="7">
        <v>1</v>
      </c>
      <c r="P195" s="7">
        <v>1</v>
      </c>
      <c r="Q195" s="7">
        <v>0</v>
      </c>
      <c r="R195" s="7">
        <v>1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7</v>
      </c>
      <c r="Y195" s="8">
        <v>0.38888888888888884</v>
      </c>
      <c r="Z195" s="14" t="s">
        <v>1102</v>
      </c>
      <c r="AA195" s="7">
        <v>1</v>
      </c>
      <c r="AB195" s="7">
        <v>1</v>
      </c>
      <c r="AC195" s="7">
        <v>1</v>
      </c>
      <c r="AD195" s="7">
        <v>1</v>
      </c>
      <c r="AE195" s="7">
        <v>0</v>
      </c>
      <c r="AF195" s="7">
        <v>0</v>
      </c>
      <c r="AG195" s="7">
        <v>1</v>
      </c>
      <c r="AH195" s="7">
        <v>1</v>
      </c>
      <c r="AI195" s="7">
        <v>0</v>
      </c>
      <c r="AJ195" s="7">
        <v>1</v>
      </c>
      <c r="AK195" s="7">
        <v>0</v>
      </c>
      <c r="AL195" s="7">
        <v>0</v>
      </c>
      <c r="AM195" s="7">
        <v>0</v>
      </c>
      <c r="AN195" s="7">
        <v>0</v>
      </c>
      <c r="AO195" s="7">
        <v>1</v>
      </c>
      <c r="AP195" s="7">
        <v>0</v>
      </c>
      <c r="AQ195" s="7">
        <v>1</v>
      </c>
      <c r="AR195" s="7">
        <v>1</v>
      </c>
      <c r="AS195" s="7">
        <v>18</v>
      </c>
      <c r="AT195" s="8">
        <v>1</v>
      </c>
      <c r="AU195" s="14" t="s">
        <v>1120</v>
      </c>
      <c r="AV195" s="7">
        <v>17</v>
      </c>
      <c r="AW195" s="8">
        <v>0.47222222222222221</v>
      </c>
    </row>
    <row r="196" spans="1:49" ht="15.75" customHeight="1" x14ac:dyDescent="0.25">
      <c r="A196" s="5" t="s">
        <v>12</v>
      </c>
      <c r="B196" s="6" t="s">
        <v>1069</v>
      </c>
      <c r="C196" s="6" t="s">
        <v>1103</v>
      </c>
      <c r="D196" s="6" t="s">
        <v>1097</v>
      </c>
      <c r="E196" s="5" t="s">
        <v>491</v>
      </c>
      <c r="F196" s="7">
        <v>1</v>
      </c>
      <c r="G196" s="7">
        <v>1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  <c r="M196" s="7">
        <v>1</v>
      </c>
      <c r="N196" s="7">
        <v>0</v>
      </c>
      <c r="O196" s="7">
        <v>1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17</v>
      </c>
      <c r="Y196" s="8">
        <v>0.94444444444444442</v>
      </c>
      <c r="Z196" s="14" t="s">
        <v>1120</v>
      </c>
      <c r="AA196" s="7">
        <v>0</v>
      </c>
      <c r="AB196" s="7">
        <v>1</v>
      </c>
      <c r="AC196" s="7">
        <v>1</v>
      </c>
      <c r="AD196" s="7">
        <v>0</v>
      </c>
      <c r="AE196" s="7">
        <v>0</v>
      </c>
      <c r="AF196" s="7">
        <v>1</v>
      </c>
      <c r="AG196" s="7">
        <v>0</v>
      </c>
      <c r="AH196" s="7">
        <v>0</v>
      </c>
      <c r="AI196" s="7">
        <v>0</v>
      </c>
      <c r="AJ196" s="7">
        <v>1</v>
      </c>
      <c r="AK196" s="7">
        <v>1</v>
      </c>
      <c r="AL196" s="7">
        <v>1</v>
      </c>
      <c r="AM196" s="7">
        <v>0</v>
      </c>
      <c r="AN196" s="7">
        <v>1</v>
      </c>
      <c r="AO196" s="7">
        <v>1</v>
      </c>
      <c r="AP196" s="7">
        <v>0</v>
      </c>
      <c r="AQ196" s="7">
        <v>1</v>
      </c>
      <c r="AR196" s="7">
        <v>1</v>
      </c>
      <c r="AS196" s="7">
        <v>10</v>
      </c>
      <c r="AT196" s="8">
        <v>0.55555555555555558</v>
      </c>
      <c r="AU196" s="14" t="s">
        <v>1119</v>
      </c>
      <c r="AV196" s="7">
        <v>27</v>
      </c>
      <c r="AW196" s="8">
        <v>0.75</v>
      </c>
    </row>
    <row r="197" spans="1:49" ht="15.75" customHeight="1" x14ac:dyDescent="0.25">
      <c r="A197" s="5" t="s">
        <v>12</v>
      </c>
      <c r="B197" s="6" t="s">
        <v>1069</v>
      </c>
      <c r="C197" s="6" t="s">
        <v>1104</v>
      </c>
      <c r="D197" s="6" t="s">
        <v>1097</v>
      </c>
      <c r="E197" s="5" t="s">
        <v>492</v>
      </c>
      <c r="F197" s="7">
        <v>1</v>
      </c>
      <c r="G197" s="7">
        <v>1</v>
      </c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v>0</v>
      </c>
      <c r="O197" s="7">
        <v>1</v>
      </c>
      <c r="P197" s="7">
        <v>1</v>
      </c>
      <c r="Q197" s="7">
        <v>1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17</v>
      </c>
      <c r="Y197" s="8">
        <v>0.94444444444444442</v>
      </c>
      <c r="Z197" s="14" t="s">
        <v>1120</v>
      </c>
      <c r="AA197" s="7">
        <v>1</v>
      </c>
      <c r="AB197" s="7">
        <v>1</v>
      </c>
      <c r="AC197" s="7">
        <v>1</v>
      </c>
      <c r="AD197" s="7">
        <v>1</v>
      </c>
      <c r="AE197" s="7">
        <v>1</v>
      </c>
      <c r="AF197" s="7">
        <v>1</v>
      </c>
      <c r="AG197" s="7">
        <v>1</v>
      </c>
      <c r="AH197" s="7">
        <v>1</v>
      </c>
      <c r="AI197" s="7">
        <v>1</v>
      </c>
      <c r="AJ197" s="7">
        <v>1</v>
      </c>
      <c r="AK197" s="7">
        <v>1</v>
      </c>
      <c r="AL197" s="7">
        <v>1</v>
      </c>
      <c r="AM197" s="7">
        <v>1</v>
      </c>
      <c r="AN197" s="7">
        <v>1</v>
      </c>
      <c r="AO197" s="7">
        <v>1</v>
      </c>
      <c r="AP197" s="7">
        <v>1</v>
      </c>
      <c r="AQ197" s="7">
        <v>1</v>
      </c>
      <c r="AR197" s="7">
        <v>1</v>
      </c>
      <c r="AS197" s="7">
        <v>18</v>
      </c>
      <c r="AT197" s="8">
        <v>1</v>
      </c>
      <c r="AU197" s="14" t="s">
        <v>1120</v>
      </c>
      <c r="AV197" s="7">
        <v>35</v>
      </c>
      <c r="AW197" s="8">
        <v>0.97222222222222232</v>
      </c>
    </row>
    <row r="198" spans="1:49" ht="15.75" customHeight="1" x14ac:dyDescent="0.25">
      <c r="A198" s="5" t="s">
        <v>12</v>
      </c>
      <c r="B198" s="6" t="s">
        <v>1069</v>
      </c>
      <c r="C198" s="7" t="s">
        <v>1117</v>
      </c>
      <c r="D198" s="6" t="s">
        <v>1097</v>
      </c>
      <c r="E198" s="5" t="s">
        <v>493</v>
      </c>
      <c r="F198" s="7">
        <v>1</v>
      </c>
      <c r="G198" s="7">
        <v>1</v>
      </c>
      <c r="H198" s="7">
        <v>1</v>
      </c>
      <c r="I198" s="7">
        <v>1</v>
      </c>
      <c r="J198" s="7">
        <v>1</v>
      </c>
      <c r="K198" s="7">
        <v>1</v>
      </c>
      <c r="L198" s="7">
        <v>0</v>
      </c>
      <c r="M198" s="7">
        <v>0</v>
      </c>
      <c r="N198" s="7">
        <v>0</v>
      </c>
      <c r="O198" s="7">
        <v>1</v>
      </c>
      <c r="P198" s="7">
        <v>1</v>
      </c>
      <c r="Q198" s="7">
        <v>0</v>
      </c>
      <c r="R198" s="7">
        <v>1</v>
      </c>
      <c r="S198" s="7">
        <v>1</v>
      </c>
      <c r="T198" s="7">
        <v>0</v>
      </c>
      <c r="U198" s="7">
        <v>0</v>
      </c>
      <c r="V198" s="7">
        <v>0</v>
      </c>
      <c r="W198" s="7">
        <v>0</v>
      </c>
      <c r="X198" s="7">
        <v>10</v>
      </c>
      <c r="Y198" s="8">
        <v>0.55555555555555558</v>
      </c>
      <c r="Z198" s="14" t="s">
        <v>1119</v>
      </c>
      <c r="AA198" s="7">
        <v>1</v>
      </c>
      <c r="AB198" s="7">
        <v>1</v>
      </c>
      <c r="AC198" s="7">
        <v>1</v>
      </c>
      <c r="AD198" s="7">
        <v>1</v>
      </c>
      <c r="AE198" s="7">
        <v>0</v>
      </c>
      <c r="AF198" s="7">
        <v>0</v>
      </c>
      <c r="AG198" s="7">
        <v>1</v>
      </c>
      <c r="AH198" s="7">
        <v>1</v>
      </c>
      <c r="AI198" s="7">
        <v>0</v>
      </c>
      <c r="AJ198" s="7">
        <v>1</v>
      </c>
      <c r="AK198" s="7">
        <v>1</v>
      </c>
      <c r="AL198" s="7">
        <v>1</v>
      </c>
      <c r="AM198" s="7">
        <v>0</v>
      </c>
      <c r="AN198" s="7">
        <v>0</v>
      </c>
      <c r="AO198" s="7">
        <v>1</v>
      </c>
      <c r="AP198" s="7">
        <v>0</v>
      </c>
      <c r="AQ198" s="7">
        <v>1</v>
      </c>
      <c r="AR198" s="7">
        <v>1</v>
      </c>
      <c r="AS198" s="7">
        <v>12</v>
      </c>
      <c r="AT198" s="8">
        <v>0.66666666666666674</v>
      </c>
      <c r="AU198" s="14" t="s">
        <v>1119</v>
      </c>
      <c r="AV198" s="7">
        <v>22</v>
      </c>
      <c r="AW198" s="8">
        <v>0.61111111111111116</v>
      </c>
    </row>
    <row r="199" spans="1:49" ht="15.75" customHeight="1" x14ac:dyDescent="0.25">
      <c r="A199" s="5" t="s">
        <v>12</v>
      </c>
      <c r="B199" s="6" t="s">
        <v>1069</v>
      </c>
      <c r="C199" s="6" t="s">
        <v>1104</v>
      </c>
      <c r="D199" s="6" t="s">
        <v>1097</v>
      </c>
      <c r="E199" s="5" t="s">
        <v>494</v>
      </c>
      <c r="F199" s="7">
        <v>1</v>
      </c>
      <c r="G199" s="7">
        <v>1</v>
      </c>
      <c r="H199" s="7">
        <v>1</v>
      </c>
      <c r="I199" s="7">
        <v>1</v>
      </c>
      <c r="J199" s="7">
        <v>1</v>
      </c>
      <c r="K199" s="7">
        <v>1</v>
      </c>
      <c r="L199" s="7">
        <v>1</v>
      </c>
      <c r="M199" s="7">
        <v>1</v>
      </c>
      <c r="N199" s="7">
        <v>0</v>
      </c>
      <c r="O199" s="7">
        <v>1</v>
      </c>
      <c r="P199" s="7">
        <v>1</v>
      </c>
      <c r="Q199" s="7">
        <v>1</v>
      </c>
      <c r="R199" s="7">
        <v>1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17</v>
      </c>
      <c r="Y199" s="8">
        <v>0.94444444444444442</v>
      </c>
      <c r="Z199" s="14" t="s">
        <v>1120</v>
      </c>
      <c r="AA199" s="7">
        <v>1</v>
      </c>
      <c r="AB199" s="7">
        <v>1</v>
      </c>
      <c r="AC199" s="7">
        <v>1</v>
      </c>
      <c r="AD199" s="7">
        <v>1</v>
      </c>
      <c r="AE199" s="7">
        <v>0</v>
      </c>
      <c r="AF199" s="7">
        <v>1</v>
      </c>
      <c r="AG199" s="7">
        <v>1</v>
      </c>
      <c r="AH199" s="7">
        <v>1</v>
      </c>
      <c r="AI199" s="7">
        <v>1</v>
      </c>
      <c r="AJ199" s="7">
        <v>1</v>
      </c>
      <c r="AK199" s="7">
        <v>1</v>
      </c>
      <c r="AL199" s="7">
        <v>0</v>
      </c>
      <c r="AM199" s="7">
        <v>0</v>
      </c>
      <c r="AN199" s="7">
        <v>0</v>
      </c>
      <c r="AO199" s="7">
        <v>1</v>
      </c>
      <c r="AP199" s="7">
        <v>1</v>
      </c>
      <c r="AQ199" s="7">
        <v>1</v>
      </c>
      <c r="AR199" s="7">
        <v>1</v>
      </c>
      <c r="AS199" s="7">
        <v>14</v>
      </c>
      <c r="AT199" s="8">
        <v>0.77777777777777768</v>
      </c>
      <c r="AU199" s="14" t="s">
        <v>1120</v>
      </c>
      <c r="AV199" s="7">
        <v>31</v>
      </c>
      <c r="AW199" s="8">
        <v>0.86111111111111116</v>
      </c>
    </row>
    <row r="200" spans="1:49" ht="15.75" customHeight="1" x14ac:dyDescent="0.25">
      <c r="A200" s="5" t="s">
        <v>12</v>
      </c>
      <c r="B200" s="6" t="s">
        <v>1069</v>
      </c>
      <c r="C200" s="6" t="s">
        <v>1104</v>
      </c>
      <c r="D200" s="6" t="s">
        <v>1097</v>
      </c>
      <c r="E200" s="5" t="s">
        <v>495</v>
      </c>
      <c r="F200" s="7">
        <v>1</v>
      </c>
      <c r="G200" s="7">
        <v>1</v>
      </c>
      <c r="H200" s="7">
        <v>1</v>
      </c>
      <c r="I200" s="7">
        <v>1</v>
      </c>
      <c r="J200" s="7">
        <v>1</v>
      </c>
      <c r="K200" s="7">
        <v>1</v>
      </c>
      <c r="L200" s="7">
        <v>0</v>
      </c>
      <c r="M200" s="7">
        <v>1</v>
      </c>
      <c r="N200" s="7">
        <v>0</v>
      </c>
      <c r="O200" s="7">
        <v>1</v>
      </c>
      <c r="P200" s="7">
        <v>1</v>
      </c>
      <c r="Q200" s="7">
        <v>1</v>
      </c>
      <c r="R200" s="7">
        <v>0</v>
      </c>
      <c r="S200" s="7">
        <v>1</v>
      </c>
      <c r="T200" s="7">
        <v>1</v>
      </c>
      <c r="U200" s="7">
        <v>0</v>
      </c>
      <c r="V200" s="7">
        <v>1</v>
      </c>
      <c r="W200" s="7">
        <v>1</v>
      </c>
      <c r="X200" s="7">
        <v>18</v>
      </c>
      <c r="Y200" s="8">
        <v>1</v>
      </c>
      <c r="Z200" s="14" t="s">
        <v>1120</v>
      </c>
      <c r="AA200" s="7">
        <v>0</v>
      </c>
      <c r="AB200" s="7">
        <v>1</v>
      </c>
      <c r="AC200" s="7">
        <v>1</v>
      </c>
      <c r="AD200" s="7">
        <v>0</v>
      </c>
      <c r="AE200" s="7">
        <v>1</v>
      </c>
      <c r="AF200" s="7">
        <v>0</v>
      </c>
      <c r="AG200" s="7">
        <v>0</v>
      </c>
      <c r="AH200" s="7">
        <v>0</v>
      </c>
      <c r="AI200" s="7">
        <v>1</v>
      </c>
      <c r="AJ200" s="7">
        <v>1</v>
      </c>
      <c r="AK200" s="7">
        <v>1</v>
      </c>
      <c r="AL200" s="7">
        <v>0</v>
      </c>
      <c r="AM200" s="7">
        <v>0</v>
      </c>
      <c r="AN200" s="7">
        <v>1</v>
      </c>
      <c r="AO200" s="7">
        <v>1</v>
      </c>
      <c r="AP200" s="7">
        <v>0</v>
      </c>
      <c r="AQ200" s="7">
        <v>1</v>
      </c>
      <c r="AR200" s="7">
        <v>1</v>
      </c>
      <c r="AS200" s="7">
        <v>10</v>
      </c>
      <c r="AT200" s="8">
        <v>0.55555555555555558</v>
      </c>
      <c r="AU200" s="14" t="s">
        <v>1119</v>
      </c>
      <c r="AV200" s="7">
        <v>24</v>
      </c>
      <c r="AW200" s="8">
        <v>0.66666666666666674</v>
      </c>
    </row>
    <row r="201" spans="1:49" ht="15.75" customHeight="1" x14ac:dyDescent="0.25">
      <c r="A201" s="5" t="s">
        <v>12</v>
      </c>
      <c r="B201" s="6" t="s">
        <v>1069</v>
      </c>
      <c r="C201" s="6" t="s">
        <v>1103</v>
      </c>
      <c r="D201" s="6" t="s">
        <v>1097</v>
      </c>
      <c r="E201" s="5" t="s">
        <v>496</v>
      </c>
      <c r="F201" s="7">
        <v>1</v>
      </c>
      <c r="G201" s="7">
        <v>1</v>
      </c>
      <c r="H201" s="7">
        <v>1</v>
      </c>
      <c r="I201" s="7">
        <v>1</v>
      </c>
      <c r="J201" s="7">
        <v>1</v>
      </c>
      <c r="K201" s="7">
        <v>1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0</v>
      </c>
      <c r="X201" s="7">
        <v>18</v>
      </c>
      <c r="Y201" s="8">
        <v>1</v>
      </c>
      <c r="Z201" s="14" t="s">
        <v>1120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>
        <v>1</v>
      </c>
      <c r="AK201" s="7">
        <v>1</v>
      </c>
      <c r="AL201" s="7">
        <v>1</v>
      </c>
      <c r="AM201" s="7">
        <v>1</v>
      </c>
      <c r="AN201" s="7">
        <v>1</v>
      </c>
      <c r="AO201" s="7">
        <v>1</v>
      </c>
      <c r="AP201" s="7">
        <v>1</v>
      </c>
      <c r="AQ201" s="7">
        <v>1</v>
      </c>
      <c r="AR201" s="7">
        <v>1</v>
      </c>
      <c r="AS201" s="7">
        <v>18</v>
      </c>
      <c r="AT201" s="8">
        <v>1</v>
      </c>
      <c r="AU201" s="14" t="s">
        <v>1120</v>
      </c>
      <c r="AV201" s="7">
        <v>35</v>
      </c>
      <c r="AW201" s="8">
        <v>0.97222222222222232</v>
      </c>
    </row>
    <row r="202" spans="1:49" ht="15.75" customHeight="1" x14ac:dyDescent="0.25">
      <c r="A202" s="5" t="s">
        <v>12</v>
      </c>
      <c r="B202" s="6" t="s">
        <v>1069</v>
      </c>
      <c r="C202" s="6" t="s">
        <v>1104</v>
      </c>
      <c r="D202" s="6" t="s">
        <v>1097</v>
      </c>
      <c r="E202" s="5" t="s">
        <v>497</v>
      </c>
      <c r="F202" s="7">
        <v>1</v>
      </c>
      <c r="G202" s="7">
        <v>1</v>
      </c>
      <c r="H202" s="7">
        <v>1</v>
      </c>
      <c r="I202" s="7">
        <v>0</v>
      </c>
      <c r="J202" s="7">
        <v>1</v>
      </c>
      <c r="K202" s="7">
        <v>1</v>
      </c>
      <c r="L202" s="7">
        <v>1</v>
      </c>
      <c r="M202" s="7">
        <v>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1</v>
      </c>
      <c r="U202" s="7">
        <v>0</v>
      </c>
      <c r="V202" s="7">
        <v>0</v>
      </c>
      <c r="W202" s="7">
        <v>1</v>
      </c>
      <c r="X202" s="7">
        <v>18</v>
      </c>
      <c r="Y202" s="8">
        <v>1</v>
      </c>
      <c r="Z202" s="14" t="s">
        <v>1120</v>
      </c>
      <c r="AA202" s="7">
        <v>1</v>
      </c>
      <c r="AB202" s="7">
        <v>1</v>
      </c>
      <c r="AC202" s="7">
        <v>1</v>
      </c>
      <c r="AD202" s="7">
        <v>1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1</v>
      </c>
      <c r="AK202" s="7">
        <v>1</v>
      </c>
      <c r="AL202" s="7">
        <v>0</v>
      </c>
      <c r="AM202" s="7">
        <v>0</v>
      </c>
      <c r="AN202" s="7">
        <v>1</v>
      </c>
      <c r="AO202" s="7">
        <v>0</v>
      </c>
      <c r="AP202" s="7">
        <v>0</v>
      </c>
      <c r="AQ202" s="7">
        <v>1</v>
      </c>
      <c r="AR202" s="7">
        <v>1</v>
      </c>
      <c r="AS202" s="7">
        <v>9</v>
      </c>
      <c r="AT202" s="8">
        <v>0.5</v>
      </c>
      <c r="AU202" s="14" t="s">
        <v>1119</v>
      </c>
      <c r="AV202" s="7">
        <v>18</v>
      </c>
      <c r="AW202" s="8">
        <v>0.5</v>
      </c>
    </row>
    <row r="203" spans="1:49" ht="15.75" customHeight="1" x14ac:dyDescent="0.25">
      <c r="A203" s="5" t="s">
        <v>12</v>
      </c>
      <c r="B203" s="6" t="s">
        <v>1069</v>
      </c>
      <c r="C203" s="6" t="s">
        <v>1104</v>
      </c>
      <c r="D203" s="6" t="s">
        <v>1097</v>
      </c>
      <c r="E203" s="5" t="s">
        <v>498</v>
      </c>
      <c r="F203" s="7">
        <v>1</v>
      </c>
      <c r="G203" s="7">
        <v>1</v>
      </c>
      <c r="H203" s="7">
        <v>1</v>
      </c>
      <c r="I203" s="7">
        <v>1</v>
      </c>
      <c r="J203" s="7">
        <v>1</v>
      </c>
      <c r="K203" s="7">
        <v>1</v>
      </c>
      <c r="L203" s="7">
        <v>1</v>
      </c>
      <c r="M203" s="7">
        <v>1</v>
      </c>
      <c r="N203" s="7">
        <v>0</v>
      </c>
      <c r="O203" s="7">
        <v>1</v>
      </c>
      <c r="P203" s="7">
        <v>1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</v>
      </c>
      <c r="X203" s="7">
        <v>11</v>
      </c>
      <c r="Y203" s="8">
        <v>0.61111111111111116</v>
      </c>
      <c r="Z203" s="14" t="s">
        <v>1119</v>
      </c>
      <c r="AA203" s="7">
        <v>1</v>
      </c>
      <c r="AB203" s="7">
        <v>0</v>
      </c>
      <c r="AC203" s="7">
        <v>1</v>
      </c>
      <c r="AD203" s="7">
        <v>0</v>
      </c>
      <c r="AE203" s="7">
        <v>1</v>
      </c>
      <c r="AF203" s="7">
        <v>0</v>
      </c>
      <c r="AG203" s="7">
        <v>0</v>
      </c>
      <c r="AH203" s="7">
        <v>0</v>
      </c>
      <c r="AI203" s="7">
        <v>0</v>
      </c>
      <c r="AJ203" s="7">
        <v>1</v>
      </c>
      <c r="AK203" s="7">
        <v>0</v>
      </c>
      <c r="AL203" s="7">
        <v>1</v>
      </c>
      <c r="AM203" s="7">
        <v>0</v>
      </c>
      <c r="AN203" s="7">
        <v>1</v>
      </c>
      <c r="AO203" s="7">
        <v>1</v>
      </c>
      <c r="AP203" s="7">
        <v>0</v>
      </c>
      <c r="AQ203" s="7">
        <v>1</v>
      </c>
      <c r="AR203" s="7">
        <v>1</v>
      </c>
      <c r="AS203" s="7">
        <v>9</v>
      </c>
      <c r="AT203" s="8">
        <v>0.5</v>
      </c>
      <c r="AU203" s="14" t="s">
        <v>1119</v>
      </c>
      <c r="AV203" s="7">
        <v>20</v>
      </c>
      <c r="AW203" s="8">
        <v>0.55555555555555558</v>
      </c>
    </row>
    <row r="204" spans="1:49" ht="15.75" customHeight="1" x14ac:dyDescent="0.25">
      <c r="A204" s="5" t="s">
        <v>13</v>
      </c>
      <c r="B204" s="7" t="s">
        <v>399</v>
      </c>
      <c r="C204" s="7" t="s">
        <v>1096</v>
      </c>
      <c r="D204" s="6" t="s">
        <v>1097</v>
      </c>
      <c r="E204" s="5" t="s">
        <v>499</v>
      </c>
      <c r="F204" s="7">
        <v>1</v>
      </c>
      <c r="G204" s="7">
        <v>1</v>
      </c>
      <c r="H204" s="7">
        <v>1</v>
      </c>
      <c r="I204" s="7">
        <v>1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>
        <v>1</v>
      </c>
      <c r="R204" s="7">
        <v>1</v>
      </c>
      <c r="S204" s="7">
        <v>0</v>
      </c>
      <c r="T204" s="7">
        <v>0</v>
      </c>
      <c r="U204" s="7">
        <v>1</v>
      </c>
      <c r="V204" s="7">
        <v>0</v>
      </c>
      <c r="W204" s="7">
        <v>1</v>
      </c>
      <c r="X204" s="7">
        <v>15</v>
      </c>
      <c r="Y204" s="8">
        <v>0.83333333333333326</v>
      </c>
      <c r="Z204" s="14" t="s">
        <v>1120</v>
      </c>
      <c r="AA204" s="7">
        <v>0</v>
      </c>
      <c r="AB204" s="7">
        <v>1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1</v>
      </c>
      <c r="AK204" s="7">
        <v>0</v>
      </c>
      <c r="AL204" s="7">
        <v>0</v>
      </c>
      <c r="AM204" s="7">
        <v>0</v>
      </c>
      <c r="AN204" s="7">
        <v>1</v>
      </c>
      <c r="AO204" s="7">
        <v>0</v>
      </c>
      <c r="AP204" s="7">
        <v>0</v>
      </c>
      <c r="AQ204" s="7">
        <v>1</v>
      </c>
      <c r="AR204" s="7">
        <v>1</v>
      </c>
      <c r="AS204" s="7">
        <v>5</v>
      </c>
      <c r="AT204" s="8">
        <v>0.27777777777777779</v>
      </c>
      <c r="AU204" s="14" t="s">
        <v>1102</v>
      </c>
      <c r="AV204" s="7">
        <v>20</v>
      </c>
      <c r="AW204" s="8">
        <v>0.55555555555555558</v>
      </c>
    </row>
    <row r="205" spans="1:49" ht="15.75" customHeight="1" x14ac:dyDescent="0.25">
      <c r="A205" s="5" t="s">
        <v>13</v>
      </c>
      <c r="B205" s="7" t="s">
        <v>399</v>
      </c>
      <c r="C205" s="7" t="s">
        <v>1103</v>
      </c>
      <c r="D205" s="6" t="s">
        <v>1097</v>
      </c>
      <c r="E205" s="5" t="s">
        <v>500</v>
      </c>
      <c r="F205" s="7">
        <v>1</v>
      </c>
      <c r="G205" s="7">
        <v>1</v>
      </c>
      <c r="H205" s="7">
        <v>1</v>
      </c>
      <c r="I205" s="7">
        <v>1</v>
      </c>
      <c r="J205" s="7">
        <v>1</v>
      </c>
      <c r="K205" s="7">
        <v>1</v>
      </c>
      <c r="L205" s="7">
        <v>0</v>
      </c>
      <c r="M205" s="7">
        <v>1</v>
      </c>
      <c r="N205" s="7">
        <v>1</v>
      </c>
      <c r="O205" s="7">
        <v>1</v>
      </c>
      <c r="P205" s="7">
        <v>1</v>
      </c>
      <c r="Q205" s="7">
        <v>1</v>
      </c>
      <c r="R205" s="7">
        <v>0</v>
      </c>
      <c r="S205" s="7">
        <v>0</v>
      </c>
      <c r="T205" s="7">
        <v>1</v>
      </c>
      <c r="U205" s="7">
        <v>0</v>
      </c>
      <c r="V205" s="7">
        <v>1</v>
      </c>
      <c r="W205" s="7">
        <v>1</v>
      </c>
      <c r="X205" s="7">
        <v>14</v>
      </c>
      <c r="Y205" s="8">
        <v>0.77777777777777768</v>
      </c>
      <c r="Z205" s="14" t="s">
        <v>1120</v>
      </c>
      <c r="AA205" s="7">
        <v>1</v>
      </c>
      <c r="AB205" s="7">
        <v>1</v>
      </c>
      <c r="AC205" s="7">
        <v>1</v>
      </c>
      <c r="AD205" s="7">
        <v>1</v>
      </c>
      <c r="AE205" s="7">
        <v>0</v>
      </c>
      <c r="AF205" s="7">
        <v>0</v>
      </c>
      <c r="AG205" s="7">
        <v>0</v>
      </c>
      <c r="AH205" s="7">
        <v>1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1</v>
      </c>
      <c r="AP205" s="7">
        <v>1</v>
      </c>
      <c r="AQ205" s="7">
        <v>1</v>
      </c>
      <c r="AR205" s="7">
        <v>0</v>
      </c>
      <c r="AS205" s="7">
        <v>8</v>
      </c>
      <c r="AT205" s="8">
        <v>0.44444444444444442</v>
      </c>
      <c r="AU205" s="14" t="s">
        <v>1119</v>
      </c>
      <c r="AV205" s="7">
        <v>22</v>
      </c>
      <c r="AW205" s="8">
        <v>0.61111111111111116</v>
      </c>
    </row>
    <row r="206" spans="1:49" ht="15.75" customHeight="1" x14ac:dyDescent="0.25">
      <c r="A206" s="5" t="s">
        <v>13</v>
      </c>
      <c r="B206" s="7" t="s">
        <v>399</v>
      </c>
      <c r="C206" s="7" t="s">
        <v>1103</v>
      </c>
      <c r="D206" s="6" t="s">
        <v>1097</v>
      </c>
      <c r="E206" s="5" t="s">
        <v>501</v>
      </c>
      <c r="F206" s="7">
        <v>0</v>
      </c>
      <c r="G206" s="7">
        <v>0</v>
      </c>
      <c r="H206" s="7">
        <v>1</v>
      </c>
      <c r="I206" s="7">
        <v>1</v>
      </c>
      <c r="J206" s="7">
        <v>0</v>
      </c>
      <c r="K206" s="7">
        <v>1</v>
      </c>
      <c r="L206" s="7">
        <v>0</v>
      </c>
      <c r="M206" s="7">
        <v>0</v>
      </c>
      <c r="N206" s="7">
        <v>0</v>
      </c>
      <c r="O206" s="7">
        <v>1</v>
      </c>
      <c r="P206" s="7">
        <v>1</v>
      </c>
      <c r="Q206" s="7">
        <v>0</v>
      </c>
      <c r="R206" s="7">
        <v>0</v>
      </c>
      <c r="S206" s="7">
        <v>1</v>
      </c>
      <c r="T206" s="7">
        <v>0</v>
      </c>
      <c r="U206" s="7">
        <v>0</v>
      </c>
      <c r="V206" s="7">
        <v>0</v>
      </c>
      <c r="W206" s="7">
        <v>0</v>
      </c>
      <c r="X206" s="7">
        <v>6</v>
      </c>
      <c r="Y206" s="8">
        <v>0.33333333333333337</v>
      </c>
      <c r="Z206" s="14" t="s">
        <v>1102</v>
      </c>
      <c r="AA206" s="7">
        <v>1</v>
      </c>
      <c r="AB206" s="7">
        <v>1</v>
      </c>
      <c r="AC206" s="7">
        <v>1</v>
      </c>
      <c r="AD206" s="7">
        <v>0</v>
      </c>
      <c r="AE206" s="7">
        <v>0</v>
      </c>
      <c r="AF206" s="7">
        <v>1</v>
      </c>
      <c r="AG206" s="7">
        <v>1</v>
      </c>
      <c r="AH206" s="7">
        <v>1</v>
      </c>
      <c r="AI206" s="7">
        <v>1</v>
      </c>
      <c r="AJ206" s="7">
        <v>1</v>
      </c>
      <c r="AK206" s="7">
        <v>0</v>
      </c>
      <c r="AL206" s="7">
        <v>1</v>
      </c>
      <c r="AM206" s="7">
        <v>1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10</v>
      </c>
      <c r="AT206" s="8">
        <v>0.55555555555555558</v>
      </c>
      <c r="AU206" s="14" t="s">
        <v>1119</v>
      </c>
      <c r="AV206" s="7">
        <v>16</v>
      </c>
      <c r="AW206" s="8">
        <v>0.44444444444444442</v>
      </c>
    </row>
    <row r="207" spans="1:49" ht="15.75" customHeight="1" x14ac:dyDescent="0.25">
      <c r="A207" s="5" t="s">
        <v>13</v>
      </c>
      <c r="B207" s="7" t="s">
        <v>399</v>
      </c>
      <c r="C207" s="24" t="s">
        <v>1096</v>
      </c>
      <c r="D207" s="6" t="s">
        <v>1097</v>
      </c>
      <c r="E207" s="5" t="s">
        <v>502</v>
      </c>
      <c r="F207" s="7">
        <v>1</v>
      </c>
      <c r="G207" s="7">
        <v>1</v>
      </c>
      <c r="H207" s="7">
        <v>1</v>
      </c>
      <c r="I207" s="7">
        <v>1</v>
      </c>
      <c r="J207" s="7">
        <v>1</v>
      </c>
      <c r="K207" s="7">
        <v>1</v>
      </c>
      <c r="L207" s="7">
        <v>1</v>
      </c>
      <c r="M207" s="7">
        <v>1</v>
      </c>
      <c r="N207" s="7">
        <v>0</v>
      </c>
      <c r="O207" s="7">
        <v>1</v>
      </c>
      <c r="P207" s="7">
        <v>1</v>
      </c>
      <c r="Q207" s="7">
        <v>1</v>
      </c>
      <c r="R207" s="7">
        <v>1</v>
      </c>
      <c r="S207" s="7">
        <v>1</v>
      </c>
      <c r="T207" s="7">
        <v>1</v>
      </c>
      <c r="U207" s="7">
        <v>1</v>
      </c>
      <c r="V207" s="7">
        <v>1</v>
      </c>
      <c r="W207" s="7">
        <v>0</v>
      </c>
      <c r="X207" s="7">
        <v>16</v>
      </c>
      <c r="Y207" s="8">
        <v>0.88888888888888884</v>
      </c>
      <c r="Z207" s="14" t="s">
        <v>1120</v>
      </c>
      <c r="AA207" s="7">
        <v>1</v>
      </c>
      <c r="AB207" s="7">
        <v>1</v>
      </c>
      <c r="AC207" s="7">
        <v>1</v>
      </c>
      <c r="AD207" s="7">
        <v>0</v>
      </c>
      <c r="AE207" s="7">
        <v>0</v>
      </c>
      <c r="AF207" s="7">
        <v>0</v>
      </c>
      <c r="AG207" s="7">
        <v>1</v>
      </c>
      <c r="AH207" s="7">
        <v>1</v>
      </c>
      <c r="AI207" s="7">
        <v>0</v>
      </c>
      <c r="AJ207" s="7">
        <v>1</v>
      </c>
      <c r="AK207" s="7">
        <v>1</v>
      </c>
      <c r="AL207" s="7">
        <v>0</v>
      </c>
      <c r="AM207" s="7">
        <v>1</v>
      </c>
      <c r="AN207" s="7">
        <v>0</v>
      </c>
      <c r="AO207" s="7">
        <v>1</v>
      </c>
      <c r="AP207" s="7">
        <v>1</v>
      </c>
      <c r="AQ207" s="7">
        <v>1</v>
      </c>
      <c r="AR207" s="7">
        <v>1</v>
      </c>
      <c r="AS207" s="7">
        <v>12</v>
      </c>
      <c r="AT207" s="8">
        <v>0.66666666666666674</v>
      </c>
      <c r="AU207" s="14" t="s">
        <v>1119</v>
      </c>
      <c r="AV207" s="7">
        <v>28</v>
      </c>
      <c r="AW207" s="8">
        <v>0.77777777777777768</v>
      </c>
    </row>
    <row r="208" spans="1:49" ht="15.75" customHeight="1" x14ac:dyDescent="0.25">
      <c r="A208" s="5" t="s">
        <v>13</v>
      </c>
      <c r="B208" s="7" t="s">
        <v>399</v>
      </c>
      <c r="C208" s="7" t="s">
        <v>1103</v>
      </c>
      <c r="D208" s="6" t="s">
        <v>1097</v>
      </c>
      <c r="E208" s="5" t="s">
        <v>503</v>
      </c>
      <c r="F208" s="7">
        <v>1</v>
      </c>
      <c r="G208" s="7">
        <v>1</v>
      </c>
      <c r="H208" s="7">
        <v>0</v>
      </c>
      <c r="I208" s="7">
        <v>1</v>
      </c>
      <c r="J208" s="7">
        <v>1</v>
      </c>
      <c r="K208" s="7">
        <v>1</v>
      </c>
      <c r="L208" s="7">
        <v>1</v>
      </c>
      <c r="M208" s="7">
        <v>0</v>
      </c>
      <c r="N208" s="7">
        <v>0</v>
      </c>
      <c r="O208" s="7">
        <v>1</v>
      </c>
      <c r="P208" s="7">
        <v>1</v>
      </c>
      <c r="Q208" s="7">
        <v>1</v>
      </c>
      <c r="R208" s="7">
        <v>1</v>
      </c>
      <c r="S208" s="7">
        <v>1</v>
      </c>
      <c r="T208" s="7">
        <v>0</v>
      </c>
      <c r="U208" s="7">
        <v>1</v>
      </c>
      <c r="V208" s="7">
        <v>1</v>
      </c>
      <c r="W208" s="7">
        <v>1</v>
      </c>
      <c r="X208" s="7">
        <v>14</v>
      </c>
      <c r="Y208" s="8">
        <v>0.77777777777777768</v>
      </c>
      <c r="Z208" s="14" t="s">
        <v>1120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0</v>
      </c>
      <c r="AG208" s="7">
        <v>1</v>
      </c>
      <c r="AH208" s="7">
        <v>1</v>
      </c>
      <c r="AI208" s="7">
        <v>1</v>
      </c>
      <c r="AJ208" s="7">
        <v>1</v>
      </c>
      <c r="AK208" s="7">
        <v>1</v>
      </c>
      <c r="AL208" s="7">
        <v>1</v>
      </c>
      <c r="AM208" s="7">
        <v>0</v>
      </c>
      <c r="AN208" s="7">
        <v>0</v>
      </c>
      <c r="AO208" s="7">
        <v>1</v>
      </c>
      <c r="AP208" s="7">
        <v>0</v>
      </c>
      <c r="AQ208" s="7">
        <v>1</v>
      </c>
      <c r="AR208" s="7">
        <v>0</v>
      </c>
      <c r="AS208" s="7">
        <v>13</v>
      </c>
      <c r="AT208" s="8">
        <v>0.72222222222222232</v>
      </c>
      <c r="AU208" s="14" t="s">
        <v>1120</v>
      </c>
      <c r="AV208" s="7">
        <v>27</v>
      </c>
      <c r="AW208" s="8">
        <v>0.75</v>
      </c>
    </row>
    <row r="209" spans="1:49" ht="15.75" customHeight="1" x14ac:dyDescent="0.25">
      <c r="A209" s="5" t="s">
        <v>13</v>
      </c>
      <c r="B209" s="7" t="s">
        <v>399</v>
      </c>
      <c r="C209" s="6" t="s">
        <v>1099</v>
      </c>
      <c r="D209" s="6" t="s">
        <v>1100</v>
      </c>
      <c r="E209" s="5" t="s">
        <v>504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8">
        <v>0</v>
      </c>
      <c r="Z209" s="14" t="s">
        <v>1102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8">
        <v>0</v>
      </c>
      <c r="AU209" s="14" t="s">
        <v>1102</v>
      </c>
      <c r="AV209" s="7">
        <v>0</v>
      </c>
      <c r="AW209" s="8">
        <v>0</v>
      </c>
    </row>
    <row r="210" spans="1:49" ht="15.75" customHeight="1" x14ac:dyDescent="0.25">
      <c r="A210" s="5" t="s">
        <v>13</v>
      </c>
      <c r="B210" s="7" t="s">
        <v>399</v>
      </c>
      <c r="C210" s="7" t="s">
        <v>1103</v>
      </c>
      <c r="D210" s="6" t="s">
        <v>1097</v>
      </c>
      <c r="E210" s="5" t="s">
        <v>1173</v>
      </c>
      <c r="F210" s="7">
        <v>1</v>
      </c>
      <c r="G210" s="7">
        <v>1</v>
      </c>
      <c r="H210" s="7">
        <v>1</v>
      </c>
      <c r="I210" s="7">
        <v>1</v>
      </c>
      <c r="J210" s="7">
        <v>1</v>
      </c>
      <c r="K210" s="7">
        <v>1</v>
      </c>
      <c r="L210" s="7">
        <v>1</v>
      </c>
      <c r="M210" s="7">
        <v>1</v>
      </c>
      <c r="N210" s="7">
        <v>1</v>
      </c>
      <c r="O210" s="7">
        <v>1</v>
      </c>
      <c r="P210" s="7">
        <v>1</v>
      </c>
      <c r="Q210" s="7">
        <v>1</v>
      </c>
      <c r="R210" s="7">
        <v>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18</v>
      </c>
      <c r="Y210" s="8">
        <v>1</v>
      </c>
      <c r="Z210" s="14" t="s">
        <v>1120</v>
      </c>
      <c r="AA210" s="7">
        <v>1</v>
      </c>
      <c r="AB210" s="7">
        <v>1</v>
      </c>
      <c r="AC210" s="7">
        <v>0</v>
      </c>
      <c r="AD210" s="7">
        <v>1</v>
      </c>
      <c r="AE210" s="7">
        <v>0</v>
      </c>
      <c r="AF210" s="7">
        <v>0</v>
      </c>
      <c r="AG210" s="7">
        <v>1</v>
      </c>
      <c r="AH210" s="7">
        <v>1</v>
      </c>
      <c r="AI210" s="7">
        <v>0</v>
      </c>
      <c r="AJ210" s="7">
        <v>1</v>
      </c>
      <c r="AK210" s="7">
        <v>1</v>
      </c>
      <c r="AL210" s="7">
        <v>0</v>
      </c>
      <c r="AM210" s="7">
        <v>0</v>
      </c>
      <c r="AN210" s="7">
        <v>1</v>
      </c>
      <c r="AO210" s="7">
        <v>1</v>
      </c>
      <c r="AP210" s="7">
        <v>0</v>
      </c>
      <c r="AQ210" s="7">
        <v>1</v>
      </c>
      <c r="AR210" s="7">
        <v>1</v>
      </c>
      <c r="AS210" s="7">
        <v>11</v>
      </c>
      <c r="AT210" s="8">
        <v>0.61111111111111116</v>
      </c>
      <c r="AU210" s="14" t="s">
        <v>1119</v>
      </c>
      <c r="AV210" s="7">
        <v>29</v>
      </c>
      <c r="AW210" s="8">
        <v>0.80555555555555558</v>
      </c>
    </row>
    <row r="211" spans="1:49" ht="15.75" customHeight="1" x14ac:dyDescent="0.25">
      <c r="A211" s="5" t="s">
        <v>13</v>
      </c>
      <c r="B211" s="7" t="s">
        <v>399</v>
      </c>
      <c r="C211" s="7" t="s">
        <v>1104</v>
      </c>
      <c r="D211" s="6" t="s">
        <v>1097</v>
      </c>
      <c r="E211" s="5" t="s">
        <v>505</v>
      </c>
      <c r="F211" s="7">
        <v>1</v>
      </c>
      <c r="G211" s="7">
        <v>1</v>
      </c>
      <c r="H211" s="7">
        <v>1</v>
      </c>
      <c r="I211" s="7">
        <v>1</v>
      </c>
      <c r="J211" s="7">
        <v>1</v>
      </c>
      <c r="K211" s="7">
        <v>1</v>
      </c>
      <c r="L211" s="7">
        <v>1</v>
      </c>
      <c r="M211" s="7">
        <v>1</v>
      </c>
      <c r="N211" s="7">
        <v>0</v>
      </c>
      <c r="O211" s="7">
        <v>1</v>
      </c>
      <c r="P211" s="7">
        <v>1</v>
      </c>
      <c r="Q211" s="7">
        <v>1</v>
      </c>
      <c r="R211" s="7">
        <v>1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12</v>
      </c>
      <c r="Y211" s="8">
        <v>0.66666666666666674</v>
      </c>
      <c r="Z211" s="14" t="s">
        <v>1119</v>
      </c>
      <c r="AA211" s="7">
        <v>0</v>
      </c>
      <c r="AB211" s="7">
        <v>1</v>
      </c>
      <c r="AC211" s="7">
        <v>0</v>
      </c>
      <c r="AD211" s="7">
        <v>1</v>
      </c>
      <c r="AE211" s="7">
        <v>0</v>
      </c>
      <c r="AF211" s="7">
        <v>0</v>
      </c>
      <c r="AG211" s="7">
        <v>1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1</v>
      </c>
      <c r="AO211" s="7">
        <v>1</v>
      </c>
      <c r="AP211" s="7">
        <v>0</v>
      </c>
      <c r="AQ211" s="7">
        <v>1</v>
      </c>
      <c r="AR211" s="7">
        <v>0</v>
      </c>
      <c r="AS211" s="7">
        <v>6</v>
      </c>
      <c r="AT211" s="8">
        <v>0.33333333333333337</v>
      </c>
      <c r="AU211" s="14" t="s">
        <v>1102</v>
      </c>
      <c r="AV211" s="7">
        <v>18</v>
      </c>
      <c r="AW211" s="8">
        <v>0.5</v>
      </c>
    </row>
    <row r="212" spans="1:49" ht="15.75" customHeight="1" x14ac:dyDescent="0.25">
      <c r="A212" s="5" t="s">
        <v>13</v>
      </c>
      <c r="B212" s="7" t="s">
        <v>399</v>
      </c>
      <c r="C212" s="7" t="s">
        <v>1103</v>
      </c>
      <c r="D212" s="6" t="s">
        <v>1097</v>
      </c>
      <c r="E212" s="5" t="s">
        <v>506</v>
      </c>
      <c r="F212" s="7">
        <v>1</v>
      </c>
      <c r="G212" s="7">
        <v>0</v>
      </c>
      <c r="H212" s="7">
        <v>0</v>
      </c>
      <c r="I212" s="7">
        <v>0</v>
      </c>
      <c r="J212" s="7">
        <v>0</v>
      </c>
      <c r="K212" s="7">
        <v>1</v>
      </c>
      <c r="L212" s="7">
        <v>0</v>
      </c>
      <c r="M212" s="7">
        <v>0</v>
      </c>
      <c r="N212" s="7">
        <v>0</v>
      </c>
      <c r="O212" s="7">
        <v>0</v>
      </c>
      <c r="P212" s="7">
        <v>1</v>
      </c>
      <c r="Q212" s="7">
        <v>1</v>
      </c>
      <c r="R212" s="7">
        <v>0</v>
      </c>
      <c r="S212" s="7">
        <v>1</v>
      </c>
      <c r="T212" s="7">
        <v>0</v>
      </c>
      <c r="U212" s="7">
        <v>0</v>
      </c>
      <c r="V212" s="7">
        <v>0</v>
      </c>
      <c r="W212" s="7">
        <v>0</v>
      </c>
      <c r="X212" s="7">
        <v>5</v>
      </c>
      <c r="Y212" s="8">
        <v>0.27777777777777779</v>
      </c>
      <c r="Z212" s="14" t="s">
        <v>1102</v>
      </c>
      <c r="AA212" s="7">
        <v>0</v>
      </c>
      <c r="AB212" s="7">
        <v>0</v>
      </c>
      <c r="AC212" s="7">
        <v>1</v>
      </c>
      <c r="AD212" s="7">
        <v>1</v>
      </c>
      <c r="AE212" s="7">
        <v>0</v>
      </c>
      <c r="AF212" s="7">
        <v>0</v>
      </c>
      <c r="AG212" s="7">
        <v>1</v>
      </c>
      <c r="AH212" s="7">
        <v>1</v>
      </c>
      <c r="AI212" s="7">
        <v>1</v>
      </c>
      <c r="AJ212" s="7">
        <v>1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1</v>
      </c>
      <c r="AR212" s="7">
        <v>0</v>
      </c>
      <c r="AS212" s="7">
        <v>7</v>
      </c>
      <c r="AT212" s="8">
        <v>0.38888888888888884</v>
      </c>
      <c r="AU212" s="14" t="s">
        <v>1102</v>
      </c>
      <c r="AV212" s="7">
        <v>12</v>
      </c>
      <c r="AW212" s="8">
        <v>0.33333333333333337</v>
      </c>
    </row>
    <row r="213" spans="1:49" ht="15.75" customHeight="1" x14ac:dyDescent="0.25">
      <c r="A213" s="5" t="s">
        <v>13</v>
      </c>
      <c r="B213" s="7" t="s">
        <v>399</v>
      </c>
      <c r="C213" s="7" t="s">
        <v>1103</v>
      </c>
      <c r="D213" s="6" t="s">
        <v>1097</v>
      </c>
      <c r="E213" s="5" t="s">
        <v>507</v>
      </c>
      <c r="F213" s="7">
        <v>0</v>
      </c>
      <c r="G213" s="7">
        <v>1</v>
      </c>
      <c r="H213" s="7">
        <v>1</v>
      </c>
      <c r="I213" s="7">
        <v>1</v>
      </c>
      <c r="J213" s="7">
        <v>1</v>
      </c>
      <c r="K213" s="7">
        <v>1</v>
      </c>
      <c r="L213" s="7">
        <v>1</v>
      </c>
      <c r="M213" s="7">
        <v>0</v>
      </c>
      <c r="N213" s="7">
        <v>0</v>
      </c>
      <c r="O213" s="7">
        <v>1</v>
      </c>
      <c r="P213" s="7">
        <v>0</v>
      </c>
      <c r="Q213" s="7">
        <v>1</v>
      </c>
      <c r="R213" s="7">
        <v>1</v>
      </c>
      <c r="S213" s="7">
        <v>1</v>
      </c>
      <c r="T213" s="7">
        <v>1</v>
      </c>
      <c r="U213" s="7">
        <v>1</v>
      </c>
      <c r="V213" s="7">
        <v>1</v>
      </c>
      <c r="W213" s="7">
        <v>1</v>
      </c>
      <c r="X213" s="7">
        <v>14</v>
      </c>
      <c r="Y213" s="8">
        <v>0.77777777777777768</v>
      </c>
      <c r="Z213" s="14" t="s">
        <v>1120</v>
      </c>
      <c r="AA213" s="7">
        <v>1</v>
      </c>
      <c r="AB213" s="7">
        <v>1</v>
      </c>
      <c r="AC213" s="7">
        <v>1</v>
      </c>
      <c r="AD213" s="7">
        <v>1</v>
      </c>
      <c r="AE213" s="7">
        <v>0</v>
      </c>
      <c r="AF213" s="7">
        <v>1</v>
      </c>
      <c r="AG213" s="7">
        <v>1</v>
      </c>
      <c r="AH213" s="7">
        <v>1</v>
      </c>
      <c r="AI213" s="7">
        <v>1</v>
      </c>
      <c r="AJ213" s="7">
        <v>1</v>
      </c>
      <c r="AK213" s="7">
        <v>1</v>
      </c>
      <c r="AL213" s="7">
        <v>1</v>
      </c>
      <c r="AM213" s="7">
        <v>0</v>
      </c>
      <c r="AN213" s="7">
        <v>0</v>
      </c>
      <c r="AO213" s="7">
        <v>1</v>
      </c>
      <c r="AP213" s="7">
        <v>0</v>
      </c>
      <c r="AQ213" s="7">
        <v>1</v>
      </c>
      <c r="AR213" s="7">
        <v>0</v>
      </c>
      <c r="AS213" s="7">
        <v>13</v>
      </c>
      <c r="AT213" s="8">
        <v>0.72222222222222232</v>
      </c>
      <c r="AU213" s="14" t="s">
        <v>1120</v>
      </c>
      <c r="AV213" s="7">
        <v>27</v>
      </c>
      <c r="AW213" s="8">
        <v>0.75</v>
      </c>
    </row>
    <row r="214" spans="1:49" ht="15.75" customHeight="1" x14ac:dyDescent="0.25">
      <c r="A214" s="5" t="s">
        <v>13</v>
      </c>
      <c r="B214" s="7" t="s">
        <v>399</v>
      </c>
      <c r="C214" s="6" t="s">
        <v>1099</v>
      </c>
      <c r="D214" s="6" t="s">
        <v>1100</v>
      </c>
      <c r="E214" s="5" t="s">
        <v>508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8">
        <v>0</v>
      </c>
      <c r="Z214" s="14" t="s">
        <v>1102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8">
        <v>0</v>
      </c>
      <c r="AU214" s="14" t="s">
        <v>1102</v>
      </c>
      <c r="AV214" s="7">
        <v>0</v>
      </c>
      <c r="AW214" s="8">
        <v>0</v>
      </c>
    </row>
    <row r="215" spans="1:49" ht="15.75" customHeight="1" x14ac:dyDescent="0.25">
      <c r="A215" s="5" t="s">
        <v>13</v>
      </c>
      <c r="B215" s="7" t="s">
        <v>399</v>
      </c>
      <c r="C215" s="7" t="s">
        <v>1103</v>
      </c>
      <c r="D215" s="6" t="s">
        <v>1097</v>
      </c>
      <c r="E215" s="5" t="s">
        <v>509</v>
      </c>
      <c r="F215" s="7">
        <v>0</v>
      </c>
      <c r="G215" s="7">
        <v>0</v>
      </c>
      <c r="H215" s="7">
        <v>0</v>
      </c>
      <c r="I215" s="7">
        <v>0</v>
      </c>
      <c r="J215" s="7">
        <v>1</v>
      </c>
      <c r="K215" s="7">
        <v>0</v>
      </c>
      <c r="L215" s="7">
        <v>0</v>
      </c>
      <c r="M215" s="7">
        <v>0</v>
      </c>
      <c r="N215" s="7">
        <v>1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1</v>
      </c>
      <c r="V215" s="7">
        <v>0</v>
      </c>
      <c r="W215" s="7">
        <v>0</v>
      </c>
      <c r="X215" s="7">
        <v>3</v>
      </c>
      <c r="Y215" s="8">
        <v>0.16666666666666669</v>
      </c>
      <c r="Z215" s="14" t="s">
        <v>1102</v>
      </c>
      <c r="AA215" s="7">
        <v>0</v>
      </c>
      <c r="AB215" s="7">
        <v>0</v>
      </c>
      <c r="AC215" s="7">
        <v>0</v>
      </c>
      <c r="AD215" s="7">
        <v>1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1</v>
      </c>
      <c r="AK215" s="7">
        <v>0</v>
      </c>
      <c r="AL215" s="7">
        <v>0</v>
      </c>
      <c r="AM215" s="7">
        <v>1</v>
      </c>
      <c r="AN215" s="7">
        <v>0</v>
      </c>
      <c r="AO215" s="7">
        <v>1</v>
      </c>
      <c r="AP215" s="7">
        <v>1</v>
      </c>
      <c r="AQ215" s="7">
        <v>0</v>
      </c>
      <c r="AR215" s="7">
        <v>0</v>
      </c>
      <c r="AS215" s="7">
        <v>5</v>
      </c>
      <c r="AT215" s="8">
        <v>0.27777777777777779</v>
      </c>
      <c r="AU215" s="14" t="s">
        <v>1102</v>
      </c>
      <c r="AV215" s="7">
        <v>8</v>
      </c>
      <c r="AW215" s="8">
        <v>0.22222222222222221</v>
      </c>
    </row>
    <row r="216" spans="1:49" ht="15.75" customHeight="1" x14ac:dyDescent="0.25">
      <c r="A216" s="5" t="s">
        <v>13</v>
      </c>
      <c r="B216" s="7" t="s">
        <v>399</v>
      </c>
      <c r="C216" s="7" t="s">
        <v>1096</v>
      </c>
      <c r="D216" s="6" t="s">
        <v>1097</v>
      </c>
      <c r="E216" s="5" t="s">
        <v>510</v>
      </c>
      <c r="F216" s="7">
        <v>1</v>
      </c>
      <c r="G216" s="7">
        <v>1</v>
      </c>
      <c r="H216" s="7">
        <v>1</v>
      </c>
      <c r="I216" s="7">
        <v>1</v>
      </c>
      <c r="J216" s="7">
        <v>1</v>
      </c>
      <c r="K216" s="7">
        <v>1</v>
      </c>
      <c r="L216" s="7">
        <v>1</v>
      </c>
      <c r="M216" s="7">
        <v>1</v>
      </c>
      <c r="N216" s="7">
        <v>1</v>
      </c>
      <c r="O216" s="7">
        <v>1</v>
      </c>
      <c r="P216" s="7">
        <v>1</v>
      </c>
      <c r="Q216" s="7">
        <v>1</v>
      </c>
      <c r="R216" s="7">
        <v>1</v>
      </c>
      <c r="S216" s="7">
        <v>1</v>
      </c>
      <c r="T216" s="7">
        <v>1</v>
      </c>
      <c r="U216" s="7">
        <v>1</v>
      </c>
      <c r="V216" s="7">
        <v>1</v>
      </c>
      <c r="W216" s="7">
        <v>1</v>
      </c>
      <c r="X216" s="7">
        <v>18</v>
      </c>
      <c r="Y216" s="8">
        <v>1</v>
      </c>
      <c r="Z216" s="14" t="s">
        <v>1120</v>
      </c>
      <c r="AA216" s="7">
        <v>1</v>
      </c>
      <c r="AB216" s="7">
        <v>1</v>
      </c>
      <c r="AC216" s="7">
        <v>1</v>
      </c>
      <c r="AD216" s="7">
        <v>1</v>
      </c>
      <c r="AE216" s="7">
        <v>0</v>
      </c>
      <c r="AF216" s="7">
        <v>1</v>
      </c>
      <c r="AG216" s="7">
        <v>1</v>
      </c>
      <c r="AH216" s="7">
        <v>1</v>
      </c>
      <c r="AI216" s="7">
        <v>0</v>
      </c>
      <c r="AJ216" s="7">
        <v>1</v>
      </c>
      <c r="AK216" s="7">
        <v>1</v>
      </c>
      <c r="AL216" s="7">
        <v>0</v>
      </c>
      <c r="AM216" s="7">
        <v>0</v>
      </c>
      <c r="AN216" s="7">
        <v>1</v>
      </c>
      <c r="AO216" s="7">
        <v>1</v>
      </c>
      <c r="AP216" s="7">
        <v>0</v>
      </c>
      <c r="AQ216" s="7">
        <v>1</v>
      </c>
      <c r="AR216" s="7">
        <v>1</v>
      </c>
      <c r="AS216" s="7">
        <v>13</v>
      </c>
      <c r="AT216" s="8">
        <v>0.72222222222222232</v>
      </c>
      <c r="AU216" s="14" t="s">
        <v>1120</v>
      </c>
      <c r="AV216" s="7">
        <v>31</v>
      </c>
      <c r="AW216" s="8">
        <v>0.86111111111111116</v>
      </c>
    </row>
    <row r="217" spans="1:49" ht="15.75" customHeight="1" x14ac:dyDescent="0.25">
      <c r="A217" s="5" t="s">
        <v>13</v>
      </c>
      <c r="B217" s="7" t="s">
        <v>399</v>
      </c>
      <c r="C217" s="7" t="s">
        <v>1103</v>
      </c>
      <c r="D217" s="6" t="s">
        <v>1097</v>
      </c>
      <c r="E217" s="5" t="s">
        <v>511</v>
      </c>
      <c r="F217" s="7">
        <v>1</v>
      </c>
      <c r="G217" s="7">
        <v>1</v>
      </c>
      <c r="H217" s="7">
        <v>1</v>
      </c>
      <c r="I217" s="7">
        <v>1</v>
      </c>
      <c r="J217" s="7">
        <v>1</v>
      </c>
      <c r="K217" s="7">
        <v>1</v>
      </c>
      <c r="L217" s="7">
        <v>1</v>
      </c>
      <c r="M217" s="7">
        <v>0</v>
      </c>
      <c r="N217" s="7">
        <v>0</v>
      </c>
      <c r="O217" s="7">
        <v>1</v>
      </c>
      <c r="P217" s="7">
        <v>1</v>
      </c>
      <c r="Q217" s="7">
        <v>0</v>
      </c>
      <c r="R217" s="7">
        <v>0</v>
      </c>
      <c r="S217" s="7">
        <v>1</v>
      </c>
      <c r="T217" s="7">
        <v>0</v>
      </c>
      <c r="U217" s="7">
        <v>1</v>
      </c>
      <c r="V217" s="7">
        <v>1</v>
      </c>
      <c r="W217" s="7">
        <v>0</v>
      </c>
      <c r="X217" s="7">
        <v>12</v>
      </c>
      <c r="Y217" s="8">
        <v>0.66666666666666674</v>
      </c>
      <c r="Z217" s="14" t="s">
        <v>1119</v>
      </c>
      <c r="AA217" s="7">
        <v>1</v>
      </c>
      <c r="AB217" s="7">
        <v>1</v>
      </c>
      <c r="AC217" s="7">
        <v>0</v>
      </c>
      <c r="AD217" s="7">
        <v>1</v>
      </c>
      <c r="AE217" s="7">
        <v>0</v>
      </c>
      <c r="AF217" s="7">
        <v>0</v>
      </c>
      <c r="AG217" s="7">
        <v>1</v>
      </c>
      <c r="AH217" s="7">
        <v>0</v>
      </c>
      <c r="AI217" s="7">
        <v>0</v>
      </c>
      <c r="AJ217" s="7">
        <v>1</v>
      </c>
      <c r="AK217" s="7">
        <v>1</v>
      </c>
      <c r="AL217" s="7">
        <v>1</v>
      </c>
      <c r="AM217" s="7">
        <v>0</v>
      </c>
      <c r="AN217" s="7">
        <v>0</v>
      </c>
      <c r="AO217" s="7">
        <v>1</v>
      </c>
      <c r="AP217" s="7">
        <v>0</v>
      </c>
      <c r="AQ217" s="7">
        <v>1</v>
      </c>
      <c r="AR217" s="7">
        <v>1</v>
      </c>
      <c r="AS217" s="7">
        <v>10</v>
      </c>
      <c r="AT217" s="8">
        <v>0.55555555555555558</v>
      </c>
      <c r="AU217" s="14" t="s">
        <v>1119</v>
      </c>
      <c r="AV217" s="7">
        <v>22</v>
      </c>
      <c r="AW217" s="8">
        <v>0.61111111111111116</v>
      </c>
    </row>
    <row r="218" spans="1:49" ht="15.75" customHeight="1" x14ac:dyDescent="0.25">
      <c r="A218" s="5" t="s">
        <v>13</v>
      </c>
      <c r="B218" s="7" t="s">
        <v>399</v>
      </c>
      <c r="C218" s="7" t="s">
        <v>1103</v>
      </c>
      <c r="D218" s="6" t="s">
        <v>1097</v>
      </c>
      <c r="E218" s="5" t="s">
        <v>512</v>
      </c>
      <c r="F218" s="7">
        <v>1</v>
      </c>
      <c r="G218" s="7">
        <v>1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>
        <v>0</v>
      </c>
      <c r="N218" s="7">
        <v>0</v>
      </c>
      <c r="O218" s="7">
        <v>1</v>
      </c>
      <c r="P218" s="7">
        <v>1</v>
      </c>
      <c r="Q218" s="7">
        <v>1</v>
      </c>
      <c r="R218" s="7">
        <v>1</v>
      </c>
      <c r="S218" s="7">
        <v>1</v>
      </c>
      <c r="T218" s="7">
        <v>1</v>
      </c>
      <c r="U218" s="7">
        <v>1</v>
      </c>
      <c r="V218" s="7">
        <v>1</v>
      </c>
      <c r="W218" s="7">
        <v>1</v>
      </c>
      <c r="X218" s="7">
        <v>16</v>
      </c>
      <c r="Y218" s="8">
        <v>0.88888888888888884</v>
      </c>
      <c r="Z218" s="14" t="s">
        <v>1120</v>
      </c>
      <c r="AA218" s="7">
        <v>1</v>
      </c>
      <c r="AB218" s="7">
        <v>1</v>
      </c>
      <c r="AC218" s="7">
        <v>0</v>
      </c>
      <c r="AD218" s="7">
        <v>1</v>
      </c>
      <c r="AE218" s="7">
        <v>1</v>
      </c>
      <c r="AF218" s="7">
        <v>0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0</v>
      </c>
      <c r="AM218" s="7">
        <v>0</v>
      </c>
      <c r="AN218" s="7">
        <v>1</v>
      </c>
      <c r="AO218" s="7">
        <v>1</v>
      </c>
      <c r="AP218" s="7">
        <v>1</v>
      </c>
      <c r="AQ218" s="7">
        <v>1</v>
      </c>
      <c r="AR218" s="7">
        <v>1</v>
      </c>
      <c r="AS218" s="7">
        <v>14</v>
      </c>
      <c r="AT218" s="8">
        <v>0.77777777777777768</v>
      </c>
      <c r="AU218" s="14" t="s">
        <v>1120</v>
      </c>
      <c r="AV218" s="7">
        <v>30</v>
      </c>
      <c r="AW218" s="8">
        <v>0.83333333333333326</v>
      </c>
    </row>
    <row r="219" spans="1:49" ht="15.75" customHeight="1" x14ac:dyDescent="0.25">
      <c r="A219" s="5" t="s">
        <v>13</v>
      </c>
      <c r="B219" s="7" t="s">
        <v>399</v>
      </c>
      <c r="C219" s="7" t="s">
        <v>1103</v>
      </c>
      <c r="D219" s="6" t="s">
        <v>1097</v>
      </c>
      <c r="E219" s="5" t="s">
        <v>513</v>
      </c>
      <c r="F219" s="7">
        <v>0</v>
      </c>
      <c r="G219" s="7">
        <v>1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1</v>
      </c>
      <c r="N219" s="7">
        <v>0</v>
      </c>
      <c r="O219" s="7">
        <v>1</v>
      </c>
      <c r="P219" s="7">
        <v>1</v>
      </c>
      <c r="Q219" s="7">
        <v>0</v>
      </c>
      <c r="R219" s="7">
        <v>1</v>
      </c>
      <c r="S219" s="7">
        <v>0</v>
      </c>
      <c r="T219" s="7">
        <v>0</v>
      </c>
      <c r="U219" s="7">
        <v>1</v>
      </c>
      <c r="V219" s="7">
        <v>0</v>
      </c>
      <c r="W219" s="7">
        <v>0</v>
      </c>
      <c r="X219" s="7">
        <v>11</v>
      </c>
      <c r="Y219" s="8">
        <v>0.61111111111111116</v>
      </c>
      <c r="Z219" s="14" t="s">
        <v>1119</v>
      </c>
      <c r="AA219" s="7">
        <v>1</v>
      </c>
      <c r="AB219" s="7">
        <v>1</v>
      </c>
      <c r="AC219" s="7">
        <v>1</v>
      </c>
      <c r="AD219" s="7">
        <v>0</v>
      </c>
      <c r="AE219" s="7">
        <v>0</v>
      </c>
      <c r="AF219" s="7">
        <v>0</v>
      </c>
      <c r="AG219" s="7">
        <v>0</v>
      </c>
      <c r="AH219" s="7">
        <v>1</v>
      </c>
      <c r="AI219" s="7">
        <v>0</v>
      </c>
      <c r="AJ219" s="7">
        <v>1</v>
      </c>
      <c r="AK219" s="7">
        <v>1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6</v>
      </c>
      <c r="AT219" s="8">
        <v>0.33333333333333337</v>
      </c>
      <c r="AU219" s="14" t="s">
        <v>1102</v>
      </c>
      <c r="AV219" s="7">
        <v>17</v>
      </c>
      <c r="AW219" s="8">
        <v>0.47222222222222221</v>
      </c>
    </row>
    <row r="220" spans="1:49" ht="15.75" customHeight="1" x14ac:dyDescent="0.25">
      <c r="A220" s="5" t="s">
        <v>13</v>
      </c>
      <c r="B220" s="7" t="s">
        <v>399</v>
      </c>
      <c r="C220" s="7" t="s">
        <v>1104</v>
      </c>
      <c r="D220" s="6" t="s">
        <v>1097</v>
      </c>
      <c r="E220" s="5" t="s">
        <v>514</v>
      </c>
      <c r="F220" s="7">
        <v>1</v>
      </c>
      <c r="G220" s="7">
        <v>1</v>
      </c>
      <c r="H220" s="7">
        <v>1</v>
      </c>
      <c r="I220" s="7">
        <v>1</v>
      </c>
      <c r="J220" s="7">
        <v>1</v>
      </c>
      <c r="K220" s="7">
        <v>1</v>
      </c>
      <c r="L220" s="7">
        <v>1</v>
      </c>
      <c r="M220" s="7">
        <v>1</v>
      </c>
      <c r="N220" s="7">
        <v>0</v>
      </c>
      <c r="O220" s="7">
        <v>1</v>
      </c>
      <c r="P220" s="7">
        <v>1</v>
      </c>
      <c r="Q220" s="7">
        <v>0</v>
      </c>
      <c r="R220" s="7">
        <v>1</v>
      </c>
      <c r="S220" s="7">
        <v>0</v>
      </c>
      <c r="T220" s="7">
        <v>1</v>
      </c>
      <c r="U220" s="7">
        <v>0</v>
      </c>
      <c r="V220" s="7">
        <v>1</v>
      </c>
      <c r="W220" s="7">
        <v>1</v>
      </c>
      <c r="X220" s="7">
        <v>14</v>
      </c>
      <c r="Y220" s="8">
        <v>0.77777777777777768</v>
      </c>
      <c r="Z220" s="14" t="s">
        <v>1120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7">
        <v>1</v>
      </c>
      <c r="AK220" s="7">
        <v>1</v>
      </c>
      <c r="AL220" s="7">
        <v>1</v>
      </c>
      <c r="AM220" s="7">
        <v>1</v>
      </c>
      <c r="AN220" s="7">
        <v>0</v>
      </c>
      <c r="AO220" s="7">
        <v>1</v>
      </c>
      <c r="AP220" s="7">
        <v>1</v>
      </c>
      <c r="AQ220" s="7">
        <v>1</v>
      </c>
      <c r="AR220" s="7">
        <v>0</v>
      </c>
      <c r="AS220" s="7">
        <v>16</v>
      </c>
      <c r="AT220" s="8">
        <v>0.88888888888888884</v>
      </c>
      <c r="AU220" s="14" t="s">
        <v>1120</v>
      </c>
      <c r="AV220" s="7">
        <v>30</v>
      </c>
      <c r="AW220" s="8">
        <v>0.83333333333333326</v>
      </c>
    </row>
    <row r="221" spans="1:49" ht="15.75" customHeight="1" x14ac:dyDescent="0.25">
      <c r="A221" s="5" t="s">
        <v>13</v>
      </c>
      <c r="B221" s="7" t="s">
        <v>442</v>
      </c>
      <c r="C221" s="7" t="s">
        <v>1103</v>
      </c>
      <c r="D221" s="6" t="s">
        <v>1097</v>
      </c>
      <c r="E221" s="5" t="s">
        <v>515</v>
      </c>
      <c r="F221" s="7">
        <v>1</v>
      </c>
      <c r="G221" s="7">
        <v>0</v>
      </c>
      <c r="H221" s="7">
        <v>1</v>
      </c>
      <c r="I221" s="7">
        <v>1</v>
      </c>
      <c r="J221" s="7">
        <v>0</v>
      </c>
      <c r="K221" s="7">
        <v>1</v>
      </c>
      <c r="L221" s="7">
        <v>1</v>
      </c>
      <c r="M221" s="7">
        <v>1</v>
      </c>
      <c r="N221" s="7">
        <v>0</v>
      </c>
      <c r="O221" s="7">
        <v>1</v>
      </c>
      <c r="P221" s="7">
        <v>0</v>
      </c>
      <c r="Q221" s="7">
        <v>1</v>
      </c>
      <c r="R221" s="7">
        <v>1</v>
      </c>
      <c r="S221" s="7">
        <v>0</v>
      </c>
      <c r="T221" s="7">
        <v>1</v>
      </c>
      <c r="U221" s="7">
        <v>1</v>
      </c>
      <c r="V221" s="7">
        <v>1</v>
      </c>
      <c r="W221" s="7">
        <v>1</v>
      </c>
      <c r="X221" s="7">
        <v>13</v>
      </c>
      <c r="Y221" s="8">
        <v>0.72222222222222232</v>
      </c>
      <c r="Z221" s="14" t="s">
        <v>1120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1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1</v>
      </c>
      <c r="AP221" s="7">
        <v>0</v>
      </c>
      <c r="AQ221" s="7">
        <v>1</v>
      </c>
      <c r="AR221" s="7">
        <v>1</v>
      </c>
      <c r="AS221" s="7">
        <v>4</v>
      </c>
      <c r="AT221" s="8">
        <v>0.22222222222222221</v>
      </c>
      <c r="AU221" s="14" t="s">
        <v>1102</v>
      </c>
      <c r="AV221" s="7">
        <v>17</v>
      </c>
      <c r="AW221" s="8">
        <v>0.47222222222222221</v>
      </c>
    </row>
    <row r="222" spans="1:49" ht="15.75" customHeight="1" x14ac:dyDescent="0.25">
      <c r="A222" s="5" t="s">
        <v>13</v>
      </c>
      <c r="B222" s="7" t="s">
        <v>442</v>
      </c>
      <c r="C222" s="7" t="s">
        <v>1105</v>
      </c>
      <c r="D222" s="6" t="s">
        <v>1097</v>
      </c>
      <c r="E222" s="5" t="s">
        <v>516</v>
      </c>
      <c r="F222" s="7">
        <v>1</v>
      </c>
      <c r="G222" s="7">
        <v>1</v>
      </c>
      <c r="H222" s="7">
        <v>1</v>
      </c>
      <c r="I222" s="7">
        <v>1</v>
      </c>
      <c r="J222" s="7">
        <v>0</v>
      </c>
      <c r="K222" s="7">
        <v>1</v>
      </c>
      <c r="L222" s="7">
        <v>1</v>
      </c>
      <c r="M222" s="7">
        <v>0</v>
      </c>
      <c r="N222" s="7">
        <v>0</v>
      </c>
      <c r="O222" s="7">
        <v>1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7</v>
      </c>
      <c r="Y222" s="8">
        <v>0.38888888888888884</v>
      </c>
      <c r="Z222" s="14" t="s">
        <v>1102</v>
      </c>
      <c r="AA222" s="7">
        <v>1</v>
      </c>
      <c r="AB222" s="7">
        <v>1</v>
      </c>
      <c r="AC222" s="7">
        <v>0</v>
      </c>
      <c r="AD222" s="7">
        <v>0</v>
      </c>
      <c r="AE222" s="7">
        <v>1</v>
      </c>
      <c r="AF222" s="7">
        <v>0</v>
      </c>
      <c r="AG222" s="7">
        <v>1</v>
      </c>
      <c r="AH222" s="7">
        <v>0</v>
      </c>
      <c r="AI222" s="7">
        <v>1</v>
      </c>
      <c r="AJ222" s="7">
        <v>1</v>
      </c>
      <c r="AK222" s="7">
        <v>1</v>
      </c>
      <c r="AL222" s="7">
        <v>0</v>
      </c>
      <c r="AM222" s="7">
        <v>0</v>
      </c>
      <c r="AN222" s="7">
        <v>0</v>
      </c>
      <c r="AO222" s="7">
        <v>1</v>
      </c>
      <c r="AP222" s="7">
        <v>0</v>
      </c>
      <c r="AQ222" s="7">
        <v>1</v>
      </c>
      <c r="AR222" s="7">
        <v>1</v>
      </c>
      <c r="AS222" s="7">
        <v>10</v>
      </c>
      <c r="AT222" s="8">
        <v>0.55555555555555558</v>
      </c>
      <c r="AU222" s="14" t="s">
        <v>1119</v>
      </c>
      <c r="AV222" s="7">
        <v>17</v>
      </c>
      <c r="AW222" s="8">
        <v>0.47222222222222221</v>
      </c>
    </row>
    <row r="223" spans="1:49" ht="15.75" customHeight="1" x14ac:dyDescent="0.25">
      <c r="A223" s="5" t="s">
        <v>13</v>
      </c>
      <c r="B223" s="7" t="s">
        <v>442</v>
      </c>
      <c r="C223" s="7" t="s">
        <v>1103</v>
      </c>
      <c r="D223" s="6" t="s">
        <v>1097</v>
      </c>
      <c r="E223" s="5" t="s">
        <v>517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7">
        <v>1</v>
      </c>
      <c r="L223" s="7">
        <v>0</v>
      </c>
      <c r="M223" s="7">
        <v>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1</v>
      </c>
      <c r="U223" s="7">
        <v>0</v>
      </c>
      <c r="V223" s="7">
        <v>0</v>
      </c>
      <c r="W223" s="7">
        <v>0</v>
      </c>
      <c r="X223" s="7">
        <v>5</v>
      </c>
      <c r="Y223" s="8">
        <v>0.27777777777777779</v>
      </c>
      <c r="Z223" s="14" t="s">
        <v>1102</v>
      </c>
      <c r="AA223" s="7">
        <v>1</v>
      </c>
      <c r="AB223" s="7">
        <v>1</v>
      </c>
      <c r="AC223" s="7">
        <v>0</v>
      </c>
      <c r="AD223" s="7">
        <v>1</v>
      </c>
      <c r="AE223" s="7">
        <v>0</v>
      </c>
      <c r="AF223" s="7">
        <v>0</v>
      </c>
      <c r="AG223" s="7">
        <v>0</v>
      </c>
      <c r="AH223" s="7">
        <v>0</v>
      </c>
      <c r="AI223" s="7">
        <v>1</v>
      </c>
      <c r="AJ223" s="7">
        <v>0</v>
      </c>
      <c r="AK223" s="7">
        <v>1</v>
      </c>
      <c r="AL223" s="7">
        <v>0</v>
      </c>
      <c r="AM223" s="7">
        <v>0</v>
      </c>
      <c r="AN223" s="7">
        <v>1</v>
      </c>
      <c r="AO223" s="7">
        <v>0</v>
      </c>
      <c r="AP223" s="7">
        <v>0</v>
      </c>
      <c r="AQ223" s="7">
        <v>1</v>
      </c>
      <c r="AR223" s="7">
        <v>1</v>
      </c>
      <c r="AS223" s="7">
        <v>8</v>
      </c>
      <c r="AT223" s="8">
        <v>0.44444444444444442</v>
      </c>
      <c r="AU223" s="14" t="s">
        <v>1119</v>
      </c>
      <c r="AV223" s="7">
        <v>13</v>
      </c>
      <c r="AW223" s="8">
        <v>0.36111111111111116</v>
      </c>
    </row>
    <row r="224" spans="1:49" ht="15.75" customHeight="1" x14ac:dyDescent="0.25">
      <c r="A224" s="5" t="s">
        <v>13</v>
      </c>
      <c r="B224" s="7" t="s">
        <v>442</v>
      </c>
      <c r="C224" s="7" t="s">
        <v>1103</v>
      </c>
      <c r="D224" s="6" t="s">
        <v>1097</v>
      </c>
      <c r="E224" s="5" t="s">
        <v>518</v>
      </c>
      <c r="F224" s="7">
        <v>0</v>
      </c>
      <c r="G224" s="7">
        <v>1</v>
      </c>
      <c r="H224" s="7">
        <v>1</v>
      </c>
      <c r="I224" s="7">
        <v>1</v>
      </c>
      <c r="J224" s="7">
        <v>0</v>
      </c>
      <c r="K224" s="7">
        <v>1</v>
      </c>
      <c r="L224" s="7">
        <v>0</v>
      </c>
      <c r="M224" s="7">
        <v>1</v>
      </c>
      <c r="N224" s="7">
        <v>0</v>
      </c>
      <c r="O224" s="7">
        <v>1</v>
      </c>
      <c r="P224" s="7">
        <v>1</v>
      </c>
      <c r="Q224" s="7">
        <v>0</v>
      </c>
      <c r="R224" s="7">
        <v>1</v>
      </c>
      <c r="S224" s="7">
        <v>1</v>
      </c>
      <c r="T224" s="7">
        <v>0</v>
      </c>
      <c r="U224" s="7">
        <v>0</v>
      </c>
      <c r="V224" s="7">
        <v>1</v>
      </c>
      <c r="W224" s="7">
        <v>0</v>
      </c>
      <c r="X224" s="7">
        <v>10</v>
      </c>
      <c r="Y224" s="8">
        <v>0.55555555555555558</v>
      </c>
      <c r="Z224" s="14" t="s">
        <v>1119</v>
      </c>
      <c r="AA224" s="7">
        <v>1</v>
      </c>
      <c r="AB224" s="7">
        <v>1</v>
      </c>
      <c r="AC224" s="7">
        <v>0</v>
      </c>
      <c r="AD224" s="7">
        <v>0</v>
      </c>
      <c r="AE224" s="7">
        <v>1</v>
      </c>
      <c r="AF224" s="7">
        <v>0</v>
      </c>
      <c r="AG224" s="7">
        <v>1</v>
      </c>
      <c r="AH224" s="7">
        <v>0</v>
      </c>
      <c r="AI224" s="7">
        <v>1</v>
      </c>
      <c r="AJ224" s="7">
        <v>1</v>
      </c>
      <c r="AK224" s="7">
        <v>1</v>
      </c>
      <c r="AL224" s="7">
        <v>0</v>
      </c>
      <c r="AM224" s="7">
        <v>0</v>
      </c>
      <c r="AN224" s="7">
        <v>0</v>
      </c>
      <c r="AO224" s="7">
        <v>0</v>
      </c>
      <c r="AP224" s="7">
        <v>1</v>
      </c>
      <c r="AQ224" s="7">
        <v>1</v>
      </c>
      <c r="AR224" s="7">
        <v>1</v>
      </c>
      <c r="AS224" s="7">
        <v>10</v>
      </c>
      <c r="AT224" s="8">
        <v>0.55555555555555558</v>
      </c>
      <c r="AU224" s="14" t="s">
        <v>1119</v>
      </c>
      <c r="AV224" s="7">
        <v>20</v>
      </c>
      <c r="AW224" s="8">
        <v>0.55555555555555558</v>
      </c>
    </row>
    <row r="225" spans="1:49" ht="15.75" customHeight="1" x14ac:dyDescent="0.25">
      <c r="A225" s="5" t="s">
        <v>13</v>
      </c>
      <c r="B225" s="7" t="s">
        <v>442</v>
      </c>
      <c r="C225" s="7" t="s">
        <v>1103</v>
      </c>
      <c r="D225" s="6" t="s">
        <v>1097</v>
      </c>
      <c r="E225" s="5" t="s">
        <v>519</v>
      </c>
      <c r="F225" s="7">
        <v>1</v>
      </c>
      <c r="G225" s="7">
        <v>1</v>
      </c>
      <c r="H225" s="7">
        <v>1</v>
      </c>
      <c r="I225" s="7">
        <v>1</v>
      </c>
      <c r="J225" s="7">
        <v>0</v>
      </c>
      <c r="K225" s="7">
        <v>1</v>
      </c>
      <c r="L225" s="7">
        <v>0</v>
      </c>
      <c r="M225" s="7">
        <v>1</v>
      </c>
      <c r="N225" s="7">
        <v>0</v>
      </c>
      <c r="O225" s="7">
        <v>1</v>
      </c>
      <c r="P225" s="7">
        <v>1</v>
      </c>
      <c r="Q225" s="7">
        <v>0</v>
      </c>
      <c r="R225" s="7">
        <v>0</v>
      </c>
      <c r="S225" s="7">
        <v>0</v>
      </c>
      <c r="T225" s="7">
        <v>1</v>
      </c>
      <c r="U225" s="7">
        <v>0</v>
      </c>
      <c r="V225" s="7">
        <v>1</v>
      </c>
      <c r="W225" s="7">
        <v>1</v>
      </c>
      <c r="X225" s="7">
        <v>11</v>
      </c>
      <c r="Y225" s="8">
        <v>0.61111111111111116</v>
      </c>
      <c r="Z225" s="14" t="s">
        <v>1119</v>
      </c>
      <c r="AA225" s="7">
        <v>0</v>
      </c>
      <c r="AB225" s="7">
        <v>1</v>
      </c>
      <c r="AC225" s="7">
        <v>1</v>
      </c>
      <c r="AD225" s="7">
        <v>1</v>
      </c>
      <c r="AE225" s="7">
        <v>1</v>
      </c>
      <c r="AF225" s="7">
        <v>0</v>
      </c>
      <c r="AG225" s="7">
        <v>1</v>
      </c>
      <c r="AH225" s="7">
        <v>0</v>
      </c>
      <c r="AI225" s="7">
        <v>0</v>
      </c>
      <c r="AJ225" s="7">
        <v>1</v>
      </c>
      <c r="AK225" s="7">
        <v>1</v>
      </c>
      <c r="AL225" s="7">
        <v>1</v>
      </c>
      <c r="AM225" s="7">
        <v>1</v>
      </c>
      <c r="AN225" s="7">
        <v>0</v>
      </c>
      <c r="AO225" s="7">
        <v>1</v>
      </c>
      <c r="AP225" s="7">
        <v>1</v>
      </c>
      <c r="AQ225" s="7">
        <v>1</v>
      </c>
      <c r="AR225" s="7">
        <v>1</v>
      </c>
      <c r="AS225" s="7">
        <v>13</v>
      </c>
      <c r="AT225" s="8">
        <v>0.72222222222222232</v>
      </c>
      <c r="AU225" s="14" t="s">
        <v>1120</v>
      </c>
      <c r="AV225" s="7">
        <v>24</v>
      </c>
      <c r="AW225" s="8">
        <v>0.66666666666666674</v>
      </c>
    </row>
    <row r="226" spans="1:49" ht="15.75" customHeight="1" x14ac:dyDescent="0.25">
      <c r="A226" s="5" t="s">
        <v>13</v>
      </c>
      <c r="B226" s="7" t="s">
        <v>442</v>
      </c>
      <c r="C226" s="7" t="s">
        <v>1096</v>
      </c>
      <c r="D226" s="6" t="s">
        <v>1097</v>
      </c>
      <c r="E226" s="5" t="s">
        <v>520</v>
      </c>
      <c r="F226" s="7">
        <v>1</v>
      </c>
      <c r="G226" s="7">
        <v>1</v>
      </c>
      <c r="H226" s="7">
        <v>1</v>
      </c>
      <c r="I226" s="7">
        <v>1</v>
      </c>
      <c r="J226" s="7">
        <v>0</v>
      </c>
      <c r="K226" s="7">
        <v>1</v>
      </c>
      <c r="L226" s="7">
        <v>0</v>
      </c>
      <c r="M226" s="7">
        <v>0</v>
      </c>
      <c r="N226" s="7">
        <v>0</v>
      </c>
      <c r="O226" s="7">
        <v>0</v>
      </c>
      <c r="P226" s="7">
        <v>1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6</v>
      </c>
      <c r="Y226" s="8">
        <v>0.33333333333333337</v>
      </c>
      <c r="Z226" s="14" t="s">
        <v>1102</v>
      </c>
      <c r="AA226" s="7">
        <v>1</v>
      </c>
      <c r="AB226" s="7">
        <v>1</v>
      </c>
      <c r="AC226" s="7">
        <v>0</v>
      </c>
      <c r="AD226" s="7">
        <v>0</v>
      </c>
      <c r="AE226" s="7">
        <v>1</v>
      </c>
      <c r="AF226" s="7">
        <v>0</v>
      </c>
      <c r="AG226" s="7">
        <v>1</v>
      </c>
      <c r="AH226" s="7">
        <v>0</v>
      </c>
      <c r="AI226" s="7">
        <v>1</v>
      </c>
      <c r="AJ226" s="7">
        <v>1</v>
      </c>
      <c r="AK226" s="7">
        <v>1</v>
      </c>
      <c r="AL226" s="7">
        <v>0</v>
      </c>
      <c r="AM226" s="7">
        <v>0</v>
      </c>
      <c r="AN226" s="7">
        <v>0</v>
      </c>
      <c r="AO226" s="7">
        <v>1</v>
      </c>
      <c r="AP226" s="7">
        <v>0</v>
      </c>
      <c r="AQ226" s="7">
        <v>1</v>
      </c>
      <c r="AR226" s="7">
        <v>1</v>
      </c>
      <c r="AS226" s="7">
        <v>10</v>
      </c>
      <c r="AT226" s="8">
        <v>0.55555555555555558</v>
      </c>
      <c r="AU226" s="14" t="s">
        <v>1119</v>
      </c>
      <c r="AV226" s="7">
        <v>16</v>
      </c>
      <c r="AW226" s="8">
        <v>0.44444444444444442</v>
      </c>
    </row>
    <row r="227" spans="1:49" ht="15.75" customHeight="1" x14ac:dyDescent="0.25">
      <c r="A227" s="5" t="s">
        <v>13</v>
      </c>
      <c r="B227" s="7" t="s">
        <v>442</v>
      </c>
      <c r="C227" s="7" t="s">
        <v>1103</v>
      </c>
      <c r="D227" s="6" t="s">
        <v>1097</v>
      </c>
      <c r="E227" s="5" t="s">
        <v>521</v>
      </c>
      <c r="F227" s="7">
        <v>1</v>
      </c>
      <c r="G227" s="7">
        <v>1</v>
      </c>
      <c r="H227" s="7">
        <v>1</v>
      </c>
      <c r="I227" s="7">
        <v>1</v>
      </c>
      <c r="J227" s="7">
        <v>1</v>
      </c>
      <c r="K227" s="7">
        <v>1</v>
      </c>
      <c r="L227" s="7">
        <v>1</v>
      </c>
      <c r="M227" s="7">
        <v>1</v>
      </c>
      <c r="N227" s="7">
        <v>0</v>
      </c>
      <c r="O227" s="7">
        <v>1</v>
      </c>
      <c r="P227" s="7">
        <v>1</v>
      </c>
      <c r="Q227" s="7">
        <v>1</v>
      </c>
      <c r="R227" s="7">
        <v>1</v>
      </c>
      <c r="S227" s="7">
        <v>1</v>
      </c>
      <c r="T227" s="7">
        <v>1</v>
      </c>
      <c r="U227" s="7">
        <v>1</v>
      </c>
      <c r="V227" s="7">
        <v>1</v>
      </c>
      <c r="W227" s="7">
        <v>0</v>
      </c>
      <c r="X227" s="7">
        <v>16</v>
      </c>
      <c r="Y227" s="8">
        <v>0.88888888888888884</v>
      </c>
      <c r="Z227" s="14" t="s">
        <v>1120</v>
      </c>
      <c r="AA227" s="7">
        <v>1</v>
      </c>
      <c r="AB227" s="7">
        <v>1</v>
      </c>
      <c r="AC227" s="7">
        <v>0</v>
      </c>
      <c r="AD227" s="7">
        <v>1</v>
      </c>
      <c r="AE227" s="7">
        <v>1</v>
      </c>
      <c r="AF227" s="7">
        <v>1</v>
      </c>
      <c r="AG227" s="7">
        <v>1</v>
      </c>
      <c r="AH227" s="7">
        <v>0</v>
      </c>
      <c r="AI227" s="7">
        <v>1</v>
      </c>
      <c r="AJ227" s="7">
        <v>1</v>
      </c>
      <c r="AK227" s="7">
        <v>1</v>
      </c>
      <c r="AL227" s="7">
        <v>1</v>
      </c>
      <c r="AM227" s="7">
        <v>0</v>
      </c>
      <c r="AN227" s="7">
        <v>1</v>
      </c>
      <c r="AO227" s="7">
        <v>1</v>
      </c>
      <c r="AP227" s="7">
        <v>1</v>
      </c>
      <c r="AQ227" s="7">
        <v>1</v>
      </c>
      <c r="AR227" s="7">
        <v>1</v>
      </c>
      <c r="AS227" s="7">
        <v>15</v>
      </c>
      <c r="AT227" s="8">
        <v>0.83333333333333326</v>
      </c>
      <c r="AU227" s="14" t="s">
        <v>1120</v>
      </c>
      <c r="AV227" s="7">
        <v>31</v>
      </c>
      <c r="AW227" s="8">
        <v>0.86111111111111116</v>
      </c>
    </row>
    <row r="228" spans="1:49" ht="15.75" customHeight="1" x14ac:dyDescent="0.25">
      <c r="A228" s="5" t="s">
        <v>13</v>
      </c>
      <c r="B228" s="7" t="s">
        <v>442</v>
      </c>
      <c r="C228" s="7" t="s">
        <v>1103</v>
      </c>
      <c r="D228" s="6" t="s">
        <v>1097</v>
      </c>
      <c r="E228" s="5" t="s">
        <v>522</v>
      </c>
      <c r="F228" s="7">
        <v>0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  <c r="M228" s="7">
        <v>0</v>
      </c>
      <c r="N228" s="7">
        <v>0</v>
      </c>
      <c r="O228" s="7">
        <v>1</v>
      </c>
      <c r="P228" s="7">
        <v>1</v>
      </c>
      <c r="Q228" s="7">
        <v>1</v>
      </c>
      <c r="R228" s="7">
        <v>0</v>
      </c>
      <c r="S228" s="7">
        <v>1</v>
      </c>
      <c r="T228" s="7">
        <v>1</v>
      </c>
      <c r="U228" s="7">
        <v>1</v>
      </c>
      <c r="V228" s="7">
        <v>0</v>
      </c>
      <c r="W228" s="7">
        <v>0</v>
      </c>
      <c r="X228" s="7">
        <v>12</v>
      </c>
      <c r="Y228" s="8">
        <v>0.66666666666666674</v>
      </c>
      <c r="Z228" s="14" t="s">
        <v>1119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0</v>
      </c>
      <c r="AJ228" s="7">
        <v>1</v>
      </c>
      <c r="AK228" s="7">
        <v>1</v>
      </c>
      <c r="AL228" s="7">
        <v>1</v>
      </c>
      <c r="AM228" s="7">
        <v>0</v>
      </c>
      <c r="AN228" s="7">
        <v>1</v>
      </c>
      <c r="AO228" s="7">
        <v>0</v>
      </c>
      <c r="AP228" s="7">
        <v>1</v>
      </c>
      <c r="AQ228" s="7">
        <v>1</v>
      </c>
      <c r="AR228" s="7">
        <v>1</v>
      </c>
      <c r="AS228" s="7">
        <v>15</v>
      </c>
      <c r="AT228" s="8">
        <v>0.83333333333333326</v>
      </c>
      <c r="AU228" s="14" t="s">
        <v>1120</v>
      </c>
      <c r="AV228" s="7">
        <v>27</v>
      </c>
      <c r="AW228" s="8">
        <v>0.75</v>
      </c>
    </row>
    <row r="229" spans="1:49" ht="15.75" customHeight="1" x14ac:dyDescent="0.25">
      <c r="A229" s="5" t="s">
        <v>13</v>
      </c>
      <c r="B229" s="7" t="s">
        <v>442</v>
      </c>
      <c r="C229" s="7" t="s">
        <v>1096</v>
      </c>
      <c r="D229" s="6" t="s">
        <v>1097</v>
      </c>
      <c r="E229" s="5" t="s">
        <v>523</v>
      </c>
      <c r="F229" s="7">
        <v>0</v>
      </c>
      <c r="G229" s="7">
        <v>1</v>
      </c>
      <c r="H229" s="7">
        <v>0</v>
      </c>
      <c r="I229" s="7">
        <v>1</v>
      </c>
      <c r="J229" s="7">
        <v>0</v>
      </c>
      <c r="K229" s="7">
        <v>1</v>
      </c>
      <c r="L229" s="7">
        <v>0</v>
      </c>
      <c r="M229" s="7">
        <v>0</v>
      </c>
      <c r="N229" s="7">
        <v>0</v>
      </c>
      <c r="O229" s="7">
        <v>1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1</v>
      </c>
      <c r="W229" s="7">
        <v>1</v>
      </c>
      <c r="X229" s="7">
        <v>6</v>
      </c>
      <c r="Y229" s="8">
        <v>0.33333333333333337</v>
      </c>
      <c r="Z229" s="14" t="s">
        <v>1102</v>
      </c>
      <c r="AA229" s="7">
        <v>0</v>
      </c>
      <c r="AB229" s="7">
        <v>1</v>
      </c>
      <c r="AC229" s="7">
        <v>1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1</v>
      </c>
      <c r="AK229" s="7">
        <v>1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1</v>
      </c>
      <c r="AR229" s="7">
        <v>1</v>
      </c>
      <c r="AS229" s="7">
        <v>6</v>
      </c>
      <c r="AT229" s="8">
        <v>0.33333333333333337</v>
      </c>
      <c r="AU229" s="14" t="s">
        <v>1102</v>
      </c>
      <c r="AV229" s="7">
        <v>12</v>
      </c>
      <c r="AW229" s="8">
        <v>0.33333333333333337</v>
      </c>
    </row>
    <row r="230" spans="1:49" ht="15.75" customHeight="1" x14ac:dyDescent="0.25">
      <c r="A230" s="5" t="s">
        <v>13</v>
      </c>
      <c r="B230" s="7" t="s">
        <v>442</v>
      </c>
      <c r="C230" s="6" t="s">
        <v>1099</v>
      </c>
      <c r="D230" s="6" t="s">
        <v>1100</v>
      </c>
      <c r="E230" s="5" t="s">
        <v>1075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8">
        <v>0</v>
      </c>
      <c r="Z230" s="14" t="s">
        <v>1102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8">
        <v>0</v>
      </c>
      <c r="AU230" s="14" t="s">
        <v>1102</v>
      </c>
      <c r="AV230" s="7">
        <v>0</v>
      </c>
      <c r="AW230" s="8">
        <v>0</v>
      </c>
    </row>
    <row r="231" spans="1:49" ht="15.75" customHeight="1" x14ac:dyDescent="0.25">
      <c r="A231" s="5" t="s">
        <v>13</v>
      </c>
      <c r="B231" s="7" t="s">
        <v>442</v>
      </c>
      <c r="C231" s="7" t="s">
        <v>1104</v>
      </c>
      <c r="D231" s="6" t="s">
        <v>1097</v>
      </c>
      <c r="E231" s="5" t="s">
        <v>1174</v>
      </c>
      <c r="F231" s="7">
        <v>0</v>
      </c>
      <c r="G231" s="7">
        <v>0</v>
      </c>
      <c r="H231" s="7">
        <v>1</v>
      </c>
      <c r="I231" s="7">
        <v>1</v>
      </c>
      <c r="J231" s="7">
        <v>0</v>
      </c>
      <c r="K231" s="7">
        <v>1</v>
      </c>
      <c r="L231" s="7">
        <v>0</v>
      </c>
      <c r="M231" s="7">
        <v>0</v>
      </c>
      <c r="N231" s="7">
        <v>0</v>
      </c>
      <c r="O231" s="7">
        <v>0</v>
      </c>
      <c r="P231" s="7">
        <v>1</v>
      </c>
      <c r="Q231" s="7">
        <v>1</v>
      </c>
      <c r="R231" s="7">
        <v>1</v>
      </c>
      <c r="S231" s="7">
        <v>0</v>
      </c>
      <c r="T231" s="7">
        <v>0</v>
      </c>
      <c r="U231" s="7">
        <v>1</v>
      </c>
      <c r="V231" s="7">
        <v>0</v>
      </c>
      <c r="W231" s="7">
        <v>0</v>
      </c>
      <c r="X231" s="7">
        <v>7</v>
      </c>
      <c r="Y231" s="8">
        <v>0.38888888888888884</v>
      </c>
      <c r="Z231" s="14" t="s">
        <v>1102</v>
      </c>
      <c r="AA231" s="7">
        <v>1</v>
      </c>
      <c r="AB231" s="7">
        <v>1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1</v>
      </c>
      <c r="AI231" s="7">
        <v>1</v>
      </c>
      <c r="AJ231" s="7">
        <v>0</v>
      </c>
      <c r="AK231" s="7">
        <v>1</v>
      </c>
      <c r="AL231" s="7">
        <v>1</v>
      </c>
      <c r="AM231" s="7">
        <v>0</v>
      </c>
      <c r="AN231" s="7">
        <v>1</v>
      </c>
      <c r="AO231" s="7">
        <v>0</v>
      </c>
      <c r="AP231" s="7">
        <v>0</v>
      </c>
      <c r="AQ231" s="7">
        <v>1</v>
      </c>
      <c r="AR231" s="7">
        <v>1</v>
      </c>
      <c r="AS231" s="7">
        <v>9</v>
      </c>
      <c r="AT231" s="8">
        <v>0.5</v>
      </c>
      <c r="AU231" s="14" t="s">
        <v>1119</v>
      </c>
      <c r="AV231" s="7">
        <v>16</v>
      </c>
      <c r="AW231" s="8">
        <v>0.44444444444444442</v>
      </c>
    </row>
    <row r="232" spans="1:49" ht="15.75" customHeight="1" x14ac:dyDescent="0.25">
      <c r="A232" s="5" t="s">
        <v>13</v>
      </c>
      <c r="B232" s="7" t="s">
        <v>442</v>
      </c>
      <c r="C232" s="7" t="s">
        <v>1104</v>
      </c>
      <c r="D232" s="6" t="s">
        <v>1097</v>
      </c>
      <c r="E232" s="5" t="s">
        <v>524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0</v>
      </c>
      <c r="L232" s="7">
        <v>0</v>
      </c>
      <c r="M232" s="7">
        <v>1</v>
      </c>
      <c r="N232" s="7">
        <v>0</v>
      </c>
      <c r="O232" s="7">
        <v>0</v>
      </c>
      <c r="P232" s="7">
        <v>0</v>
      </c>
      <c r="Q232" s="7">
        <v>1</v>
      </c>
      <c r="R232" s="7">
        <v>0</v>
      </c>
      <c r="S232" s="7">
        <v>1</v>
      </c>
      <c r="T232" s="7">
        <v>0</v>
      </c>
      <c r="U232" s="7">
        <v>0</v>
      </c>
      <c r="V232" s="7">
        <v>1</v>
      </c>
      <c r="W232" s="7">
        <v>1</v>
      </c>
      <c r="X232" s="7">
        <v>10</v>
      </c>
      <c r="Y232" s="8">
        <v>0.55555555555555558</v>
      </c>
      <c r="Z232" s="14" t="s">
        <v>1119</v>
      </c>
      <c r="AA232" s="7">
        <v>0</v>
      </c>
      <c r="AB232" s="7">
        <v>0</v>
      </c>
      <c r="AC232" s="7">
        <v>0</v>
      </c>
      <c r="AD232" s="7">
        <v>0</v>
      </c>
      <c r="AE232" s="7">
        <v>1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1</v>
      </c>
      <c r="AR232" s="7">
        <v>1</v>
      </c>
      <c r="AS232" s="7">
        <v>3</v>
      </c>
      <c r="AT232" s="8">
        <v>0.16666666666666669</v>
      </c>
      <c r="AU232" s="14" t="s">
        <v>1102</v>
      </c>
      <c r="AV232" s="7">
        <v>13</v>
      </c>
      <c r="AW232" s="8">
        <v>0.36111111111111116</v>
      </c>
    </row>
    <row r="233" spans="1:49" ht="15.75" customHeight="1" x14ac:dyDescent="0.25">
      <c r="A233" s="5" t="s">
        <v>13</v>
      </c>
      <c r="B233" s="7" t="s">
        <v>442</v>
      </c>
      <c r="C233" s="7" t="s">
        <v>1103</v>
      </c>
      <c r="D233" s="6" t="s">
        <v>1097</v>
      </c>
      <c r="E233" s="5" t="s">
        <v>525</v>
      </c>
      <c r="F233" s="7">
        <v>0</v>
      </c>
      <c r="G233" s="7">
        <v>1</v>
      </c>
      <c r="H233" s="7">
        <v>1</v>
      </c>
      <c r="I233" s="7">
        <v>1</v>
      </c>
      <c r="J233" s="7">
        <v>0</v>
      </c>
      <c r="K233" s="7">
        <v>1</v>
      </c>
      <c r="L233" s="7">
        <v>0</v>
      </c>
      <c r="M233" s="7">
        <v>0</v>
      </c>
      <c r="N233" s="7">
        <v>1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1</v>
      </c>
      <c r="X233" s="7">
        <v>6</v>
      </c>
      <c r="Y233" s="8">
        <v>0.33333333333333337</v>
      </c>
      <c r="Z233" s="14" t="s">
        <v>1102</v>
      </c>
      <c r="AA233" s="7">
        <v>0</v>
      </c>
      <c r="AB233" s="7">
        <v>0</v>
      </c>
      <c r="AC233" s="7">
        <v>0</v>
      </c>
      <c r="AD233" s="7">
        <v>1</v>
      </c>
      <c r="AE233" s="7">
        <v>0</v>
      </c>
      <c r="AF233" s="7">
        <v>0</v>
      </c>
      <c r="AG233" s="7">
        <v>1</v>
      </c>
      <c r="AH233" s="7">
        <v>0</v>
      </c>
      <c r="AI233" s="7">
        <v>0</v>
      </c>
      <c r="AJ233" s="7">
        <v>1</v>
      </c>
      <c r="AK233" s="7">
        <v>1</v>
      </c>
      <c r="AL233" s="7">
        <v>0</v>
      </c>
      <c r="AM233" s="7">
        <v>0</v>
      </c>
      <c r="AN233" s="7">
        <v>1</v>
      </c>
      <c r="AO233" s="7">
        <v>0</v>
      </c>
      <c r="AP233" s="7">
        <v>1</v>
      </c>
      <c r="AQ233" s="7">
        <v>1</v>
      </c>
      <c r="AR233" s="7">
        <v>1</v>
      </c>
      <c r="AS233" s="7">
        <v>8</v>
      </c>
      <c r="AT233" s="8">
        <v>0.44444444444444442</v>
      </c>
      <c r="AU233" s="14" t="s">
        <v>1119</v>
      </c>
      <c r="AV233" s="7">
        <v>14</v>
      </c>
      <c r="AW233" s="8">
        <v>0.38888888888888884</v>
      </c>
    </row>
    <row r="234" spans="1:49" ht="15.75" customHeight="1" x14ac:dyDescent="0.25">
      <c r="A234" s="5" t="s">
        <v>13</v>
      </c>
      <c r="B234" s="7" t="s">
        <v>442</v>
      </c>
      <c r="C234" s="7" t="s">
        <v>1103</v>
      </c>
      <c r="D234" s="6" t="s">
        <v>1097</v>
      </c>
      <c r="E234" s="5" t="s">
        <v>526</v>
      </c>
      <c r="F234" s="7">
        <v>0</v>
      </c>
      <c r="G234" s="7">
        <v>1</v>
      </c>
      <c r="H234" s="7">
        <v>1</v>
      </c>
      <c r="I234" s="7">
        <v>0</v>
      </c>
      <c r="J234" s="7">
        <v>0</v>
      </c>
      <c r="K234" s="7">
        <v>1</v>
      </c>
      <c r="L234" s="7">
        <v>1</v>
      </c>
      <c r="M234" s="7">
        <v>1</v>
      </c>
      <c r="N234" s="7">
        <v>0</v>
      </c>
      <c r="O234" s="7">
        <v>1</v>
      </c>
      <c r="P234" s="7">
        <v>1</v>
      </c>
      <c r="Q234" s="7">
        <v>0</v>
      </c>
      <c r="R234" s="7">
        <v>0</v>
      </c>
      <c r="S234" s="7">
        <v>0</v>
      </c>
      <c r="T234" s="7">
        <v>1</v>
      </c>
      <c r="U234" s="7">
        <v>0</v>
      </c>
      <c r="V234" s="7">
        <v>0</v>
      </c>
      <c r="W234" s="7">
        <v>0</v>
      </c>
      <c r="X234" s="7">
        <v>8</v>
      </c>
      <c r="Y234" s="8">
        <v>0.44444444444444442</v>
      </c>
      <c r="Z234" s="14" t="s">
        <v>1119</v>
      </c>
      <c r="AA234" s="7">
        <v>1</v>
      </c>
      <c r="AB234" s="7">
        <v>1</v>
      </c>
      <c r="AC234" s="7">
        <v>0</v>
      </c>
      <c r="AD234" s="7">
        <v>0</v>
      </c>
      <c r="AE234" s="7">
        <v>0</v>
      </c>
      <c r="AF234" s="7">
        <v>1</v>
      </c>
      <c r="AG234" s="7">
        <v>0</v>
      </c>
      <c r="AH234" s="7">
        <v>0</v>
      </c>
      <c r="AI234" s="7">
        <v>0</v>
      </c>
      <c r="AJ234" s="7">
        <v>1</v>
      </c>
      <c r="AK234" s="7">
        <v>1</v>
      </c>
      <c r="AL234" s="7">
        <v>1</v>
      </c>
      <c r="AM234" s="7">
        <v>0</v>
      </c>
      <c r="AN234" s="7">
        <v>0</v>
      </c>
      <c r="AO234" s="7">
        <v>0</v>
      </c>
      <c r="AP234" s="7">
        <v>0</v>
      </c>
      <c r="AQ234" s="7">
        <v>1</v>
      </c>
      <c r="AR234" s="7">
        <v>1</v>
      </c>
      <c r="AS234" s="7">
        <v>0</v>
      </c>
      <c r="AT234" s="8">
        <v>0</v>
      </c>
      <c r="AU234" s="14" t="s">
        <v>1102</v>
      </c>
      <c r="AV234" s="7">
        <v>16</v>
      </c>
      <c r="AW234" s="8">
        <v>0.44444444444444442</v>
      </c>
    </row>
    <row r="235" spans="1:49" ht="15.75" customHeight="1" x14ac:dyDescent="0.25">
      <c r="A235" s="5" t="s">
        <v>13</v>
      </c>
      <c r="B235" s="7" t="s">
        <v>442</v>
      </c>
      <c r="C235" s="7" t="s">
        <v>1103</v>
      </c>
      <c r="D235" s="6" t="s">
        <v>1097</v>
      </c>
      <c r="E235" s="5" t="s">
        <v>528</v>
      </c>
      <c r="F235" s="7">
        <v>0</v>
      </c>
      <c r="G235" s="7">
        <v>0</v>
      </c>
      <c r="H235" s="7">
        <v>0</v>
      </c>
      <c r="I235" s="7">
        <v>1</v>
      </c>
      <c r="J235" s="7">
        <v>1</v>
      </c>
      <c r="K235" s="7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3</v>
      </c>
      <c r="Y235" s="8">
        <v>0.16666666666666669</v>
      </c>
      <c r="Z235" s="14" t="s">
        <v>1102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1</v>
      </c>
      <c r="AG235" s="7">
        <v>0</v>
      </c>
      <c r="AH235" s="7">
        <v>1</v>
      </c>
      <c r="AI235" s="7">
        <v>0</v>
      </c>
      <c r="AJ235" s="7">
        <v>1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1</v>
      </c>
      <c r="AQ235" s="7">
        <v>1</v>
      </c>
      <c r="AR235" s="7">
        <v>1</v>
      </c>
      <c r="AS235" s="7">
        <v>6</v>
      </c>
      <c r="AT235" s="8">
        <v>0.33333333333333337</v>
      </c>
      <c r="AU235" s="14" t="s">
        <v>1102</v>
      </c>
      <c r="AV235" s="7">
        <v>9</v>
      </c>
      <c r="AW235" s="8">
        <v>0.25</v>
      </c>
    </row>
    <row r="236" spans="1:49" ht="15.75" customHeight="1" x14ac:dyDescent="0.25">
      <c r="A236" s="5" t="s">
        <v>13</v>
      </c>
      <c r="B236" s="7" t="s">
        <v>442</v>
      </c>
      <c r="C236" s="7" t="s">
        <v>1103</v>
      </c>
      <c r="D236" s="6" t="s">
        <v>1097</v>
      </c>
      <c r="E236" s="5" t="s">
        <v>529</v>
      </c>
      <c r="F236" s="7">
        <v>1</v>
      </c>
      <c r="G236" s="7">
        <v>1</v>
      </c>
      <c r="H236" s="7">
        <v>1</v>
      </c>
      <c r="I236" s="7">
        <v>1</v>
      </c>
      <c r="J236" s="7">
        <v>1</v>
      </c>
      <c r="K236" s="7">
        <v>1</v>
      </c>
      <c r="L236" s="7">
        <v>1</v>
      </c>
      <c r="M236" s="7">
        <v>0</v>
      </c>
      <c r="N236" s="7">
        <v>0</v>
      </c>
      <c r="O236" s="7">
        <v>1</v>
      </c>
      <c r="P236" s="7">
        <v>1</v>
      </c>
      <c r="Q236" s="7">
        <v>1</v>
      </c>
      <c r="R236" s="7">
        <v>0</v>
      </c>
      <c r="S236" s="7">
        <v>1</v>
      </c>
      <c r="T236" s="7">
        <v>1</v>
      </c>
      <c r="U236" s="7">
        <v>1</v>
      </c>
      <c r="V236" s="7">
        <v>1</v>
      </c>
      <c r="W236" s="7">
        <v>1</v>
      </c>
      <c r="X236" s="7">
        <v>15</v>
      </c>
      <c r="Y236" s="8">
        <v>0.83333333333333326</v>
      </c>
      <c r="Z236" s="14" t="s">
        <v>1120</v>
      </c>
      <c r="AA236" s="7">
        <v>1</v>
      </c>
      <c r="AB236" s="7">
        <v>1</v>
      </c>
      <c r="AC236" s="7">
        <v>0</v>
      </c>
      <c r="AD236" s="7">
        <v>1</v>
      </c>
      <c r="AE236" s="7">
        <v>0</v>
      </c>
      <c r="AF236" s="7">
        <v>0</v>
      </c>
      <c r="AG236" s="7">
        <v>1</v>
      </c>
      <c r="AH236" s="7">
        <v>0</v>
      </c>
      <c r="AI236" s="7">
        <v>0</v>
      </c>
      <c r="AJ236" s="7">
        <v>1</v>
      </c>
      <c r="AK236" s="7">
        <v>1</v>
      </c>
      <c r="AL236" s="7">
        <v>1</v>
      </c>
      <c r="AM236" s="7">
        <v>0</v>
      </c>
      <c r="AN236" s="7">
        <v>0</v>
      </c>
      <c r="AO236" s="7">
        <v>1</v>
      </c>
      <c r="AP236" s="7">
        <v>1</v>
      </c>
      <c r="AQ236" s="7">
        <v>0</v>
      </c>
      <c r="AR236" s="7">
        <v>1</v>
      </c>
      <c r="AS236" s="7">
        <v>10</v>
      </c>
      <c r="AT236" s="8">
        <v>0.55555555555555558</v>
      </c>
      <c r="AU236" s="14" t="s">
        <v>1119</v>
      </c>
      <c r="AV236" s="7">
        <v>25</v>
      </c>
      <c r="AW236" s="8">
        <v>0.69444444444444442</v>
      </c>
    </row>
    <row r="237" spans="1:49" ht="15.75" customHeight="1" x14ac:dyDescent="0.25">
      <c r="A237" s="5" t="s">
        <v>13</v>
      </c>
      <c r="B237" s="7" t="s">
        <v>442</v>
      </c>
      <c r="C237" s="7" t="s">
        <v>1096</v>
      </c>
      <c r="D237" s="6" t="s">
        <v>1097</v>
      </c>
      <c r="E237" s="5" t="s">
        <v>530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7">
        <v>1</v>
      </c>
      <c r="L237" s="7">
        <v>1</v>
      </c>
      <c r="M237" s="7">
        <v>0</v>
      </c>
      <c r="N237" s="7">
        <v>0</v>
      </c>
      <c r="O237" s="7">
        <v>1</v>
      </c>
      <c r="P237" s="7">
        <v>1</v>
      </c>
      <c r="Q237" s="7">
        <v>0</v>
      </c>
      <c r="R237" s="7">
        <v>0</v>
      </c>
      <c r="S237" s="7">
        <v>1</v>
      </c>
      <c r="T237" s="7">
        <v>0</v>
      </c>
      <c r="U237" s="7">
        <v>0</v>
      </c>
      <c r="V237" s="7">
        <v>0</v>
      </c>
      <c r="W237" s="7">
        <v>1</v>
      </c>
      <c r="X237" s="7">
        <v>7</v>
      </c>
      <c r="Y237" s="8">
        <v>0.38888888888888884</v>
      </c>
      <c r="Z237" s="14" t="s">
        <v>1102</v>
      </c>
      <c r="AA237" s="7">
        <v>1</v>
      </c>
      <c r="AB237" s="7">
        <v>1</v>
      </c>
      <c r="AC237" s="7">
        <v>0</v>
      </c>
      <c r="AD237" s="7">
        <v>1</v>
      </c>
      <c r="AE237" s="7">
        <v>0</v>
      </c>
      <c r="AF237" s="7">
        <v>0</v>
      </c>
      <c r="AG237" s="7">
        <v>1</v>
      </c>
      <c r="AH237" s="7">
        <v>0</v>
      </c>
      <c r="AI237" s="7">
        <v>0</v>
      </c>
      <c r="AJ237" s="7">
        <v>1</v>
      </c>
      <c r="AK237" s="7">
        <v>1</v>
      </c>
      <c r="AL237" s="7">
        <v>0</v>
      </c>
      <c r="AM237" s="7">
        <v>0</v>
      </c>
      <c r="AN237" s="7">
        <v>1</v>
      </c>
      <c r="AO237" s="7">
        <v>0</v>
      </c>
      <c r="AP237" s="7">
        <v>1</v>
      </c>
      <c r="AQ237" s="7">
        <v>1</v>
      </c>
      <c r="AR237" s="7">
        <v>1</v>
      </c>
      <c r="AS237" s="7">
        <v>10</v>
      </c>
      <c r="AT237" s="8">
        <v>0.55555555555555558</v>
      </c>
      <c r="AU237" s="14" t="s">
        <v>1119</v>
      </c>
      <c r="AV237" s="7">
        <v>17</v>
      </c>
      <c r="AW237" s="8">
        <v>0.47222222222222221</v>
      </c>
    </row>
    <row r="238" spans="1:49" ht="15.75" customHeight="1" x14ac:dyDescent="0.25">
      <c r="A238" s="5" t="s">
        <v>13</v>
      </c>
      <c r="B238" s="7" t="s">
        <v>442</v>
      </c>
      <c r="C238" s="7" t="s">
        <v>1103</v>
      </c>
      <c r="D238" s="6" t="s">
        <v>1097</v>
      </c>
      <c r="E238" s="5" t="s">
        <v>531</v>
      </c>
      <c r="F238" s="7">
        <v>0</v>
      </c>
      <c r="G238" s="7">
        <v>1</v>
      </c>
      <c r="H238" s="7">
        <v>1</v>
      </c>
      <c r="I238" s="7">
        <v>0</v>
      </c>
      <c r="J238" s="7">
        <v>1</v>
      </c>
      <c r="K238" s="7">
        <v>1</v>
      </c>
      <c r="L238" s="7">
        <v>0</v>
      </c>
      <c r="M238" s="7">
        <v>0</v>
      </c>
      <c r="N238" s="7">
        <v>0</v>
      </c>
      <c r="O238" s="7">
        <v>0</v>
      </c>
      <c r="P238" s="7">
        <v>1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5</v>
      </c>
      <c r="Y238" s="8">
        <v>0.27777777777777779</v>
      </c>
      <c r="Z238" s="14" t="s">
        <v>1102</v>
      </c>
      <c r="AA238" s="7">
        <v>1</v>
      </c>
      <c r="AB238" s="7">
        <v>1</v>
      </c>
      <c r="AC238" s="7">
        <v>1</v>
      </c>
      <c r="AD238" s="7">
        <v>1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1</v>
      </c>
      <c r="AK238" s="7">
        <v>1</v>
      </c>
      <c r="AL238" s="7">
        <v>1</v>
      </c>
      <c r="AM238" s="7">
        <v>1</v>
      </c>
      <c r="AN238" s="7">
        <v>0</v>
      </c>
      <c r="AO238" s="7">
        <v>0</v>
      </c>
      <c r="AP238" s="7">
        <v>0</v>
      </c>
      <c r="AQ238" s="7">
        <v>1</v>
      </c>
      <c r="AR238" s="7">
        <v>0</v>
      </c>
      <c r="AS238" s="7">
        <v>9</v>
      </c>
      <c r="AT238" s="8">
        <v>0.5</v>
      </c>
      <c r="AU238" s="14" t="s">
        <v>1119</v>
      </c>
      <c r="AV238" s="7">
        <v>14</v>
      </c>
      <c r="AW238" s="8">
        <v>0.38888888888888884</v>
      </c>
    </row>
    <row r="239" spans="1:49" ht="15.75" customHeight="1" x14ac:dyDescent="0.25">
      <c r="A239" s="5" t="s">
        <v>14</v>
      </c>
      <c r="B239" s="7" t="s">
        <v>399</v>
      </c>
      <c r="C239" s="7" t="s">
        <v>1104</v>
      </c>
      <c r="D239" s="6" t="s">
        <v>1097</v>
      </c>
      <c r="E239" s="5" t="s">
        <v>405</v>
      </c>
      <c r="F239" s="7">
        <v>1</v>
      </c>
      <c r="G239" s="7">
        <v>1</v>
      </c>
      <c r="H239" s="7">
        <v>1</v>
      </c>
      <c r="I239" s="7">
        <v>1</v>
      </c>
      <c r="J239" s="7">
        <v>1</v>
      </c>
      <c r="K239" s="7">
        <v>1</v>
      </c>
      <c r="L239" s="7">
        <v>0</v>
      </c>
      <c r="M239" s="7">
        <v>1</v>
      </c>
      <c r="N239" s="7">
        <v>1</v>
      </c>
      <c r="O239" s="7">
        <v>1</v>
      </c>
      <c r="P239" s="7">
        <v>1</v>
      </c>
      <c r="Q239" s="7">
        <v>1</v>
      </c>
      <c r="R239" s="7">
        <v>0</v>
      </c>
      <c r="S239" s="7">
        <v>1</v>
      </c>
      <c r="T239" s="7">
        <v>1</v>
      </c>
      <c r="U239" s="7">
        <v>1</v>
      </c>
      <c r="V239" s="7">
        <v>1</v>
      </c>
      <c r="W239" s="7">
        <v>1</v>
      </c>
      <c r="X239" s="7">
        <v>16</v>
      </c>
      <c r="Y239" s="8">
        <v>0.88888888888888884</v>
      </c>
      <c r="Z239" s="14" t="s">
        <v>1120</v>
      </c>
      <c r="AA239" s="7">
        <v>1</v>
      </c>
      <c r="AB239" s="7">
        <v>1</v>
      </c>
      <c r="AC239" s="7">
        <v>1</v>
      </c>
      <c r="AD239" s="7">
        <v>1</v>
      </c>
      <c r="AE239" s="7">
        <v>1</v>
      </c>
      <c r="AF239" s="7">
        <v>1</v>
      </c>
      <c r="AG239" s="7">
        <v>1</v>
      </c>
      <c r="AH239" s="7">
        <v>1</v>
      </c>
      <c r="AI239" s="7">
        <v>1</v>
      </c>
      <c r="AJ239" s="7">
        <v>1</v>
      </c>
      <c r="AK239" s="7">
        <v>1</v>
      </c>
      <c r="AL239" s="7">
        <v>1</v>
      </c>
      <c r="AM239" s="7">
        <v>0</v>
      </c>
      <c r="AN239" s="7">
        <v>1</v>
      </c>
      <c r="AO239" s="7">
        <v>1</v>
      </c>
      <c r="AP239" s="7">
        <v>1</v>
      </c>
      <c r="AQ239" s="7">
        <v>1</v>
      </c>
      <c r="AR239" s="7">
        <v>1</v>
      </c>
      <c r="AS239" s="7">
        <v>17</v>
      </c>
      <c r="AT239" s="8">
        <v>0.94444444444444442</v>
      </c>
      <c r="AU239" s="14" t="s">
        <v>1120</v>
      </c>
      <c r="AV239" s="7">
        <v>33</v>
      </c>
      <c r="AW239" s="8">
        <v>0.91666666666666674</v>
      </c>
    </row>
    <row r="240" spans="1:49" ht="15.75" customHeight="1" x14ac:dyDescent="0.25">
      <c r="A240" s="5" t="s">
        <v>14</v>
      </c>
      <c r="B240" s="7" t="s">
        <v>399</v>
      </c>
      <c r="C240" s="7" t="s">
        <v>1103</v>
      </c>
      <c r="D240" s="6" t="s">
        <v>1097</v>
      </c>
      <c r="E240" s="5" t="s">
        <v>532</v>
      </c>
      <c r="F240" s="7">
        <v>1</v>
      </c>
      <c r="G240" s="7">
        <v>1</v>
      </c>
      <c r="H240" s="7">
        <v>0</v>
      </c>
      <c r="I240" s="7">
        <v>1</v>
      </c>
      <c r="J240" s="7">
        <v>1</v>
      </c>
      <c r="K240" s="7">
        <v>1</v>
      </c>
      <c r="L240" s="7">
        <v>1</v>
      </c>
      <c r="M240" s="7">
        <v>0</v>
      </c>
      <c r="N240" s="7">
        <v>0</v>
      </c>
      <c r="O240" s="7">
        <v>1</v>
      </c>
      <c r="P240" s="7">
        <v>1</v>
      </c>
      <c r="Q240" s="7">
        <v>1</v>
      </c>
      <c r="R240" s="7">
        <v>1</v>
      </c>
      <c r="S240" s="7">
        <v>1</v>
      </c>
      <c r="T240" s="7">
        <v>1</v>
      </c>
      <c r="U240" s="7">
        <v>1</v>
      </c>
      <c r="V240" s="7">
        <v>1</v>
      </c>
      <c r="W240" s="7">
        <v>1</v>
      </c>
      <c r="X240" s="7">
        <v>15</v>
      </c>
      <c r="Y240" s="8">
        <v>0.83333333333333326</v>
      </c>
      <c r="Z240" s="14" t="s">
        <v>1120</v>
      </c>
      <c r="AA240" s="7">
        <v>1</v>
      </c>
      <c r="AB240" s="7">
        <v>1</v>
      </c>
      <c r="AC240" s="7">
        <v>1</v>
      </c>
      <c r="AD240" s="7">
        <v>1</v>
      </c>
      <c r="AE240" s="7">
        <v>0</v>
      </c>
      <c r="AF240" s="7">
        <v>0</v>
      </c>
      <c r="AG240" s="7">
        <v>1</v>
      </c>
      <c r="AH240" s="7">
        <v>1</v>
      </c>
      <c r="AI240" s="7">
        <v>0</v>
      </c>
      <c r="AJ240" s="7">
        <v>1</v>
      </c>
      <c r="AK240" s="7">
        <v>1</v>
      </c>
      <c r="AL240" s="7">
        <v>1</v>
      </c>
      <c r="AM240" s="7">
        <v>1</v>
      </c>
      <c r="AN240" s="7">
        <v>1</v>
      </c>
      <c r="AO240" s="7">
        <v>1</v>
      </c>
      <c r="AP240" s="7">
        <v>1</v>
      </c>
      <c r="AQ240" s="7">
        <v>1</v>
      </c>
      <c r="AR240" s="7">
        <v>1</v>
      </c>
      <c r="AS240" s="7">
        <v>15</v>
      </c>
      <c r="AT240" s="8">
        <v>0.83333333333333326</v>
      </c>
      <c r="AU240" s="14" t="s">
        <v>1120</v>
      </c>
      <c r="AV240" s="7">
        <v>30</v>
      </c>
      <c r="AW240" s="8">
        <v>0.83333333333333326</v>
      </c>
    </row>
    <row r="241" spans="1:49" ht="15.75" customHeight="1" x14ac:dyDescent="0.25">
      <c r="A241" s="5" t="s">
        <v>14</v>
      </c>
      <c r="B241" s="7" t="s">
        <v>399</v>
      </c>
      <c r="C241" s="7" t="s">
        <v>1104</v>
      </c>
      <c r="D241" s="6" t="s">
        <v>1097</v>
      </c>
      <c r="E241" s="5" t="s">
        <v>533</v>
      </c>
      <c r="F241" s="7">
        <v>1</v>
      </c>
      <c r="G241" s="7">
        <v>1</v>
      </c>
      <c r="H241" s="7">
        <v>1</v>
      </c>
      <c r="I241" s="7">
        <v>0</v>
      </c>
      <c r="J241" s="7">
        <v>0</v>
      </c>
      <c r="K241" s="7">
        <v>1</v>
      </c>
      <c r="L241" s="7">
        <v>0</v>
      </c>
      <c r="M241" s="7">
        <v>1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1</v>
      </c>
      <c r="X241" s="7">
        <v>6</v>
      </c>
      <c r="Y241" s="8">
        <v>0.33333333333333337</v>
      </c>
      <c r="Z241" s="14" t="s">
        <v>1102</v>
      </c>
      <c r="AA241" s="7">
        <v>0</v>
      </c>
      <c r="AB241" s="7">
        <v>0</v>
      </c>
      <c r="AC241" s="7">
        <v>0</v>
      </c>
      <c r="AD241" s="7">
        <v>1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1</v>
      </c>
      <c r="AM241" s="7">
        <v>0</v>
      </c>
      <c r="AN241" s="7">
        <v>0</v>
      </c>
      <c r="AO241" s="7">
        <v>0</v>
      </c>
      <c r="AP241" s="7">
        <v>1</v>
      </c>
      <c r="AQ241" s="7">
        <v>0</v>
      </c>
      <c r="AR241" s="7">
        <v>1</v>
      </c>
      <c r="AS241" s="7">
        <v>4</v>
      </c>
      <c r="AT241" s="8">
        <v>0.22222222222222221</v>
      </c>
      <c r="AU241" s="14" t="s">
        <v>1102</v>
      </c>
      <c r="AV241" s="7">
        <v>10</v>
      </c>
      <c r="AW241" s="8">
        <v>0.27777777777777779</v>
      </c>
    </row>
    <row r="242" spans="1:49" ht="15.75" customHeight="1" x14ac:dyDescent="0.25">
      <c r="A242" s="5" t="s">
        <v>14</v>
      </c>
      <c r="B242" s="7" t="s">
        <v>399</v>
      </c>
      <c r="C242" s="7" t="s">
        <v>1103</v>
      </c>
      <c r="D242" s="6" t="s">
        <v>1097</v>
      </c>
      <c r="E242" s="5" t="s">
        <v>534</v>
      </c>
      <c r="F242" s="7">
        <v>1</v>
      </c>
      <c r="G242" s="7">
        <v>1</v>
      </c>
      <c r="H242" s="7">
        <v>1</v>
      </c>
      <c r="I242" s="7">
        <v>1</v>
      </c>
      <c r="J242" s="7">
        <v>1</v>
      </c>
      <c r="K242" s="7">
        <v>1</v>
      </c>
      <c r="L242" s="7">
        <v>1</v>
      </c>
      <c r="M242" s="7">
        <v>1</v>
      </c>
      <c r="N242" s="7">
        <v>0</v>
      </c>
      <c r="O242" s="7">
        <v>1</v>
      </c>
      <c r="P242" s="7">
        <v>1</v>
      </c>
      <c r="Q242" s="7">
        <v>1</v>
      </c>
      <c r="R242" s="7">
        <v>0</v>
      </c>
      <c r="S242" s="7">
        <v>1</v>
      </c>
      <c r="T242" s="7">
        <v>0</v>
      </c>
      <c r="U242" s="7">
        <v>1</v>
      </c>
      <c r="V242" s="7">
        <v>0</v>
      </c>
      <c r="W242" s="7">
        <v>1</v>
      </c>
      <c r="X242" s="7">
        <v>14</v>
      </c>
      <c r="Y242" s="8">
        <v>0.77777777777777768</v>
      </c>
      <c r="Z242" s="14" t="s">
        <v>1120</v>
      </c>
      <c r="AA242" s="7">
        <v>1</v>
      </c>
      <c r="AB242" s="7">
        <v>1</v>
      </c>
      <c r="AC242" s="7">
        <v>1</v>
      </c>
      <c r="AD242" s="7">
        <v>1</v>
      </c>
      <c r="AE242" s="7">
        <v>0</v>
      </c>
      <c r="AF242" s="7">
        <v>0</v>
      </c>
      <c r="AG242" s="7">
        <v>1</v>
      </c>
      <c r="AH242" s="7">
        <v>1</v>
      </c>
      <c r="AI242" s="7">
        <v>0</v>
      </c>
      <c r="AJ242" s="7">
        <v>1</v>
      </c>
      <c r="AK242" s="7">
        <v>1</v>
      </c>
      <c r="AL242" s="7">
        <v>0</v>
      </c>
      <c r="AM242" s="7">
        <v>0</v>
      </c>
      <c r="AN242" s="7">
        <v>1</v>
      </c>
      <c r="AO242" s="7">
        <v>1</v>
      </c>
      <c r="AP242" s="7">
        <v>1</v>
      </c>
      <c r="AQ242" s="7">
        <v>1</v>
      </c>
      <c r="AR242" s="7">
        <v>1</v>
      </c>
      <c r="AS242" s="7">
        <v>13</v>
      </c>
      <c r="AT242" s="8">
        <v>0.72222222222222232</v>
      </c>
      <c r="AU242" s="14" t="s">
        <v>1120</v>
      </c>
      <c r="AV242" s="7">
        <v>27</v>
      </c>
      <c r="AW242" s="8">
        <v>0.75</v>
      </c>
    </row>
    <row r="243" spans="1:49" ht="15.75" customHeight="1" x14ac:dyDescent="0.25">
      <c r="A243" s="5" t="s">
        <v>14</v>
      </c>
      <c r="B243" s="7" t="s">
        <v>399</v>
      </c>
      <c r="C243" s="7" t="s">
        <v>1104</v>
      </c>
      <c r="D243" s="6" t="s">
        <v>1097</v>
      </c>
      <c r="E243" s="5" t="s">
        <v>535</v>
      </c>
      <c r="F243" s="7">
        <v>1</v>
      </c>
      <c r="G243" s="7">
        <v>1</v>
      </c>
      <c r="H243" s="7">
        <v>1</v>
      </c>
      <c r="I243" s="7">
        <v>0</v>
      </c>
      <c r="J243" s="7">
        <v>0</v>
      </c>
      <c r="K243" s="7">
        <v>1</v>
      </c>
      <c r="L243" s="7">
        <v>0</v>
      </c>
      <c r="M243" s="7">
        <v>0</v>
      </c>
      <c r="N243" s="7">
        <v>0</v>
      </c>
      <c r="O243" s="7">
        <v>1</v>
      </c>
      <c r="P243" s="7">
        <v>0</v>
      </c>
      <c r="Q243" s="7">
        <v>0</v>
      </c>
      <c r="R243" s="7">
        <v>0</v>
      </c>
      <c r="S243" s="7">
        <v>0</v>
      </c>
      <c r="T243" s="7">
        <v>1</v>
      </c>
      <c r="U243" s="7">
        <v>1</v>
      </c>
      <c r="V243" s="7">
        <v>1</v>
      </c>
      <c r="W243" s="7">
        <v>1</v>
      </c>
      <c r="X243" s="7">
        <v>9</v>
      </c>
      <c r="Y243" s="8">
        <v>0.5</v>
      </c>
      <c r="Z243" s="14" t="s">
        <v>1119</v>
      </c>
      <c r="AA243" s="7">
        <v>0</v>
      </c>
      <c r="AB243" s="7">
        <v>0</v>
      </c>
      <c r="AC243" s="7">
        <v>1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1</v>
      </c>
      <c r="AJ243" s="7">
        <v>1</v>
      </c>
      <c r="AK243" s="7">
        <v>0</v>
      </c>
      <c r="AL243" s="7">
        <v>0</v>
      </c>
      <c r="AM243" s="7">
        <v>1</v>
      </c>
      <c r="AN243" s="7">
        <v>0</v>
      </c>
      <c r="AO243" s="7">
        <v>1</v>
      </c>
      <c r="AP243" s="7">
        <v>0</v>
      </c>
      <c r="AQ243" s="7">
        <v>1</v>
      </c>
      <c r="AR243" s="7">
        <v>0</v>
      </c>
      <c r="AS243" s="7">
        <v>6</v>
      </c>
      <c r="AT243" s="8">
        <v>0.33333333333333337</v>
      </c>
      <c r="AU243" s="14" t="s">
        <v>1102</v>
      </c>
      <c r="AV243" s="7">
        <v>15</v>
      </c>
      <c r="AW243" s="8">
        <v>0.41666666666666663</v>
      </c>
    </row>
    <row r="244" spans="1:49" ht="15.75" customHeight="1" x14ac:dyDescent="0.25">
      <c r="A244" s="5" t="s">
        <v>14</v>
      </c>
      <c r="B244" s="7" t="s">
        <v>399</v>
      </c>
      <c r="C244" s="7" t="s">
        <v>1103</v>
      </c>
      <c r="D244" s="6" t="s">
        <v>1097</v>
      </c>
      <c r="E244" s="5" t="s">
        <v>536</v>
      </c>
      <c r="F244" s="7">
        <v>1</v>
      </c>
      <c r="G244" s="7">
        <v>1</v>
      </c>
      <c r="H244" s="7">
        <v>0</v>
      </c>
      <c r="I244" s="7">
        <v>1</v>
      </c>
      <c r="J244" s="7">
        <v>0</v>
      </c>
      <c r="K244" s="7">
        <v>1</v>
      </c>
      <c r="L244" s="7">
        <v>0</v>
      </c>
      <c r="M244" s="7">
        <v>0</v>
      </c>
      <c r="N244" s="7">
        <v>0</v>
      </c>
      <c r="O244" s="7">
        <v>1</v>
      </c>
      <c r="P244" s="7">
        <v>1</v>
      </c>
      <c r="Q244" s="7">
        <v>0</v>
      </c>
      <c r="R244" s="7">
        <v>1</v>
      </c>
      <c r="S244" s="7">
        <v>1</v>
      </c>
      <c r="T244" s="7">
        <v>1</v>
      </c>
      <c r="U244" s="7">
        <v>1</v>
      </c>
      <c r="V244" s="7">
        <v>1</v>
      </c>
      <c r="W244" s="7">
        <v>1</v>
      </c>
      <c r="X244" s="7">
        <v>12</v>
      </c>
      <c r="Y244" s="8">
        <v>0.66666666666666674</v>
      </c>
      <c r="Z244" s="14" t="s">
        <v>1119</v>
      </c>
      <c r="AA244" s="7">
        <v>1</v>
      </c>
      <c r="AB244" s="7">
        <v>1</v>
      </c>
      <c r="AC244" s="7">
        <v>1</v>
      </c>
      <c r="AD244" s="7">
        <v>1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1</v>
      </c>
      <c r="AK244" s="7">
        <v>1</v>
      </c>
      <c r="AL244" s="7">
        <v>0</v>
      </c>
      <c r="AM244" s="7">
        <v>0</v>
      </c>
      <c r="AN244" s="7">
        <v>0</v>
      </c>
      <c r="AO244" s="7">
        <v>1</v>
      </c>
      <c r="AP244" s="7">
        <v>0</v>
      </c>
      <c r="AQ244" s="7">
        <v>1</v>
      </c>
      <c r="AR244" s="7">
        <v>1</v>
      </c>
      <c r="AS244" s="7">
        <v>9</v>
      </c>
      <c r="AT244" s="8">
        <v>0.5</v>
      </c>
      <c r="AU244" s="14" t="s">
        <v>1119</v>
      </c>
      <c r="AV244" s="7">
        <v>21</v>
      </c>
      <c r="AW244" s="8">
        <v>0.58333333333333337</v>
      </c>
    </row>
    <row r="245" spans="1:49" ht="15.75" customHeight="1" x14ac:dyDescent="0.25">
      <c r="A245" s="5" t="s">
        <v>14</v>
      </c>
      <c r="B245" s="7" t="s">
        <v>399</v>
      </c>
      <c r="C245" s="7" t="s">
        <v>1104</v>
      </c>
      <c r="D245" s="6" t="s">
        <v>1097</v>
      </c>
      <c r="E245" s="5" t="s">
        <v>537</v>
      </c>
      <c r="F245" s="7">
        <v>1</v>
      </c>
      <c r="G245" s="7">
        <v>1</v>
      </c>
      <c r="H245" s="7">
        <v>0</v>
      </c>
      <c r="I245" s="7">
        <v>1</v>
      </c>
      <c r="J245" s="7">
        <v>1</v>
      </c>
      <c r="K245" s="7">
        <v>1</v>
      </c>
      <c r="L245" s="7">
        <v>1</v>
      </c>
      <c r="M245" s="7">
        <v>1</v>
      </c>
      <c r="N245" s="7">
        <v>1</v>
      </c>
      <c r="O245" s="7">
        <v>1</v>
      </c>
      <c r="P245" s="7">
        <v>1</v>
      </c>
      <c r="Q245" s="7">
        <v>1</v>
      </c>
      <c r="R245" s="7">
        <v>1</v>
      </c>
      <c r="S245" s="7">
        <v>1</v>
      </c>
      <c r="T245" s="7">
        <v>0</v>
      </c>
      <c r="U245" s="7">
        <v>1</v>
      </c>
      <c r="V245" s="7">
        <v>1</v>
      </c>
      <c r="W245" s="7">
        <v>1</v>
      </c>
      <c r="X245" s="7">
        <v>16</v>
      </c>
      <c r="Y245" s="8">
        <v>0.88888888888888884</v>
      </c>
      <c r="Z245" s="14" t="s">
        <v>1120</v>
      </c>
      <c r="AA245" s="7">
        <v>1</v>
      </c>
      <c r="AB245" s="7">
        <v>1</v>
      </c>
      <c r="AC245" s="7">
        <v>1</v>
      </c>
      <c r="AD245" s="7">
        <v>1</v>
      </c>
      <c r="AE245" s="7">
        <v>0</v>
      </c>
      <c r="AF245" s="7">
        <v>0</v>
      </c>
      <c r="AG245" s="7">
        <v>1</v>
      </c>
      <c r="AH245" s="7">
        <v>1</v>
      </c>
      <c r="AI245" s="7">
        <v>1</v>
      </c>
      <c r="AJ245" s="7">
        <v>1</v>
      </c>
      <c r="AK245" s="7">
        <v>1</v>
      </c>
      <c r="AL245" s="7">
        <v>1</v>
      </c>
      <c r="AM245" s="7">
        <v>0</v>
      </c>
      <c r="AN245" s="7">
        <v>1</v>
      </c>
      <c r="AO245" s="7">
        <v>1</v>
      </c>
      <c r="AP245" s="7">
        <v>0</v>
      </c>
      <c r="AQ245" s="7">
        <v>1</v>
      </c>
      <c r="AR245" s="7">
        <v>0</v>
      </c>
      <c r="AS245" s="7">
        <v>13</v>
      </c>
      <c r="AT245" s="8">
        <v>0.72222222222222232</v>
      </c>
      <c r="AU245" s="14" t="s">
        <v>1120</v>
      </c>
      <c r="AV245" s="7">
        <v>29</v>
      </c>
      <c r="AW245" s="8">
        <v>0.80555555555555558</v>
      </c>
    </row>
    <row r="246" spans="1:49" ht="15.75" customHeight="1" x14ac:dyDescent="0.25">
      <c r="A246" s="5" t="s">
        <v>14</v>
      </c>
      <c r="B246" s="7" t="s">
        <v>399</v>
      </c>
      <c r="C246" s="7" t="s">
        <v>1104</v>
      </c>
      <c r="D246" s="6" t="s">
        <v>1097</v>
      </c>
      <c r="E246" s="5" t="s">
        <v>538</v>
      </c>
      <c r="F246" s="7">
        <v>1</v>
      </c>
      <c r="G246" s="7">
        <v>1</v>
      </c>
      <c r="H246" s="7">
        <v>1</v>
      </c>
      <c r="I246" s="7">
        <v>1</v>
      </c>
      <c r="J246" s="7">
        <v>1</v>
      </c>
      <c r="K246" s="7">
        <v>1</v>
      </c>
      <c r="L246" s="7">
        <v>1</v>
      </c>
      <c r="M246" s="7">
        <v>0</v>
      </c>
      <c r="N246" s="7">
        <v>0</v>
      </c>
      <c r="O246" s="7">
        <v>1</v>
      </c>
      <c r="P246" s="7">
        <v>1</v>
      </c>
      <c r="Q246" s="7">
        <v>1</v>
      </c>
      <c r="R246" s="7">
        <v>1</v>
      </c>
      <c r="S246" s="7">
        <v>1</v>
      </c>
      <c r="T246" s="7">
        <v>1</v>
      </c>
      <c r="U246" s="7">
        <v>1</v>
      </c>
      <c r="V246" s="7">
        <v>1</v>
      </c>
      <c r="W246" s="7">
        <v>1</v>
      </c>
      <c r="X246" s="7">
        <v>16</v>
      </c>
      <c r="Y246" s="8">
        <v>0.88888888888888884</v>
      </c>
      <c r="Z246" s="14" t="s">
        <v>1120</v>
      </c>
      <c r="AA246" s="7">
        <v>1</v>
      </c>
      <c r="AB246" s="7">
        <v>1</v>
      </c>
      <c r="AC246" s="7">
        <v>1</v>
      </c>
      <c r="AD246" s="7">
        <v>1</v>
      </c>
      <c r="AE246" s="7">
        <v>0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0</v>
      </c>
      <c r="AL246" s="7">
        <v>1</v>
      </c>
      <c r="AM246" s="7">
        <v>0</v>
      </c>
      <c r="AN246" s="7">
        <v>1</v>
      </c>
      <c r="AO246" s="7">
        <v>0</v>
      </c>
      <c r="AP246" s="7">
        <v>1</v>
      </c>
      <c r="AQ246" s="7">
        <v>1</v>
      </c>
      <c r="AR246" s="7">
        <v>1</v>
      </c>
      <c r="AS246" s="7">
        <v>14</v>
      </c>
      <c r="AT246" s="8">
        <v>0.77777777777777768</v>
      </c>
      <c r="AU246" s="14" t="s">
        <v>1120</v>
      </c>
      <c r="AV246" s="7">
        <v>30</v>
      </c>
      <c r="AW246" s="8">
        <v>0.83333333333333326</v>
      </c>
    </row>
    <row r="247" spans="1:49" ht="15.75" customHeight="1" x14ac:dyDescent="0.25">
      <c r="A247" s="5" t="s">
        <v>14</v>
      </c>
      <c r="B247" s="7" t="s">
        <v>399</v>
      </c>
      <c r="C247" s="7" t="s">
        <v>1103</v>
      </c>
      <c r="D247" s="6" t="s">
        <v>1097</v>
      </c>
      <c r="E247" s="5" t="s">
        <v>539</v>
      </c>
      <c r="F247" s="7">
        <v>1</v>
      </c>
      <c r="G247" s="7">
        <v>1</v>
      </c>
      <c r="H247" s="7">
        <v>0</v>
      </c>
      <c r="I247" s="7">
        <v>1</v>
      </c>
      <c r="J247" s="7">
        <v>1</v>
      </c>
      <c r="K247" s="7">
        <v>1</v>
      </c>
      <c r="L247" s="7">
        <v>1</v>
      </c>
      <c r="M247" s="7">
        <v>1</v>
      </c>
      <c r="N247" s="7">
        <v>0</v>
      </c>
      <c r="O247" s="7">
        <v>1</v>
      </c>
      <c r="P247" s="7">
        <v>1</v>
      </c>
      <c r="Q247" s="7">
        <v>0</v>
      </c>
      <c r="R247" s="7">
        <v>1</v>
      </c>
      <c r="S247" s="7">
        <v>0</v>
      </c>
      <c r="T247" s="7">
        <v>1</v>
      </c>
      <c r="U247" s="7">
        <v>1</v>
      </c>
      <c r="V247" s="7">
        <v>1</v>
      </c>
      <c r="W247" s="7">
        <v>1</v>
      </c>
      <c r="X247" s="7">
        <v>14</v>
      </c>
      <c r="Y247" s="8">
        <v>0.77777777777777768</v>
      </c>
      <c r="Z247" s="14" t="s">
        <v>1120</v>
      </c>
      <c r="AA247" s="7">
        <v>1</v>
      </c>
      <c r="AB247" s="7">
        <v>1</v>
      </c>
      <c r="AC247" s="7">
        <v>1</v>
      </c>
      <c r="AD247" s="7">
        <v>1</v>
      </c>
      <c r="AE247" s="7">
        <v>1</v>
      </c>
      <c r="AF247" s="7">
        <v>0</v>
      </c>
      <c r="AG247" s="7">
        <v>1</v>
      </c>
      <c r="AH247" s="7">
        <v>1</v>
      </c>
      <c r="AI247" s="7">
        <v>0</v>
      </c>
      <c r="AJ247" s="7">
        <v>1</v>
      </c>
      <c r="AK247" s="7">
        <v>1</v>
      </c>
      <c r="AL247" s="7">
        <v>0</v>
      </c>
      <c r="AM247" s="7">
        <v>1</v>
      </c>
      <c r="AN247" s="7">
        <v>1</v>
      </c>
      <c r="AO247" s="7">
        <v>1</v>
      </c>
      <c r="AP247" s="7">
        <v>1</v>
      </c>
      <c r="AQ247" s="7">
        <v>1</v>
      </c>
      <c r="AR247" s="7">
        <v>1</v>
      </c>
      <c r="AS247" s="7">
        <v>15</v>
      </c>
      <c r="AT247" s="8">
        <v>0.83333333333333326</v>
      </c>
      <c r="AU247" s="14" t="s">
        <v>1120</v>
      </c>
      <c r="AV247" s="7">
        <v>29</v>
      </c>
      <c r="AW247" s="8">
        <v>0.80555555555555558</v>
      </c>
    </row>
    <row r="248" spans="1:49" ht="15.75" customHeight="1" x14ac:dyDescent="0.25">
      <c r="A248" s="5" t="s">
        <v>14</v>
      </c>
      <c r="B248" s="7" t="s">
        <v>399</v>
      </c>
      <c r="C248" s="7" t="s">
        <v>1104</v>
      </c>
      <c r="D248" s="6" t="s">
        <v>1097</v>
      </c>
      <c r="E248" s="5" t="s">
        <v>540</v>
      </c>
      <c r="F248" s="7">
        <v>1</v>
      </c>
      <c r="G248" s="7">
        <v>1</v>
      </c>
      <c r="H248" s="7">
        <v>1</v>
      </c>
      <c r="I248" s="7">
        <v>0</v>
      </c>
      <c r="J248" s="7">
        <v>0</v>
      </c>
      <c r="K248" s="7">
        <v>1</v>
      </c>
      <c r="L248" s="7">
        <v>1</v>
      </c>
      <c r="M248" s="7">
        <v>0</v>
      </c>
      <c r="N248" s="7">
        <v>0</v>
      </c>
      <c r="O248" s="7">
        <v>1</v>
      </c>
      <c r="P248" s="7">
        <v>0</v>
      </c>
      <c r="Q248" s="7">
        <v>0</v>
      </c>
      <c r="R248" s="7">
        <v>0</v>
      </c>
      <c r="S248" s="7">
        <v>0</v>
      </c>
      <c r="T248" s="7">
        <v>1</v>
      </c>
      <c r="U248" s="7">
        <v>1</v>
      </c>
      <c r="V248" s="7">
        <v>0</v>
      </c>
      <c r="W248" s="7">
        <v>0</v>
      </c>
      <c r="X248" s="7">
        <v>8</v>
      </c>
      <c r="Y248" s="8">
        <v>0.44444444444444442</v>
      </c>
      <c r="Z248" s="14" t="s">
        <v>1119</v>
      </c>
      <c r="AA248" s="7">
        <v>0</v>
      </c>
      <c r="AB248" s="7">
        <v>1</v>
      </c>
      <c r="AC248" s="7">
        <v>1</v>
      </c>
      <c r="AD248" s="7">
        <v>0</v>
      </c>
      <c r="AE248" s="7">
        <v>0</v>
      </c>
      <c r="AF248" s="7">
        <v>1</v>
      </c>
      <c r="AG248" s="7">
        <v>1</v>
      </c>
      <c r="AH248" s="7">
        <v>0</v>
      </c>
      <c r="AI248" s="7">
        <v>0</v>
      </c>
      <c r="AJ248" s="7">
        <v>1</v>
      </c>
      <c r="AK248" s="7">
        <v>1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1</v>
      </c>
      <c r="AR248" s="7">
        <v>1</v>
      </c>
      <c r="AS248" s="7">
        <v>8</v>
      </c>
      <c r="AT248" s="8">
        <v>0.44444444444444442</v>
      </c>
      <c r="AU248" s="14" t="s">
        <v>1119</v>
      </c>
      <c r="AV248" s="7">
        <v>16</v>
      </c>
      <c r="AW248" s="8">
        <v>0.44444444444444442</v>
      </c>
    </row>
    <row r="249" spans="1:49" ht="15.75" customHeight="1" x14ac:dyDescent="0.25">
      <c r="A249" s="5" t="s">
        <v>14</v>
      </c>
      <c r="B249" s="7" t="s">
        <v>399</v>
      </c>
      <c r="C249" s="7" t="s">
        <v>1104</v>
      </c>
      <c r="D249" s="6" t="s">
        <v>1097</v>
      </c>
      <c r="E249" s="5" t="s">
        <v>541</v>
      </c>
      <c r="F249" s="7">
        <v>1</v>
      </c>
      <c r="G249" s="7">
        <v>1</v>
      </c>
      <c r="H249" s="7">
        <v>1</v>
      </c>
      <c r="I249" s="7">
        <v>1</v>
      </c>
      <c r="J249" s="7">
        <v>1</v>
      </c>
      <c r="K249" s="7">
        <v>1</v>
      </c>
      <c r="L249" s="7">
        <v>1</v>
      </c>
      <c r="M249" s="7">
        <v>1</v>
      </c>
      <c r="N249" s="7">
        <v>1</v>
      </c>
      <c r="O249" s="7">
        <v>1</v>
      </c>
      <c r="P249" s="7">
        <v>1</v>
      </c>
      <c r="Q249" s="7">
        <v>1</v>
      </c>
      <c r="R249" s="7">
        <v>1</v>
      </c>
      <c r="S249" s="7">
        <v>0</v>
      </c>
      <c r="T249" s="7">
        <v>1</v>
      </c>
      <c r="U249" s="7">
        <v>1</v>
      </c>
      <c r="V249" s="7">
        <v>1</v>
      </c>
      <c r="W249" s="7">
        <v>1</v>
      </c>
      <c r="X249" s="7">
        <v>17</v>
      </c>
      <c r="Y249" s="8">
        <v>0.94444444444444442</v>
      </c>
      <c r="Z249" s="14" t="s">
        <v>1120</v>
      </c>
      <c r="AA249" s="7">
        <v>1</v>
      </c>
      <c r="AB249" s="7">
        <v>1</v>
      </c>
      <c r="AC249" s="7">
        <v>1</v>
      </c>
      <c r="AD249" s="7">
        <v>1</v>
      </c>
      <c r="AE249" s="7">
        <v>0</v>
      </c>
      <c r="AF249" s="7">
        <v>0</v>
      </c>
      <c r="AG249" s="7">
        <v>1</v>
      </c>
      <c r="AH249" s="7">
        <v>1</v>
      </c>
      <c r="AI249" s="7">
        <v>1</v>
      </c>
      <c r="AJ249" s="7">
        <v>1</v>
      </c>
      <c r="AK249" s="7">
        <v>1</v>
      </c>
      <c r="AL249" s="7">
        <v>0</v>
      </c>
      <c r="AM249" s="7">
        <v>0</v>
      </c>
      <c r="AN249" s="7">
        <v>1</v>
      </c>
      <c r="AO249" s="7">
        <v>1</v>
      </c>
      <c r="AP249" s="7">
        <v>1</v>
      </c>
      <c r="AQ249" s="7">
        <v>1</v>
      </c>
      <c r="AR249" s="7">
        <v>1</v>
      </c>
      <c r="AS249" s="7">
        <v>14</v>
      </c>
      <c r="AT249" s="8">
        <v>0.77777777777777768</v>
      </c>
      <c r="AU249" s="14" t="s">
        <v>1120</v>
      </c>
      <c r="AV249" s="7">
        <v>31</v>
      </c>
      <c r="AW249" s="8">
        <v>0.86111111111111116</v>
      </c>
    </row>
    <row r="250" spans="1:49" ht="15.75" customHeight="1" x14ac:dyDescent="0.25">
      <c r="A250" s="5" t="s">
        <v>14</v>
      </c>
      <c r="B250" s="7" t="s">
        <v>399</v>
      </c>
      <c r="C250" s="7" t="s">
        <v>1104</v>
      </c>
      <c r="D250" s="6" t="s">
        <v>1097</v>
      </c>
      <c r="E250" s="5" t="s">
        <v>542</v>
      </c>
      <c r="F250" s="7">
        <v>1</v>
      </c>
      <c r="G250" s="7">
        <v>1</v>
      </c>
      <c r="H250" s="7">
        <v>1</v>
      </c>
      <c r="I250" s="7">
        <v>1</v>
      </c>
      <c r="J250" s="7">
        <v>0</v>
      </c>
      <c r="K250" s="7">
        <v>1</v>
      </c>
      <c r="L250" s="7">
        <v>1</v>
      </c>
      <c r="M250" s="7">
        <v>1</v>
      </c>
      <c r="N250" s="7">
        <v>1</v>
      </c>
      <c r="O250" s="7">
        <v>1</v>
      </c>
      <c r="P250" s="7">
        <v>1</v>
      </c>
      <c r="Q250" s="7">
        <v>0</v>
      </c>
      <c r="R250" s="7">
        <v>0</v>
      </c>
      <c r="S250" s="7">
        <v>0</v>
      </c>
      <c r="T250" s="7">
        <v>1</v>
      </c>
      <c r="U250" s="7">
        <v>1</v>
      </c>
      <c r="V250" s="7">
        <v>1</v>
      </c>
      <c r="W250" s="7">
        <v>1</v>
      </c>
      <c r="X250" s="7">
        <v>14</v>
      </c>
      <c r="Y250" s="8">
        <v>0.77777777777777768</v>
      </c>
      <c r="Z250" s="14" t="s">
        <v>1120</v>
      </c>
      <c r="AA250" s="7">
        <v>1</v>
      </c>
      <c r="AB250" s="7">
        <v>1</v>
      </c>
      <c r="AC250" s="7">
        <v>1</v>
      </c>
      <c r="AD250" s="7">
        <v>0</v>
      </c>
      <c r="AE250" s="7">
        <v>1</v>
      </c>
      <c r="AF250" s="7">
        <v>0</v>
      </c>
      <c r="AG250" s="7">
        <v>1</v>
      </c>
      <c r="AH250" s="7">
        <v>1</v>
      </c>
      <c r="AI250" s="7">
        <v>0</v>
      </c>
      <c r="AJ250" s="7">
        <v>1</v>
      </c>
      <c r="AK250" s="7">
        <v>1</v>
      </c>
      <c r="AL250" s="7">
        <v>1</v>
      </c>
      <c r="AM250" s="7">
        <v>0</v>
      </c>
      <c r="AN250" s="7">
        <v>0</v>
      </c>
      <c r="AO250" s="7">
        <v>1</v>
      </c>
      <c r="AP250" s="7">
        <v>1</v>
      </c>
      <c r="AQ250" s="7">
        <v>1</v>
      </c>
      <c r="AR250" s="7">
        <v>1</v>
      </c>
      <c r="AS250" s="7">
        <v>13</v>
      </c>
      <c r="AT250" s="8">
        <v>0.72222222222222232</v>
      </c>
      <c r="AU250" s="14" t="s">
        <v>1120</v>
      </c>
      <c r="AV250" s="7">
        <v>27</v>
      </c>
      <c r="AW250" s="8">
        <v>0.75</v>
      </c>
    </row>
    <row r="251" spans="1:49" ht="15.75" customHeight="1" x14ac:dyDescent="0.25">
      <c r="A251" s="5" t="s">
        <v>14</v>
      </c>
      <c r="B251" s="7" t="s">
        <v>399</v>
      </c>
      <c r="C251" s="7" t="s">
        <v>1104</v>
      </c>
      <c r="D251" s="6" t="s">
        <v>1097</v>
      </c>
      <c r="E251" s="5" t="s">
        <v>543</v>
      </c>
      <c r="F251" s="7">
        <v>1</v>
      </c>
      <c r="G251" s="7">
        <v>1</v>
      </c>
      <c r="H251" s="7">
        <v>1</v>
      </c>
      <c r="I251" s="7">
        <v>1</v>
      </c>
      <c r="J251" s="7">
        <v>0</v>
      </c>
      <c r="K251" s="7">
        <v>1</v>
      </c>
      <c r="L251" s="7">
        <v>0</v>
      </c>
      <c r="M251" s="7">
        <v>0</v>
      </c>
      <c r="N251" s="7">
        <v>0</v>
      </c>
      <c r="O251" s="7">
        <v>1</v>
      </c>
      <c r="P251" s="7">
        <v>1</v>
      </c>
      <c r="Q251" s="7">
        <v>1</v>
      </c>
      <c r="R251" s="7">
        <v>0</v>
      </c>
      <c r="S251" s="7">
        <v>1</v>
      </c>
      <c r="T251" s="7">
        <v>0</v>
      </c>
      <c r="U251" s="7">
        <v>1</v>
      </c>
      <c r="V251" s="7">
        <v>1</v>
      </c>
      <c r="W251" s="7">
        <v>0</v>
      </c>
      <c r="X251" s="7">
        <v>11</v>
      </c>
      <c r="Y251" s="8">
        <v>0.61111111111111116</v>
      </c>
      <c r="Z251" s="14" t="s">
        <v>1119</v>
      </c>
      <c r="AA251" s="7">
        <v>1</v>
      </c>
      <c r="AB251" s="7">
        <v>1</v>
      </c>
      <c r="AC251" s="7">
        <v>1</v>
      </c>
      <c r="AD251" s="7">
        <v>0</v>
      </c>
      <c r="AE251" s="7">
        <v>0</v>
      </c>
      <c r="AF251" s="7">
        <v>0</v>
      </c>
      <c r="AG251" s="7">
        <v>1</v>
      </c>
      <c r="AH251" s="7">
        <v>0</v>
      </c>
      <c r="AI251" s="7">
        <v>0</v>
      </c>
      <c r="AJ251" s="7">
        <v>1</v>
      </c>
      <c r="AK251" s="7">
        <v>1</v>
      </c>
      <c r="AL251" s="7">
        <v>1</v>
      </c>
      <c r="AM251" s="7">
        <v>0</v>
      </c>
      <c r="AN251" s="7">
        <v>1</v>
      </c>
      <c r="AO251" s="7">
        <v>1</v>
      </c>
      <c r="AP251" s="7">
        <v>0</v>
      </c>
      <c r="AQ251" s="7">
        <v>1</v>
      </c>
      <c r="AR251" s="7">
        <v>1</v>
      </c>
      <c r="AS251" s="7">
        <v>11</v>
      </c>
      <c r="AT251" s="8">
        <v>0.61111111111111116</v>
      </c>
      <c r="AU251" s="14" t="s">
        <v>1119</v>
      </c>
      <c r="AV251" s="7">
        <v>22</v>
      </c>
      <c r="AW251" s="8">
        <v>0.61111111111111116</v>
      </c>
    </row>
    <row r="252" spans="1:49" ht="15.75" customHeight="1" x14ac:dyDescent="0.25">
      <c r="A252" s="5" t="s">
        <v>14</v>
      </c>
      <c r="B252" s="7" t="s">
        <v>399</v>
      </c>
      <c r="C252" s="7" t="s">
        <v>1104</v>
      </c>
      <c r="D252" s="6" t="s">
        <v>1097</v>
      </c>
      <c r="E252" s="5" t="s">
        <v>544</v>
      </c>
      <c r="F252" s="7">
        <v>1</v>
      </c>
      <c r="G252" s="7">
        <v>1</v>
      </c>
      <c r="H252" s="7">
        <v>1</v>
      </c>
      <c r="I252" s="7">
        <v>1</v>
      </c>
      <c r="J252" s="7">
        <v>0</v>
      </c>
      <c r="K252" s="7">
        <v>1</v>
      </c>
      <c r="L252" s="7">
        <v>1</v>
      </c>
      <c r="M252" s="7">
        <v>0</v>
      </c>
      <c r="N252" s="7">
        <v>0</v>
      </c>
      <c r="O252" s="7">
        <v>1</v>
      </c>
      <c r="P252" s="7">
        <v>1</v>
      </c>
      <c r="Q252" s="7">
        <v>1</v>
      </c>
      <c r="R252" s="7">
        <v>1</v>
      </c>
      <c r="S252" s="7">
        <v>0</v>
      </c>
      <c r="T252" s="7">
        <v>1</v>
      </c>
      <c r="U252" s="7">
        <v>1</v>
      </c>
      <c r="V252" s="7">
        <v>1</v>
      </c>
      <c r="W252" s="7">
        <v>0</v>
      </c>
      <c r="X252" s="7">
        <v>13</v>
      </c>
      <c r="Y252" s="8">
        <v>0.72222222222222232</v>
      </c>
      <c r="Z252" s="14" t="s">
        <v>1120</v>
      </c>
      <c r="AA252" s="7">
        <v>1</v>
      </c>
      <c r="AB252" s="7">
        <v>1</v>
      </c>
      <c r="AC252" s="7">
        <v>0</v>
      </c>
      <c r="AD252" s="7">
        <v>1</v>
      </c>
      <c r="AE252" s="7">
        <v>0</v>
      </c>
      <c r="AF252" s="7">
        <v>0</v>
      </c>
      <c r="AG252" s="7">
        <v>1</v>
      </c>
      <c r="AH252" s="7">
        <v>1</v>
      </c>
      <c r="AI252" s="7">
        <v>1</v>
      </c>
      <c r="AJ252" s="7">
        <v>1</v>
      </c>
      <c r="AK252" s="7">
        <v>1</v>
      </c>
      <c r="AL252" s="7">
        <v>1</v>
      </c>
      <c r="AM252" s="7">
        <v>0</v>
      </c>
      <c r="AN252" s="7">
        <v>1</v>
      </c>
      <c r="AO252" s="7">
        <v>1</v>
      </c>
      <c r="AP252" s="7">
        <v>0</v>
      </c>
      <c r="AQ252" s="7">
        <v>1</v>
      </c>
      <c r="AR252" s="7">
        <v>1</v>
      </c>
      <c r="AS252" s="7">
        <v>13</v>
      </c>
      <c r="AT252" s="8">
        <v>0.72222222222222232</v>
      </c>
      <c r="AU252" s="14" t="s">
        <v>1120</v>
      </c>
      <c r="AV252" s="7">
        <v>26</v>
      </c>
      <c r="AW252" s="8">
        <v>0.72222222222222232</v>
      </c>
    </row>
    <row r="253" spans="1:49" ht="15.75" customHeight="1" x14ac:dyDescent="0.25">
      <c r="A253" s="5" t="s">
        <v>14</v>
      </c>
      <c r="B253" s="7" t="s">
        <v>399</v>
      </c>
      <c r="C253" s="7" t="s">
        <v>1104</v>
      </c>
      <c r="D253" s="6" t="s">
        <v>1097</v>
      </c>
      <c r="E253" s="5" t="s">
        <v>545</v>
      </c>
      <c r="F253" s="7">
        <v>0</v>
      </c>
      <c r="G253" s="7">
        <v>1</v>
      </c>
      <c r="H253" s="7">
        <v>1</v>
      </c>
      <c r="I253" s="7">
        <v>1</v>
      </c>
      <c r="J253" s="7">
        <v>0</v>
      </c>
      <c r="K253" s="7">
        <v>1</v>
      </c>
      <c r="L253" s="7">
        <v>1</v>
      </c>
      <c r="M253" s="7">
        <v>0</v>
      </c>
      <c r="N253" s="7">
        <v>1</v>
      </c>
      <c r="O253" s="7">
        <v>1</v>
      </c>
      <c r="P253" s="7">
        <v>1</v>
      </c>
      <c r="Q253" s="7">
        <v>0</v>
      </c>
      <c r="R253" s="7">
        <v>1</v>
      </c>
      <c r="S253" s="7">
        <v>0</v>
      </c>
      <c r="T253" s="7">
        <v>0</v>
      </c>
      <c r="U253" s="7">
        <v>0</v>
      </c>
      <c r="V253" s="7">
        <v>1</v>
      </c>
      <c r="W253" s="7">
        <v>0</v>
      </c>
      <c r="X253" s="7">
        <v>10</v>
      </c>
      <c r="Y253" s="8">
        <v>0.55555555555555558</v>
      </c>
      <c r="Z253" s="14" t="s">
        <v>1119</v>
      </c>
      <c r="AA253" s="7">
        <v>0</v>
      </c>
      <c r="AB253" s="7">
        <v>1</v>
      </c>
      <c r="AC253" s="7">
        <v>0</v>
      </c>
      <c r="AD253" s="7">
        <v>1</v>
      </c>
      <c r="AE253" s="7">
        <v>0</v>
      </c>
      <c r="AF253" s="7">
        <v>0</v>
      </c>
      <c r="AG253" s="7">
        <v>1</v>
      </c>
      <c r="AH253" s="7">
        <v>0</v>
      </c>
      <c r="AI253" s="7">
        <v>0</v>
      </c>
      <c r="AJ253" s="7">
        <v>1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7">
        <v>1</v>
      </c>
      <c r="AR253" s="7">
        <v>1</v>
      </c>
      <c r="AS253" s="7">
        <v>7</v>
      </c>
      <c r="AT253" s="8">
        <v>0.38888888888888884</v>
      </c>
      <c r="AU253" s="14" t="s">
        <v>1102</v>
      </c>
      <c r="AV253" s="7">
        <v>17</v>
      </c>
      <c r="AW253" s="8">
        <v>0.47222222222222221</v>
      </c>
    </row>
    <row r="254" spans="1:49" ht="15.75" customHeight="1" x14ac:dyDescent="0.25">
      <c r="A254" s="5" t="s">
        <v>201</v>
      </c>
      <c r="B254" s="6" t="s">
        <v>1069</v>
      </c>
      <c r="C254" s="6" t="s">
        <v>1103</v>
      </c>
      <c r="D254" s="6" t="s">
        <v>1097</v>
      </c>
      <c r="E254" s="5" t="s">
        <v>546</v>
      </c>
      <c r="F254" s="7">
        <v>1</v>
      </c>
      <c r="G254" s="7">
        <v>1</v>
      </c>
      <c r="H254" s="7">
        <v>0</v>
      </c>
      <c r="I254" s="7">
        <v>1</v>
      </c>
      <c r="J254" s="7">
        <v>1</v>
      </c>
      <c r="K254" s="7">
        <v>1</v>
      </c>
      <c r="L254" s="7">
        <v>1</v>
      </c>
      <c r="M254" s="7">
        <v>0</v>
      </c>
      <c r="N254" s="7">
        <v>9</v>
      </c>
      <c r="O254" s="7">
        <v>1</v>
      </c>
      <c r="P254" s="7">
        <v>1</v>
      </c>
      <c r="Q254" s="7">
        <v>1</v>
      </c>
      <c r="R254" s="7">
        <v>0</v>
      </c>
      <c r="S254" s="7">
        <v>1</v>
      </c>
      <c r="T254" s="7">
        <v>1</v>
      </c>
      <c r="U254" s="7">
        <v>1</v>
      </c>
      <c r="V254" s="7">
        <v>1</v>
      </c>
      <c r="W254" s="7">
        <v>1</v>
      </c>
      <c r="X254" s="7">
        <v>23</v>
      </c>
      <c r="Y254" s="8">
        <v>1.2777777777777777</v>
      </c>
      <c r="Z254" s="14" t="s">
        <v>1120</v>
      </c>
      <c r="AA254" s="7">
        <v>0</v>
      </c>
      <c r="AB254" s="7">
        <v>1</v>
      </c>
      <c r="AC254" s="7">
        <v>1</v>
      </c>
      <c r="AD254" s="7">
        <v>0</v>
      </c>
      <c r="AE254" s="7">
        <v>0</v>
      </c>
      <c r="AF254" s="7">
        <v>0</v>
      </c>
      <c r="AG254" s="7">
        <v>1</v>
      </c>
      <c r="AH254" s="7">
        <v>1</v>
      </c>
      <c r="AI254" s="7">
        <v>0</v>
      </c>
      <c r="AJ254" s="7">
        <v>1</v>
      </c>
      <c r="AK254" s="7">
        <v>1</v>
      </c>
      <c r="AL254" s="7">
        <v>1</v>
      </c>
      <c r="AM254" s="7">
        <v>0</v>
      </c>
      <c r="AN254" s="7">
        <v>1</v>
      </c>
      <c r="AO254" s="7">
        <v>1</v>
      </c>
      <c r="AP254" s="7">
        <v>0</v>
      </c>
      <c r="AQ254" s="7">
        <v>1</v>
      </c>
      <c r="AR254" s="7">
        <v>1</v>
      </c>
      <c r="AS254" s="7">
        <v>11</v>
      </c>
      <c r="AT254" s="8">
        <v>0.61111111111111116</v>
      </c>
      <c r="AU254" s="14" t="s">
        <v>1119</v>
      </c>
      <c r="AV254" s="7">
        <v>34</v>
      </c>
      <c r="AW254" s="8">
        <v>0.94444444444444442</v>
      </c>
    </row>
    <row r="255" spans="1:49" ht="15.75" customHeight="1" x14ac:dyDescent="0.25">
      <c r="A255" s="5" t="s">
        <v>201</v>
      </c>
      <c r="B255" s="6" t="s">
        <v>1069</v>
      </c>
      <c r="C255" s="6" t="s">
        <v>1104</v>
      </c>
      <c r="D255" s="6" t="s">
        <v>1097</v>
      </c>
      <c r="E255" s="5" t="s">
        <v>547</v>
      </c>
      <c r="F255" s="7">
        <v>1</v>
      </c>
      <c r="G255" s="7">
        <v>1</v>
      </c>
      <c r="H255" s="7">
        <v>1</v>
      </c>
      <c r="I255" s="7">
        <v>1</v>
      </c>
      <c r="J255" s="7">
        <v>0</v>
      </c>
      <c r="K255" s="7">
        <v>1</v>
      </c>
      <c r="L255" s="7">
        <v>0</v>
      </c>
      <c r="M255" s="7">
        <v>1</v>
      </c>
      <c r="N255" s="7">
        <v>0</v>
      </c>
      <c r="O255" s="7">
        <v>1</v>
      </c>
      <c r="P255" s="7">
        <v>1</v>
      </c>
      <c r="Q255" s="7">
        <v>1</v>
      </c>
      <c r="R255" s="7">
        <v>0</v>
      </c>
      <c r="S255" s="7">
        <v>0</v>
      </c>
      <c r="T255" s="7">
        <v>1</v>
      </c>
      <c r="U255" s="7">
        <v>1</v>
      </c>
      <c r="V255" s="7">
        <v>1</v>
      </c>
      <c r="W255" s="7">
        <v>1</v>
      </c>
      <c r="X255" s="7">
        <v>13</v>
      </c>
      <c r="Y255" s="8">
        <v>0.72222222222222232</v>
      </c>
      <c r="Z255" s="14" t="s">
        <v>1120</v>
      </c>
      <c r="AA255" s="7">
        <v>1</v>
      </c>
      <c r="AB255" s="7">
        <v>1</v>
      </c>
      <c r="AC255" s="7">
        <v>1</v>
      </c>
      <c r="AD255" s="7">
        <v>1</v>
      </c>
      <c r="AE255" s="7">
        <v>1</v>
      </c>
      <c r="AF255" s="7">
        <v>1</v>
      </c>
      <c r="AG255" s="7">
        <v>1</v>
      </c>
      <c r="AH255" s="7">
        <v>1</v>
      </c>
      <c r="AI255" s="7">
        <v>1</v>
      </c>
      <c r="AJ255" s="7">
        <v>1</v>
      </c>
      <c r="AK255" s="7">
        <v>1</v>
      </c>
      <c r="AL255" s="7">
        <v>1</v>
      </c>
      <c r="AM255" s="7">
        <v>1</v>
      </c>
      <c r="AN255" s="7">
        <v>1</v>
      </c>
      <c r="AO255" s="7">
        <v>1</v>
      </c>
      <c r="AP255" s="7">
        <v>1</v>
      </c>
      <c r="AQ255" s="7">
        <v>1</v>
      </c>
      <c r="AR255" s="7">
        <v>1</v>
      </c>
      <c r="AS255" s="7">
        <v>18</v>
      </c>
      <c r="AT255" s="8">
        <v>1</v>
      </c>
      <c r="AU255" s="14" t="s">
        <v>1120</v>
      </c>
      <c r="AV255" s="7">
        <v>31</v>
      </c>
      <c r="AW255" s="8">
        <v>0.86111111111111116</v>
      </c>
    </row>
    <row r="256" spans="1:49" ht="15.75" customHeight="1" x14ac:dyDescent="0.25">
      <c r="A256" s="5" t="s">
        <v>203</v>
      </c>
      <c r="B256" s="6" t="s">
        <v>1069</v>
      </c>
      <c r="C256" s="6" t="s">
        <v>1104</v>
      </c>
      <c r="D256" s="6" t="s">
        <v>1097</v>
      </c>
      <c r="E256" s="5" t="s">
        <v>548</v>
      </c>
      <c r="F256" s="7">
        <v>1</v>
      </c>
      <c r="G256" s="7">
        <v>1</v>
      </c>
      <c r="H256" s="7">
        <v>0</v>
      </c>
      <c r="I256" s="7">
        <v>1</v>
      </c>
      <c r="J256" s="7">
        <v>1</v>
      </c>
      <c r="K256" s="7">
        <v>1</v>
      </c>
      <c r="L256" s="7">
        <v>1</v>
      </c>
      <c r="M256" s="7">
        <v>1</v>
      </c>
      <c r="N256" s="7">
        <v>0</v>
      </c>
      <c r="O256" s="7">
        <v>1</v>
      </c>
      <c r="P256" s="7">
        <v>1</v>
      </c>
      <c r="Q256" s="7">
        <v>1</v>
      </c>
      <c r="R256" s="7">
        <v>0</v>
      </c>
      <c r="S256" s="7">
        <v>1</v>
      </c>
      <c r="T256" s="7">
        <v>1</v>
      </c>
      <c r="U256" s="7">
        <v>0</v>
      </c>
      <c r="V256" s="7">
        <v>1</v>
      </c>
      <c r="W256" s="7">
        <v>1</v>
      </c>
      <c r="X256" s="7">
        <v>14</v>
      </c>
      <c r="Y256" s="8">
        <v>0.77777777777777768</v>
      </c>
      <c r="Z256" s="14" t="s">
        <v>1120</v>
      </c>
      <c r="AA256" s="7">
        <v>1</v>
      </c>
      <c r="AB256" s="7">
        <v>1</v>
      </c>
      <c r="AC256" s="7">
        <v>0</v>
      </c>
      <c r="AD256" s="7">
        <v>1</v>
      </c>
      <c r="AE256" s="7">
        <v>1</v>
      </c>
      <c r="AF256" s="7">
        <v>0</v>
      </c>
      <c r="AG256" s="7">
        <v>1</v>
      </c>
      <c r="AH256" s="7">
        <v>1</v>
      </c>
      <c r="AI256" s="7">
        <v>1</v>
      </c>
      <c r="AJ256" s="7">
        <v>1</v>
      </c>
      <c r="AK256" s="7">
        <v>1</v>
      </c>
      <c r="AL256" s="7">
        <v>0</v>
      </c>
      <c r="AM256" s="7">
        <v>0</v>
      </c>
      <c r="AN256" s="7">
        <v>0</v>
      </c>
      <c r="AO256" s="7">
        <v>0</v>
      </c>
      <c r="AP256" s="7">
        <v>1</v>
      </c>
      <c r="AQ256" s="7">
        <v>1</v>
      </c>
      <c r="AR256" s="7">
        <v>1</v>
      </c>
      <c r="AS256" s="7">
        <v>12</v>
      </c>
      <c r="AT256" s="8">
        <v>0.66666666666666674</v>
      </c>
      <c r="AU256" s="14" t="s">
        <v>1119</v>
      </c>
      <c r="AV256" s="7">
        <v>26</v>
      </c>
      <c r="AW256" s="8">
        <v>0.72222222222222232</v>
      </c>
    </row>
    <row r="257" spans="1:49" ht="15.75" customHeight="1" x14ac:dyDescent="0.25">
      <c r="A257" s="5" t="s">
        <v>203</v>
      </c>
      <c r="B257" s="6" t="s">
        <v>1069</v>
      </c>
      <c r="C257" s="6" t="s">
        <v>1103</v>
      </c>
      <c r="D257" s="6" t="s">
        <v>1097</v>
      </c>
      <c r="E257" s="5" t="s">
        <v>549</v>
      </c>
      <c r="F257" s="7">
        <v>1</v>
      </c>
      <c r="G257" s="7">
        <v>1</v>
      </c>
      <c r="H257" s="7">
        <v>1</v>
      </c>
      <c r="I257" s="7">
        <v>1</v>
      </c>
      <c r="J257" s="7">
        <v>1</v>
      </c>
      <c r="K257" s="7">
        <v>1</v>
      </c>
      <c r="L257" s="7">
        <v>1</v>
      </c>
      <c r="M257" s="7">
        <v>0</v>
      </c>
      <c r="N257" s="7">
        <v>1</v>
      </c>
      <c r="O257" s="7">
        <v>1</v>
      </c>
      <c r="P257" s="7">
        <v>1</v>
      </c>
      <c r="Q257" s="7">
        <v>1</v>
      </c>
      <c r="R257" s="7">
        <v>1</v>
      </c>
      <c r="S257" s="7">
        <v>1</v>
      </c>
      <c r="T257" s="7">
        <v>1</v>
      </c>
      <c r="U257" s="7">
        <v>1</v>
      </c>
      <c r="V257" s="7">
        <v>1</v>
      </c>
      <c r="W257" s="7">
        <v>1</v>
      </c>
      <c r="X257" s="7">
        <v>17</v>
      </c>
      <c r="Y257" s="8">
        <v>0.94444444444444442</v>
      </c>
      <c r="Z257" s="14" t="s">
        <v>1120</v>
      </c>
      <c r="AA257" s="7">
        <v>1</v>
      </c>
      <c r="AB257" s="7">
        <v>1</v>
      </c>
      <c r="AC257" s="7">
        <v>1</v>
      </c>
      <c r="AD257" s="7">
        <v>0</v>
      </c>
      <c r="AE257" s="7">
        <v>1</v>
      </c>
      <c r="AF257" s="7">
        <v>1</v>
      </c>
      <c r="AG257" s="7">
        <v>1</v>
      </c>
      <c r="AH257" s="7">
        <v>0</v>
      </c>
      <c r="AI257" s="7">
        <v>0</v>
      </c>
      <c r="AJ257" s="7">
        <v>1</v>
      </c>
      <c r="AK257" s="7">
        <v>0</v>
      </c>
      <c r="AL257" s="7">
        <v>1</v>
      </c>
      <c r="AM257" s="7">
        <v>0</v>
      </c>
      <c r="AN257" s="7">
        <v>1</v>
      </c>
      <c r="AO257" s="7">
        <v>0</v>
      </c>
      <c r="AP257" s="7">
        <v>1</v>
      </c>
      <c r="AQ257" s="7">
        <v>1</v>
      </c>
      <c r="AR257" s="7">
        <v>1</v>
      </c>
      <c r="AS257" s="7">
        <v>12</v>
      </c>
      <c r="AT257" s="8">
        <v>0.66666666666666674</v>
      </c>
      <c r="AU257" s="14" t="s">
        <v>1119</v>
      </c>
      <c r="AV257" s="7">
        <v>29</v>
      </c>
      <c r="AW257" s="8">
        <v>0.80555555555555558</v>
      </c>
    </row>
    <row r="258" spans="1:49" ht="15.75" customHeight="1" x14ac:dyDescent="0.25">
      <c r="A258" s="5" t="s">
        <v>203</v>
      </c>
      <c r="B258" s="6" t="s">
        <v>1069</v>
      </c>
      <c r="C258" s="6" t="s">
        <v>1103</v>
      </c>
      <c r="D258" s="6" t="s">
        <v>1097</v>
      </c>
      <c r="E258" s="5" t="s">
        <v>550</v>
      </c>
      <c r="F258" s="7">
        <v>1</v>
      </c>
      <c r="G258" s="7">
        <v>1</v>
      </c>
      <c r="H258" s="7">
        <v>1</v>
      </c>
      <c r="I258" s="7">
        <v>1</v>
      </c>
      <c r="J258" s="7">
        <v>1</v>
      </c>
      <c r="K258" s="7">
        <v>1</v>
      </c>
      <c r="L258" s="7">
        <v>0</v>
      </c>
      <c r="M258" s="7">
        <v>0</v>
      </c>
      <c r="N258" s="7">
        <v>1</v>
      </c>
      <c r="O258" s="7">
        <v>1</v>
      </c>
      <c r="P258" s="7">
        <v>1</v>
      </c>
      <c r="Q258" s="7">
        <v>1</v>
      </c>
      <c r="R258" s="7">
        <v>1</v>
      </c>
      <c r="S258" s="7">
        <v>0</v>
      </c>
      <c r="T258" s="7">
        <v>1</v>
      </c>
      <c r="U258" s="7">
        <v>0</v>
      </c>
      <c r="V258" s="7">
        <v>1</v>
      </c>
      <c r="W258" s="7">
        <v>1</v>
      </c>
      <c r="X258" s="7">
        <v>14</v>
      </c>
      <c r="Y258" s="8">
        <v>0.77777777777777768</v>
      </c>
      <c r="Z258" s="14" t="s">
        <v>1120</v>
      </c>
      <c r="AA258" s="7">
        <v>0</v>
      </c>
      <c r="AB258" s="7">
        <v>1</v>
      </c>
      <c r="AC258" s="7">
        <v>1</v>
      </c>
      <c r="AD258" s="7">
        <v>1</v>
      </c>
      <c r="AE258" s="7">
        <v>0</v>
      </c>
      <c r="AF258" s="7">
        <v>1</v>
      </c>
      <c r="AG258" s="7">
        <v>1</v>
      </c>
      <c r="AH258" s="7">
        <v>0</v>
      </c>
      <c r="AI258" s="7">
        <v>0</v>
      </c>
      <c r="AJ258" s="7">
        <v>1</v>
      </c>
      <c r="AK258" s="7">
        <v>0</v>
      </c>
      <c r="AL258" s="7">
        <v>0</v>
      </c>
      <c r="AM258" s="7">
        <v>0</v>
      </c>
      <c r="AN258" s="7">
        <v>1</v>
      </c>
      <c r="AO258" s="7">
        <v>1</v>
      </c>
      <c r="AP258" s="7">
        <v>1</v>
      </c>
      <c r="AQ258" s="7">
        <v>1</v>
      </c>
      <c r="AR258" s="7">
        <v>1</v>
      </c>
      <c r="AS258" s="7">
        <v>11</v>
      </c>
      <c r="AT258" s="8">
        <v>0.61111111111111116</v>
      </c>
      <c r="AU258" s="14" t="s">
        <v>1119</v>
      </c>
      <c r="AV258" s="7">
        <v>25</v>
      </c>
      <c r="AW258" s="8">
        <v>0.69444444444444442</v>
      </c>
    </row>
    <row r="259" spans="1:49" ht="15.75" customHeight="1" x14ac:dyDescent="0.25">
      <c r="A259" s="5" t="s">
        <v>203</v>
      </c>
      <c r="B259" s="6" t="s">
        <v>1069</v>
      </c>
      <c r="C259" s="6" t="s">
        <v>1105</v>
      </c>
      <c r="D259" s="6" t="s">
        <v>1097</v>
      </c>
      <c r="E259" s="5" t="s">
        <v>551</v>
      </c>
      <c r="F259" s="7">
        <v>1</v>
      </c>
      <c r="G259" s="7">
        <v>1</v>
      </c>
      <c r="H259" s="7">
        <v>1</v>
      </c>
      <c r="I259" s="7">
        <v>1</v>
      </c>
      <c r="J259" s="7">
        <v>1</v>
      </c>
      <c r="K259" s="7">
        <v>1</v>
      </c>
      <c r="L259" s="7">
        <v>1</v>
      </c>
      <c r="M259" s="7">
        <v>1</v>
      </c>
      <c r="N259" s="7">
        <v>0</v>
      </c>
      <c r="O259" s="7">
        <v>1</v>
      </c>
      <c r="P259" s="7">
        <v>1</v>
      </c>
      <c r="Q259" s="7">
        <v>1</v>
      </c>
      <c r="R259" s="7">
        <v>1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17</v>
      </c>
      <c r="Y259" s="8">
        <v>0.94444444444444442</v>
      </c>
      <c r="Z259" s="14" t="s">
        <v>1120</v>
      </c>
      <c r="AA259" s="7">
        <v>1</v>
      </c>
      <c r="AB259" s="7">
        <v>1</v>
      </c>
      <c r="AC259" s="7">
        <v>1</v>
      </c>
      <c r="AD259" s="7">
        <v>0</v>
      </c>
      <c r="AE259" s="7">
        <v>0</v>
      </c>
      <c r="AF259" s="7">
        <v>0</v>
      </c>
      <c r="AG259" s="7">
        <v>1</v>
      </c>
      <c r="AH259" s="7">
        <v>0</v>
      </c>
      <c r="AI259" s="7">
        <v>0</v>
      </c>
      <c r="AJ259" s="7">
        <v>1</v>
      </c>
      <c r="AK259" s="7">
        <v>0</v>
      </c>
      <c r="AL259" s="7">
        <v>0</v>
      </c>
      <c r="AM259" s="7">
        <v>0</v>
      </c>
      <c r="AN259" s="7">
        <v>1</v>
      </c>
      <c r="AO259" s="7">
        <v>0</v>
      </c>
      <c r="AP259" s="7">
        <v>1</v>
      </c>
      <c r="AQ259" s="7">
        <v>1</v>
      </c>
      <c r="AR259" s="7">
        <v>1</v>
      </c>
      <c r="AS259" s="7">
        <v>9</v>
      </c>
      <c r="AT259" s="8">
        <v>0.5</v>
      </c>
      <c r="AU259" s="14" t="s">
        <v>1119</v>
      </c>
      <c r="AV259" s="7">
        <v>26</v>
      </c>
      <c r="AW259" s="8">
        <v>0.72222222222222232</v>
      </c>
    </row>
    <row r="260" spans="1:49" ht="15.75" customHeight="1" x14ac:dyDescent="0.25">
      <c r="A260" s="5" t="s">
        <v>203</v>
      </c>
      <c r="B260" s="6" t="s">
        <v>1069</v>
      </c>
      <c r="C260" s="6" t="s">
        <v>1103</v>
      </c>
      <c r="D260" s="6" t="s">
        <v>1097</v>
      </c>
      <c r="E260" s="5" t="s">
        <v>552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7">
        <v>1</v>
      </c>
      <c r="L260" s="7">
        <v>1</v>
      </c>
      <c r="M260" s="7">
        <v>1</v>
      </c>
      <c r="N260" s="7">
        <v>1</v>
      </c>
      <c r="O260" s="7">
        <v>1</v>
      </c>
      <c r="P260" s="7">
        <v>1</v>
      </c>
      <c r="Q260" s="7">
        <v>0</v>
      </c>
      <c r="R260" s="7">
        <v>0</v>
      </c>
      <c r="S260" s="7">
        <v>0</v>
      </c>
      <c r="T260" s="7">
        <v>1</v>
      </c>
      <c r="U260" s="7">
        <v>0</v>
      </c>
      <c r="V260" s="7">
        <v>0</v>
      </c>
      <c r="W260" s="7">
        <v>1</v>
      </c>
      <c r="X260" s="7">
        <v>9</v>
      </c>
      <c r="Y260" s="8">
        <v>0.5</v>
      </c>
      <c r="Z260" s="14" t="s">
        <v>1119</v>
      </c>
      <c r="AA260" s="7">
        <v>0</v>
      </c>
      <c r="AB260" s="7">
        <v>1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1</v>
      </c>
      <c r="AR260" s="7">
        <v>1</v>
      </c>
      <c r="AS260" s="7">
        <v>3</v>
      </c>
      <c r="AT260" s="8">
        <v>0.16666666666666669</v>
      </c>
      <c r="AU260" s="14" t="s">
        <v>1102</v>
      </c>
      <c r="AV260" s="7">
        <v>12</v>
      </c>
      <c r="AW260" s="8">
        <v>0.33333333333333337</v>
      </c>
    </row>
    <row r="261" spans="1:49" ht="15.75" customHeight="1" x14ac:dyDescent="0.25">
      <c r="A261" s="5" t="s">
        <v>203</v>
      </c>
      <c r="B261" s="6" t="s">
        <v>1069</v>
      </c>
      <c r="C261" s="6" t="s">
        <v>1096</v>
      </c>
      <c r="D261" s="6" t="s">
        <v>1097</v>
      </c>
      <c r="E261" s="5" t="s">
        <v>553</v>
      </c>
      <c r="F261" s="7">
        <v>1</v>
      </c>
      <c r="G261" s="7">
        <v>1</v>
      </c>
      <c r="H261" s="7">
        <v>1</v>
      </c>
      <c r="I261" s="7">
        <v>1</v>
      </c>
      <c r="J261" s="7">
        <v>1</v>
      </c>
      <c r="K261" s="7">
        <v>1</v>
      </c>
      <c r="L261" s="7">
        <v>1</v>
      </c>
      <c r="M261" s="7">
        <v>1</v>
      </c>
      <c r="N261" s="7">
        <v>0</v>
      </c>
      <c r="O261" s="7">
        <v>1</v>
      </c>
      <c r="P261" s="7">
        <v>1</v>
      </c>
      <c r="Q261" s="7">
        <v>1</v>
      </c>
      <c r="R261" s="7">
        <v>1</v>
      </c>
      <c r="S261" s="7">
        <v>1</v>
      </c>
      <c r="T261" s="7">
        <v>1</v>
      </c>
      <c r="U261" s="7">
        <v>1</v>
      </c>
      <c r="V261" s="7">
        <v>1</v>
      </c>
      <c r="W261" s="7">
        <v>1</v>
      </c>
      <c r="X261" s="7">
        <v>17</v>
      </c>
      <c r="Y261" s="8">
        <v>0.94444444444444442</v>
      </c>
      <c r="Z261" s="14" t="s">
        <v>1120</v>
      </c>
      <c r="AA261" s="7">
        <v>1</v>
      </c>
      <c r="AB261" s="7">
        <v>1</v>
      </c>
      <c r="AC261" s="7">
        <v>1</v>
      </c>
      <c r="AD261" s="7">
        <v>1</v>
      </c>
      <c r="AE261" s="7">
        <v>1</v>
      </c>
      <c r="AF261" s="7">
        <v>0</v>
      </c>
      <c r="AG261" s="7">
        <v>1</v>
      </c>
      <c r="AH261" s="7">
        <v>1</v>
      </c>
      <c r="AI261" s="7">
        <v>1</v>
      </c>
      <c r="AJ261" s="7">
        <v>1</v>
      </c>
      <c r="AK261" s="7">
        <v>1</v>
      </c>
      <c r="AL261" s="7">
        <v>0</v>
      </c>
      <c r="AM261" s="7">
        <v>0</v>
      </c>
      <c r="AN261" s="7">
        <v>1</v>
      </c>
      <c r="AO261" s="7">
        <v>1</v>
      </c>
      <c r="AP261" s="7">
        <v>1</v>
      </c>
      <c r="AQ261" s="7">
        <v>1</v>
      </c>
      <c r="AR261" s="7">
        <v>1</v>
      </c>
      <c r="AS261" s="7">
        <v>15</v>
      </c>
      <c r="AT261" s="8">
        <v>0.83333333333333326</v>
      </c>
      <c r="AU261" s="14" t="s">
        <v>1120</v>
      </c>
      <c r="AV261" s="7">
        <v>32</v>
      </c>
      <c r="AW261" s="8">
        <v>0.88888888888888884</v>
      </c>
    </row>
    <row r="262" spans="1:49" ht="15.75" customHeight="1" x14ac:dyDescent="0.25">
      <c r="A262" s="5" t="s">
        <v>203</v>
      </c>
      <c r="B262" s="6" t="s">
        <v>1069</v>
      </c>
      <c r="C262" s="7" t="s">
        <v>1117</v>
      </c>
      <c r="D262" s="6" t="s">
        <v>1097</v>
      </c>
      <c r="E262" s="5" t="s">
        <v>554</v>
      </c>
      <c r="F262" s="7">
        <v>1</v>
      </c>
      <c r="G262" s="7">
        <v>1</v>
      </c>
      <c r="H262" s="7">
        <v>1</v>
      </c>
      <c r="I262" s="7">
        <v>1</v>
      </c>
      <c r="J262" s="7">
        <v>1</v>
      </c>
      <c r="K262" s="7">
        <v>1</v>
      </c>
      <c r="L262" s="7">
        <v>1</v>
      </c>
      <c r="M262" s="7">
        <v>0</v>
      </c>
      <c r="N262" s="7">
        <v>0</v>
      </c>
      <c r="O262" s="7">
        <v>1</v>
      </c>
      <c r="P262" s="7">
        <v>1</v>
      </c>
      <c r="Q262" s="7">
        <v>1</v>
      </c>
      <c r="R262" s="7">
        <v>1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16</v>
      </c>
      <c r="Y262" s="8">
        <v>0.88888888888888884</v>
      </c>
      <c r="Z262" s="14" t="s">
        <v>1120</v>
      </c>
      <c r="AA262" s="7">
        <v>1</v>
      </c>
      <c r="AB262" s="7">
        <v>1</v>
      </c>
      <c r="AC262" s="7">
        <v>1</v>
      </c>
      <c r="AD262" s="7">
        <v>1</v>
      </c>
      <c r="AE262" s="7">
        <v>0</v>
      </c>
      <c r="AF262" s="7">
        <v>0</v>
      </c>
      <c r="AG262" s="7">
        <v>1</v>
      </c>
      <c r="AH262" s="7">
        <v>1</v>
      </c>
      <c r="AI262" s="7">
        <v>0</v>
      </c>
      <c r="AJ262" s="7">
        <v>1</v>
      </c>
      <c r="AK262" s="7">
        <v>1</v>
      </c>
      <c r="AL262" s="7">
        <v>1</v>
      </c>
      <c r="AM262" s="7">
        <v>1</v>
      </c>
      <c r="AN262" s="7">
        <v>1</v>
      </c>
      <c r="AO262" s="7">
        <v>1</v>
      </c>
      <c r="AP262" s="7">
        <v>1</v>
      </c>
      <c r="AQ262" s="7">
        <v>1</v>
      </c>
      <c r="AR262" s="7">
        <v>1</v>
      </c>
      <c r="AS262" s="7">
        <v>15</v>
      </c>
      <c r="AT262" s="8">
        <v>0.83333333333333326</v>
      </c>
      <c r="AU262" s="14" t="s">
        <v>1120</v>
      </c>
      <c r="AV262" s="7">
        <v>31</v>
      </c>
      <c r="AW262" s="8">
        <v>0.86111111111111116</v>
      </c>
    </row>
    <row r="263" spans="1:49" ht="15.75" customHeight="1" x14ac:dyDescent="0.25">
      <c r="A263" s="5" t="s">
        <v>203</v>
      </c>
      <c r="B263" s="6" t="s">
        <v>1069</v>
      </c>
      <c r="C263" s="6" t="s">
        <v>1096</v>
      </c>
      <c r="D263" s="6" t="s">
        <v>1097</v>
      </c>
      <c r="E263" s="5" t="s">
        <v>555</v>
      </c>
      <c r="F263" s="7">
        <v>1</v>
      </c>
      <c r="G263" s="7">
        <v>1</v>
      </c>
      <c r="H263" s="7">
        <v>0</v>
      </c>
      <c r="I263" s="7">
        <v>1</v>
      </c>
      <c r="J263" s="7">
        <v>1</v>
      </c>
      <c r="K263" s="7">
        <v>1</v>
      </c>
      <c r="L263" s="7">
        <v>1</v>
      </c>
      <c r="M263" s="7">
        <v>1</v>
      </c>
      <c r="N263" s="7">
        <v>0</v>
      </c>
      <c r="O263" s="7">
        <v>1</v>
      </c>
      <c r="P263" s="7">
        <v>1</v>
      </c>
      <c r="Q263" s="7">
        <v>0</v>
      </c>
      <c r="R263" s="7">
        <v>0</v>
      </c>
      <c r="S263" s="7">
        <v>1</v>
      </c>
      <c r="T263" s="7">
        <v>0</v>
      </c>
      <c r="U263" s="7">
        <v>0</v>
      </c>
      <c r="V263" s="7">
        <v>1</v>
      </c>
      <c r="W263" s="7">
        <v>1</v>
      </c>
      <c r="X263" s="7">
        <v>12</v>
      </c>
      <c r="Y263" s="8">
        <v>0.66666666666666674</v>
      </c>
      <c r="Z263" s="14" t="s">
        <v>1119</v>
      </c>
      <c r="AA263" s="7">
        <v>1</v>
      </c>
      <c r="AB263" s="7">
        <v>1</v>
      </c>
      <c r="AC263" s="7">
        <v>0</v>
      </c>
      <c r="AD263" s="7">
        <v>1</v>
      </c>
      <c r="AE263" s="7">
        <v>0</v>
      </c>
      <c r="AF263" s="7">
        <v>0</v>
      </c>
      <c r="AG263" s="7">
        <v>1</v>
      </c>
      <c r="AH263" s="7">
        <v>0</v>
      </c>
      <c r="AI263" s="7">
        <v>0</v>
      </c>
      <c r="AJ263" s="7">
        <v>1</v>
      </c>
      <c r="AK263" s="7">
        <v>1</v>
      </c>
      <c r="AL263" s="7">
        <v>0</v>
      </c>
      <c r="AM263" s="7">
        <v>0</v>
      </c>
      <c r="AN263" s="7">
        <v>1</v>
      </c>
      <c r="AO263" s="7">
        <v>0</v>
      </c>
      <c r="AP263" s="7">
        <v>0</v>
      </c>
      <c r="AQ263" s="7">
        <v>1</v>
      </c>
      <c r="AR263" s="7">
        <v>1</v>
      </c>
      <c r="AS263" s="7">
        <v>9</v>
      </c>
      <c r="AT263" s="8">
        <v>0.5</v>
      </c>
      <c r="AU263" s="14" t="s">
        <v>1119</v>
      </c>
      <c r="AV263" s="7">
        <v>21</v>
      </c>
      <c r="AW263" s="8">
        <v>0.58333333333333337</v>
      </c>
    </row>
    <row r="264" spans="1:49" ht="15.75" customHeight="1" x14ac:dyDescent="0.25">
      <c r="A264" s="5" t="s">
        <v>203</v>
      </c>
      <c r="B264" s="6" t="s">
        <v>1069</v>
      </c>
      <c r="C264" s="6" t="s">
        <v>1103</v>
      </c>
      <c r="D264" s="6" t="s">
        <v>1097</v>
      </c>
      <c r="E264" s="5" t="s">
        <v>556</v>
      </c>
      <c r="F264" s="7">
        <v>1</v>
      </c>
      <c r="G264" s="7">
        <v>1</v>
      </c>
      <c r="H264" s="7">
        <v>1</v>
      </c>
      <c r="I264" s="7">
        <v>1</v>
      </c>
      <c r="J264" s="7">
        <v>1</v>
      </c>
      <c r="K264" s="7">
        <v>1</v>
      </c>
      <c r="L264" s="7">
        <v>1</v>
      </c>
      <c r="M264" s="7">
        <v>1</v>
      </c>
      <c r="N264" s="7">
        <v>0</v>
      </c>
      <c r="O264" s="7">
        <v>1</v>
      </c>
      <c r="P264" s="7">
        <v>1</v>
      </c>
      <c r="Q264" s="7">
        <v>1</v>
      </c>
      <c r="R264" s="7">
        <v>0</v>
      </c>
      <c r="S264" s="7">
        <v>1</v>
      </c>
      <c r="T264" s="7">
        <v>0</v>
      </c>
      <c r="U264" s="7">
        <v>1</v>
      </c>
      <c r="V264" s="7">
        <v>1</v>
      </c>
      <c r="W264" s="7">
        <v>0</v>
      </c>
      <c r="X264" s="7">
        <v>14</v>
      </c>
      <c r="Y264" s="8">
        <v>0.77777777777777768</v>
      </c>
      <c r="Z264" s="14" t="s">
        <v>1120</v>
      </c>
      <c r="AA264" s="7">
        <v>1</v>
      </c>
      <c r="AB264" s="7">
        <v>0</v>
      </c>
      <c r="AC264" s="7">
        <v>1</v>
      </c>
      <c r="AD264" s="7">
        <v>1</v>
      </c>
      <c r="AE264" s="7">
        <v>0</v>
      </c>
      <c r="AF264" s="7">
        <v>0</v>
      </c>
      <c r="AG264" s="7">
        <v>1</v>
      </c>
      <c r="AH264" s="7">
        <v>1</v>
      </c>
      <c r="AI264" s="7">
        <v>1</v>
      </c>
      <c r="AJ264" s="7">
        <v>1</v>
      </c>
      <c r="AK264" s="7">
        <v>1</v>
      </c>
      <c r="AL264" s="7">
        <v>1</v>
      </c>
      <c r="AM264" s="7">
        <v>1</v>
      </c>
      <c r="AN264" s="7">
        <v>1</v>
      </c>
      <c r="AO264" s="7">
        <v>1</v>
      </c>
      <c r="AP264" s="7">
        <v>0</v>
      </c>
      <c r="AQ264" s="7">
        <v>1</v>
      </c>
      <c r="AR264" s="7">
        <v>1</v>
      </c>
      <c r="AS264" s="7">
        <v>14</v>
      </c>
      <c r="AT264" s="8">
        <v>0.77777777777777768</v>
      </c>
      <c r="AU264" s="14" t="s">
        <v>1120</v>
      </c>
      <c r="AV264" s="7">
        <v>28</v>
      </c>
      <c r="AW264" s="8">
        <v>0.77777777777777768</v>
      </c>
    </row>
    <row r="265" spans="1:49" ht="15.75" customHeight="1" x14ac:dyDescent="0.25">
      <c r="A265" s="5" t="s">
        <v>206</v>
      </c>
      <c r="B265" s="6" t="s">
        <v>1069</v>
      </c>
      <c r="C265" s="6" t="s">
        <v>1103</v>
      </c>
      <c r="D265" s="6" t="s">
        <v>1097</v>
      </c>
      <c r="E265" s="5" t="s">
        <v>557</v>
      </c>
      <c r="F265" s="7">
        <v>1</v>
      </c>
      <c r="G265" s="7">
        <v>1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1</v>
      </c>
      <c r="N265" s="7">
        <v>1</v>
      </c>
      <c r="O265" s="7">
        <v>1</v>
      </c>
      <c r="P265" s="7">
        <v>1</v>
      </c>
      <c r="Q265" s="7">
        <v>1</v>
      </c>
      <c r="R265" s="7">
        <v>1</v>
      </c>
      <c r="S265" s="7">
        <v>1</v>
      </c>
      <c r="T265" s="7">
        <v>1</v>
      </c>
      <c r="U265" s="7">
        <v>1</v>
      </c>
      <c r="V265" s="7">
        <v>1</v>
      </c>
      <c r="W265" s="7">
        <v>1</v>
      </c>
      <c r="X265" s="7">
        <v>18</v>
      </c>
      <c r="Y265" s="8">
        <v>1</v>
      </c>
      <c r="Z265" s="14" t="s">
        <v>1120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0</v>
      </c>
      <c r="AG265" s="7">
        <v>1</v>
      </c>
      <c r="AH265" s="7">
        <v>1</v>
      </c>
      <c r="AI265" s="7">
        <v>0</v>
      </c>
      <c r="AJ265" s="7">
        <v>1</v>
      </c>
      <c r="AK265" s="7">
        <v>1</v>
      </c>
      <c r="AL265" s="7">
        <v>1</v>
      </c>
      <c r="AM265" s="7">
        <v>1</v>
      </c>
      <c r="AN265" s="7">
        <v>1</v>
      </c>
      <c r="AO265" s="7">
        <v>0</v>
      </c>
      <c r="AP265" s="7">
        <v>1</v>
      </c>
      <c r="AQ265" s="7">
        <v>1</v>
      </c>
      <c r="AR265" s="7">
        <v>1</v>
      </c>
      <c r="AS265" s="7">
        <v>15</v>
      </c>
      <c r="AT265" s="8">
        <v>0.83333333333333326</v>
      </c>
      <c r="AU265" s="14" t="s">
        <v>1120</v>
      </c>
      <c r="AV265" s="7">
        <v>33</v>
      </c>
      <c r="AW265" s="8">
        <v>0.91666666666666674</v>
      </c>
    </row>
    <row r="266" spans="1:49" ht="15.75" customHeight="1" x14ac:dyDescent="0.25">
      <c r="A266" s="5" t="s">
        <v>206</v>
      </c>
      <c r="B266" s="6" t="s">
        <v>1069</v>
      </c>
      <c r="C266" s="6" t="s">
        <v>1096</v>
      </c>
      <c r="D266" s="6" t="s">
        <v>1097</v>
      </c>
      <c r="E266" s="5" t="s">
        <v>558</v>
      </c>
      <c r="F266" s="7">
        <v>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1</v>
      </c>
      <c r="N266" s="7">
        <v>1</v>
      </c>
      <c r="O266" s="7">
        <v>1</v>
      </c>
      <c r="P266" s="7">
        <v>1</v>
      </c>
      <c r="Q266" s="7">
        <v>0</v>
      </c>
      <c r="R266" s="7">
        <v>1</v>
      </c>
      <c r="S266" s="7">
        <v>1</v>
      </c>
      <c r="T266" s="7">
        <v>1</v>
      </c>
      <c r="U266" s="7">
        <v>1</v>
      </c>
      <c r="V266" s="7">
        <v>1</v>
      </c>
      <c r="W266" s="7">
        <v>1</v>
      </c>
      <c r="X266" s="7">
        <v>17</v>
      </c>
      <c r="Y266" s="8">
        <v>0.94444444444444442</v>
      </c>
      <c r="Z266" s="14" t="s">
        <v>1120</v>
      </c>
      <c r="AA266" s="7">
        <v>1</v>
      </c>
      <c r="AB266" s="7">
        <v>1</v>
      </c>
      <c r="AC266" s="7">
        <v>1</v>
      </c>
      <c r="AD266" s="7">
        <v>0</v>
      </c>
      <c r="AE266" s="7">
        <v>0</v>
      </c>
      <c r="AF266" s="7">
        <v>0</v>
      </c>
      <c r="AG266" s="7">
        <v>0</v>
      </c>
      <c r="AH266" s="7">
        <v>1</v>
      </c>
      <c r="AI266" s="7">
        <v>0</v>
      </c>
      <c r="AJ266" s="7">
        <v>1</v>
      </c>
      <c r="AK266" s="7">
        <v>1</v>
      </c>
      <c r="AL266" s="7">
        <v>0</v>
      </c>
      <c r="AM266" s="7">
        <v>0</v>
      </c>
      <c r="AN266" s="7">
        <v>1</v>
      </c>
      <c r="AO266" s="7">
        <v>0</v>
      </c>
      <c r="AP266" s="7">
        <v>1</v>
      </c>
      <c r="AQ266" s="7">
        <v>1</v>
      </c>
      <c r="AR266" s="7">
        <v>1</v>
      </c>
      <c r="AS266" s="7">
        <v>10</v>
      </c>
      <c r="AT266" s="8">
        <v>0.55555555555555558</v>
      </c>
      <c r="AU266" s="14" t="s">
        <v>1119</v>
      </c>
      <c r="AV266" s="7">
        <v>27</v>
      </c>
      <c r="AW266" s="8">
        <v>0.75</v>
      </c>
    </row>
    <row r="267" spans="1:49" ht="15.75" customHeight="1" x14ac:dyDescent="0.25">
      <c r="A267" s="5" t="s">
        <v>206</v>
      </c>
      <c r="B267" s="6" t="s">
        <v>1069</v>
      </c>
      <c r="C267" s="6" t="s">
        <v>1096</v>
      </c>
      <c r="D267" s="6" t="s">
        <v>1097</v>
      </c>
      <c r="E267" s="5" t="s">
        <v>559</v>
      </c>
      <c r="F267" s="7">
        <v>1</v>
      </c>
      <c r="G267" s="7">
        <v>1</v>
      </c>
      <c r="H267" s="7">
        <v>0</v>
      </c>
      <c r="I267" s="7">
        <v>1</v>
      </c>
      <c r="J267" s="7">
        <v>1</v>
      </c>
      <c r="K267" s="7">
        <v>0</v>
      </c>
      <c r="L267" s="7">
        <v>1</v>
      </c>
      <c r="M267" s="7">
        <v>1</v>
      </c>
      <c r="N267" s="7">
        <v>0</v>
      </c>
      <c r="O267" s="7">
        <v>1</v>
      </c>
      <c r="P267" s="7">
        <v>1</v>
      </c>
      <c r="Q267" s="7">
        <v>1</v>
      </c>
      <c r="R267" s="7">
        <v>1</v>
      </c>
      <c r="S267" s="7">
        <v>1</v>
      </c>
      <c r="T267" s="7">
        <v>1</v>
      </c>
      <c r="U267" s="7">
        <v>1</v>
      </c>
      <c r="V267" s="7">
        <v>1</v>
      </c>
      <c r="W267" s="7">
        <v>1</v>
      </c>
      <c r="X267" s="7">
        <v>15</v>
      </c>
      <c r="Y267" s="8">
        <v>0.83333333333333326</v>
      </c>
      <c r="Z267" s="14" t="s">
        <v>1120</v>
      </c>
      <c r="AA267" s="7">
        <v>1</v>
      </c>
      <c r="AB267" s="7">
        <v>1</v>
      </c>
      <c r="AC267" s="7">
        <v>1</v>
      </c>
      <c r="AD267" s="7">
        <v>1</v>
      </c>
      <c r="AE267" s="7">
        <v>1</v>
      </c>
      <c r="AF267" s="7">
        <v>0</v>
      </c>
      <c r="AG267" s="7">
        <v>0</v>
      </c>
      <c r="AH267" s="7">
        <v>1</v>
      </c>
      <c r="AI267" s="7">
        <v>1</v>
      </c>
      <c r="AJ267" s="7">
        <v>1</v>
      </c>
      <c r="AK267" s="7">
        <v>1</v>
      </c>
      <c r="AL267" s="7">
        <v>0</v>
      </c>
      <c r="AM267" s="7">
        <v>0</v>
      </c>
      <c r="AN267" s="7">
        <v>1</v>
      </c>
      <c r="AO267" s="7">
        <v>1</v>
      </c>
      <c r="AP267" s="7">
        <v>1</v>
      </c>
      <c r="AQ267" s="7">
        <v>1</v>
      </c>
      <c r="AR267" s="7">
        <v>1</v>
      </c>
      <c r="AS267" s="7">
        <v>14</v>
      </c>
      <c r="AT267" s="8">
        <v>0.77777777777777768</v>
      </c>
      <c r="AU267" s="14" t="s">
        <v>1120</v>
      </c>
      <c r="AV267" s="7">
        <v>29</v>
      </c>
      <c r="AW267" s="8">
        <v>0.80555555555555558</v>
      </c>
    </row>
    <row r="268" spans="1:49" ht="15.75" customHeight="1" x14ac:dyDescent="0.25">
      <c r="A268" s="5" t="s">
        <v>209</v>
      </c>
      <c r="B268" s="6" t="s">
        <v>1069</v>
      </c>
      <c r="C268" s="6" t="s">
        <v>1103</v>
      </c>
      <c r="D268" s="6" t="s">
        <v>1097</v>
      </c>
      <c r="E268" s="5" t="s">
        <v>560</v>
      </c>
      <c r="F268" s="7">
        <v>0</v>
      </c>
      <c r="G268" s="7">
        <v>0</v>
      </c>
      <c r="H268" s="7">
        <v>1</v>
      </c>
      <c r="I268" s="7">
        <v>0</v>
      </c>
      <c r="J268" s="7">
        <v>1</v>
      </c>
      <c r="K268" s="7">
        <v>1</v>
      </c>
      <c r="L268" s="7">
        <v>0</v>
      </c>
      <c r="M268" s="7">
        <v>1</v>
      </c>
      <c r="N268" s="7">
        <v>0</v>
      </c>
      <c r="O268" s="7">
        <v>0</v>
      </c>
      <c r="P268" s="7">
        <v>1</v>
      </c>
      <c r="Q268" s="7">
        <v>1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6</v>
      </c>
      <c r="Y268" s="8">
        <v>0.33333333333333337</v>
      </c>
      <c r="Z268" s="14" t="s">
        <v>1102</v>
      </c>
      <c r="AA268" s="7">
        <v>0</v>
      </c>
      <c r="AB268" s="7">
        <v>0</v>
      </c>
      <c r="AC268" s="7">
        <v>0</v>
      </c>
      <c r="AD268" s="7">
        <v>1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1</v>
      </c>
      <c r="AK268" s="7">
        <v>0</v>
      </c>
      <c r="AL268" s="7">
        <v>0</v>
      </c>
      <c r="AM268" s="7">
        <v>0</v>
      </c>
      <c r="AN268" s="7">
        <v>0</v>
      </c>
      <c r="AO268" s="7">
        <v>1</v>
      </c>
      <c r="AP268" s="7">
        <v>0</v>
      </c>
      <c r="AQ268" s="7">
        <v>1</v>
      </c>
      <c r="AR268" s="7">
        <v>1</v>
      </c>
      <c r="AS268" s="7">
        <v>5</v>
      </c>
      <c r="AT268" s="8">
        <v>0.27777777777777779</v>
      </c>
      <c r="AU268" s="14" t="s">
        <v>1102</v>
      </c>
      <c r="AV268" s="7">
        <v>11</v>
      </c>
      <c r="AW268" s="8">
        <v>0.30555555555555558</v>
      </c>
    </row>
    <row r="269" spans="1:49" ht="15.75" customHeight="1" x14ac:dyDescent="0.25">
      <c r="A269" s="5" t="s">
        <v>209</v>
      </c>
      <c r="B269" s="6" t="s">
        <v>1069</v>
      </c>
      <c r="C269" s="6" t="s">
        <v>1104</v>
      </c>
      <c r="D269" s="6" t="s">
        <v>1097</v>
      </c>
      <c r="E269" s="5" t="s">
        <v>561</v>
      </c>
      <c r="F269" s="7">
        <v>0</v>
      </c>
      <c r="G269" s="7">
        <v>0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  <c r="M269" s="7">
        <v>1</v>
      </c>
      <c r="N269" s="7">
        <v>0</v>
      </c>
      <c r="O269" s="7">
        <v>1</v>
      </c>
      <c r="P269" s="7">
        <v>1</v>
      </c>
      <c r="Q269" s="7">
        <v>0</v>
      </c>
      <c r="R269" s="7">
        <v>0</v>
      </c>
      <c r="S269" s="7">
        <v>0</v>
      </c>
      <c r="T269" s="7">
        <v>1</v>
      </c>
      <c r="U269" s="7">
        <v>0</v>
      </c>
      <c r="V269" s="7">
        <v>1</v>
      </c>
      <c r="W269" s="7">
        <v>1</v>
      </c>
      <c r="X269" s="7">
        <v>11</v>
      </c>
      <c r="Y269" s="8">
        <v>0.61111111111111116</v>
      </c>
      <c r="Z269" s="14" t="s">
        <v>1119</v>
      </c>
      <c r="AA269" s="7">
        <v>1</v>
      </c>
      <c r="AB269" s="7">
        <v>1</v>
      </c>
      <c r="AC269" s="7">
        <v>0</v>
      </c>
      <c r="AD269" s="7">
        <v>1</v>
      </c>
      <c r="AE269" s="7">
        <v>0</v>
      </c>
      <c r="AF269" s="7">
        <v>0</v>
      </c>
      <c r="AG269" s="7">
        <v>1</v>
      </c>
      <c r="AH269" s="7">
        <v>0</v>
      </c>
      <c r="AI269" s="7">
        <v>0</v>
      </c>
      <c r="AJ269" s="7">
        <v>1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1</v>
      </c>
      <c r="AQ269" s="7">
        <v>1</v>
      </c>
      <c r="AR269" s="7">
        <v>1</v>
      </c>
      <c r="AS269" s="7">
        <v>8</v>
      </c>
      <c r="AT269" s="8">
        <v>0.44444444444444442</v>
      </c>
      <c r="AU269" s="14" t="s">
        <v>1119</v>
      </c>
      <c r="AV269" s="7">
        <v>19</v>
      </c>
      <c r="AW269" s="8">
        <v>0.52777777777777779</v>
      </c>
    </row>
    <row r="270" spans="1:49" ht="15.75" customHeight="1" x14ac:dyDescent="0.25">
      <c r="A270" s="5" t="s">
        <v>209</v>
      </c>
      <c r="B270" s="6" t="s">
        <v>1069</v>
      </c>
      <c r="C270" s="6" t="s">
        <v>1104</v>
      </c>
      <c r="D270" s="6" t="s">
        <v>1097</v>
      </c>
      <c r="E270" s="5" t="s">
        <v>562</v>
      </c>
      <c r="F270" s="7">
        <v>0</v>
      </c>
      <c r="G270" s="7">
        <v>0</v>
      </c>
      <c r="H270" s="7">
        <v>1</v>
      </c>
      <c r="I270" s="7">
        <v>1</v>
      </c>
      <c r="J270" s="7">
        <v>1</v>
      </c>
      <c r="K270" s="7">
        <v>1</v>
      </c>
      <c r="L270" s="7">
        <v>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1</v>
      </c>
      <c r="T270" s="7">
        <v>0</v>
      </c>
      <c r="U270" s="7">
        <v>0</v>
      </c>
      <c r="V270" s="7">
        <v>0</v>
      </c>
      <c r="W270" s="7">
        <v>1</v>
      </c>
      <c r="X270" s="7">
        <v>7</v>
      </c>
      <c r="Y270" s="8">
        <v>0.38888888888888884</v>
      </c>
      <c r="Z270" s="14" t="s">
        <v>1102</v>
      </c>
      <c r="AA270" s="7">
        <v>1</v>
      </c>
      <c r="AB270" s="7">
        <v>0</v>
      </c>
      <c r="AC270" s="7">
        <v>1</v>
      </c>
      <c r="AD270" s="7">
        <v>0</v>
      </c>
      <c r="AE270" s="7">
        <v>1</v>
      </c>
      <c r="AF270" s="7">
        <v>1</v>
      </c>
      <c r="AG270" s="7">
        <v>0</v>
      </c>
      <c r="AH270" s="7">
        <v>0</v>
      </c>
      <c r="AI270" s="7">
        <v>1</v>
      </c>
      <c r="AJ270" s="7">
        <v>1</v>
      </c>
      <c r="AK270" s="7">
        <v>1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1</v>
      </c>
      <c r="AR270" s="7">
        <v>0</v>
      </c>
      <c r="AS270" s="7">
        <v>8</v>
      </c>
      <c r="AT270" s="8">
        <v>0.44444444444444442</v>
      </c>
      <c r="AU270" s="14" t="s">
        <v>1119</v>
      </c>
      <c r="AV270" s="7">
        <v>15</v>
      </c>
      <c r="AW270" s="8">
        <v>0.41666666666666663</v>
      </c>
    </row>
    <row r="271" spans="1:49" ht="15.75" customHeight="1" x14ac:dyDescent="0.25">
      <c r="A271" s="5" t="s">
        <v>211</v>
      </c>
      <c r="B271" s="6" t="s">
        <v>1069</v>
      </c>
      <c r="C271" s="6" t="s">
        <v>1096</v>
      </c>
      <c r="D271" s="6" t="s">
        <v>1097</v>
      </c>
      <c r="E271" s="5" t="s">
        <v>563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0</v>
      </c>
      <c r="O271" s="7">
        <v>1</v>
      </c>
      <c r="P271" s="7">
        <v>1</v>
      </c>
      <c r="Q271" s="7">
        <v>1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17</v>
      </c>
      <c r="Y271" s="8">
        <v>0.94444444444444442</v>
      </c>
      <c r="Z271" s="14" t="s">
        <v>1120</v>
      </c>
      <c r="AA271" s="7">
        <v>1</v>
      </c>
      <c r="AB271" s="7">
        <v>1</v>
      </c>
      <c r="AC271" s="7">
        <v>1</v>
      </c>
      <c r="AD271" s="7">
        <v>1</v>
      </c>
      <c r="AE271" s="7">
        <v>0</v>
      </c>
      <c r="AF271" s="7">
        <v>0</v>
      </c>
      <c r="AG271" s="7">
        <v>1</v>
      </c>
      <c r="AH271" s="7">
        <v>1</v>
      </c>
      <c r="AI271" s="7">
        <v>0</v>
      </c>
      <c r="AJ271" s="7">
        <v>1</v>
      </c>
      <c r="AK271" s="7">
        <v>1</v>
      </c>
      <c r="AL271" s="7">
        <v>0</v>
      </c>
      <c r="AM271" s="7">
        <v>0</v>
      </c>
      <c r="AN271" s="7">
        <v>0</v>
      </c>
      <c r="AO271" s="7">
        <v>1</v>
      </c>
      <c r="AP271" s="7">
        <v>0</v>
      </c>
      <c r="AQ271" s="7">
        <v>1</v>
      </c>
      <c r="AR271" s="7">
        <v>1</v>
      </c>
      <c r="AS271" s="7">
        <v>11</v>
      </c>
      <c r="AT271" s="8">
        <v>0.61111111111111116</v>
      </c>
      <c r="AU271" s="14" t="s">
        <v>1119</v>
      </c>
      <c r="AV271" s="7">
        <v>28</v>
      </c>
      <c r="AW271" s="8">
        <v>0.77777777777777768</v>
      </c>
    </row>
    <row r="272" spans="1:49" ht="15.75" customHeight="1" x14ac:dyDescent="0.25">
      <c r="A272" s="5" t="s">
        <v>211</v>
      </c>
      <c r="B272" s="6" t="s">
        <v>1069</v>
      </c>
      <c r="C272" s="6" t="s">
        <v>1099</v>
      </c>
      <c r="D272" s="6" t="s">
        <v>1100</v>
      </c>
      <c r="E272" s="5" t="s">
        <v>1175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8">
        <v>0</v>
      </c>
      <c r="Z272" s="14" t="s">
        <v>1102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8">
        <v>0</v>
      </c>
      <c r="AU272" s="14" t="s">
        <v>1102</v>
      </c>
      <c r="AV272" s="7">
        <v>0</v>
      </c>
      <c r="AW272" s="8">
        <v>0</v>
      </c>
    </row>
    <row r="273" spans="1:49" ht="15.75" customHeight="1" x14ac:dyDescent="0.25">
      <c r="A273" s="5" t="s">
        <v>211</v>
      </c>
      <c r="B273" s="6" t="s">
        <v>1069</v>
      </c>
      <c r="C273" s="6" t="s">
        <v>1103</v>
      </c>
      <c r="D273" s="6" t="s">
        <v>1097</v>
      </c>
      <c r="E273" s="5" t="s">
        <v>564</v>
      </c>
      <c r="F273" s="7">
        <v>0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1</v>
      </c>
      <c r="N273" s="7">
        <v>0</v>
      </c>
      <c r="O273" s="7">
        <v>1</v>
      </c>
      <c r="P273" s="7">
        <v>1</v>
      </c>
      <c r="Q273" s="7">
        <v>1</v>
      </c>
      <c r="R273" s="7">
        <v>0</v>
      </c>
      <c r="S273" s="7">
        <v>1</v>
      </c>
      <c r="T273" s="7">
        <v>1</v>
      </c>
      <c r="U273" s="7">
        <v>1</v>
      </c>
      <c r="V273" s="7">
        <v>0</v>
      </c>
      <c r="W273" s="7">
        <v>0</v>
      </c>
      <c r="X273" s="7">
        <v>0</v>
      </c>
      <c r="Y273" s="8">
        <v>0</v>
      </c>
      <c r="Z273" s="14" t="s">
        <v>1102</v>
      </c>
      <c r="AA273" s="7">
        <v>1</v>
      </c>
      <c r="AB273" s="7">
        <v>0</v>
      </c>
      <c r="AC273" s="7">
        <v>1</v>
      </c>
      <c r="AD273" s="7">
        <v>0</v>
      </c>
      <c r="AE273" s="7">
        <v>0</v>
      </c>
      <c r="AF273" s="7">
        <v>0</v>
      </c>
      <c r="AG273" s="7">
        <v>1</v>
      </c>
      <c r="AH273" s="7">
        <v>1</v>
      </c>
      <c r="AI273" s="7">
        <v>0</v>
      </c>
      <c r="AJ273" s="7">
        <v>1</v>
      </c>
      <c r="AK273" s="7">
        <v>0</v>
      </c>
      <c r="AL273" s="7">
        <v>0</v>
      </c>
      <c r="AM273" s="7">
        <v>0</v>
      </c>
      <c r="AN273" s="7">
        <v>1</v>
      </c>
      <c r="AO273" s="7">
        <v>0</v>
      </c>
      <c r="AP273" s="7">
        <v>0</v>
      </c>
      <c r="AQ273" s="7">
        <v>1</v>
      </c>
      <c r="AR273" s="7">
        <v>1</v>
      </c>
      <c r="AS273" s="7">
        <v>8</v>
      </c>
      <c r="AT273" s="8">
        <v>0.44444444444444442</v>
      </c>
      <c r="AU273" s="14" t="s">
        <v>1119</v>
      </c>
      <c r="AV273" s="7">
        <v>21</v>
      </c>
      <c r="AW273" s="8">
        <v>0.58333333333333337</v>
      </c>
    </row>
    <row r="274" spans="1:49" ht="15.75" customHeight="1" x14ac:dyDescent="0.25">
      <c r="A274" s="5" t="s">
        <v>211</v>
      </c>
      <c r="B274" s="6" t="s">
        <v>1069</v>
      </c>
      <c r="C274" s="6" t="s">
        <v>1103</v>
      </c>
      <c r="D274" s="6" t="s">
        <v>1097</v>
      </c>
      <c r="E274" s="5" t="s">
        <v>565</v>
      </c>
      <c r="F274" s="7">
        <v>1</v>
      </c>
      <c r="G274" s="7">
        <v>1</v>
      </c>
      <c r="H274" s="7">
        <v>0</v>
      </c>
      <c r="I274" s="7">
        <v>1</v>
      </c>
      <c r="J274" s="7">
        <v>1</v>
      </c>
      <c r="K274" s="7">
        <v>1</v>
      </c>
      <c r="L274" s="7">
        <v>1</v>
      </c>
      <c r="M274" s="7">
        <v>1</v>
      </c>
      <c r="N274" s="7">
        <v>0</v>
      </c>
      <c r="O274" s="7">
        <v>1</v>
      </c>
      <c r="P274" s="7">
        <v>1</v>
      </c>
      <c r="Q274" s="7">
        <v>0</v>
      </c>
      <c r="R274" s="7">
        <v>0</v>
      </c>
      <c r="S274" s="7">
        <v>1</v>
      </c>
      <c r="T274" s="7">
        <v>1</v>
      </c>
      <c r="U274" s="7">
        <v>1</v>
      </c>
      <c r="V274" s="7">
        <v>1</v>
      </c>
      <c r="W274" s="7">
        <v>0</v>
      </c>
      <c r="X274" s="7">
        <v>13</v>
      </c>
      <c r="Y274" s="8">
        <v>0.72222222222222232</v>
      </c>
      <c r="Z274" s="14" t="s">
        <v>1120</v>
      </c>
      <c r="AA274" s="7">
        <v>0</v>
      </c>
      <c r="AB274" s="7">
        <v>1</v>
      </c>
      <c r="AC274" s="7">
        <v>1</v>
      </c>
      <c r="AD274" s="7">
        <v>1</v>
      </c>
      <c r="AE274" s="7">
        <v>1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1</v>
      </c>
      <c r="AL274" s="7">
        <v>1</v>
      </c>
      <c r="AM274" s="7">
        <v>0</v>
      </c>
      <c r="AN274" s="7">
        <v>0</v>
      </c>
      <c r="AO274" s="7">
        <v>0</v>
      </c>
      <c r="AP274" s="7">
        <v>0</v>
      </c>
      <c r="AQ274" s="7">
        <v>1</v>
      </c>
      <c r="AR274" s="7">
        <v>1</v>
      </c>
      <c r="AS274" s="7">
        <v>8</v>
      </c>
      <c r="AT274" s="8">
        <v>0.44444444444444442</v>
      </c>
      <c r="AU274" s="14" t="s">
        <v>1119</v>
      </c>
      <c r="AV274" s="7">
        <v>21</v>
      </c>
      <c r="AW274" s="8">
        <v>0.58333333333333337</v>
      </c>
    </row>
    <row r="275" spans="1:49" ht="15.75" customHeight="1" x14ac:dyDescent="0.25">
      <c r="A275" s="5" t="s">
        <v>211</v>
      </c>
      <c r="B275" s="6" t="s">
        <v>1069</v>
      </c>
      <c r="C275" s="6" t="s">
        <v>1103</v>
      </c>
      <c r="D275" s="6" t="s">
        <v>1097</v>
      </c>
      <c r="E275" s="5" t="s">
        <v>566</v>
      </c>
      <c r="F275" s="7">
        <v>1</v>
      </c>
      <c r="G275" s="7">
        <v>1</v>
      </c>
      <c r="H275" s="7">
        <v>0</v>
      </c>
      <c r="I275" s="7">
        <v>1</v>
      </c>
      <c r="J275" s="7">
        <v>1</v>
      </c>
      <c r="K275" s="7">
        <v>0</v>
      </c>
      <c r="L275" s="7">
        <v>0</v>
      </c>
      <c r="M275" s="7">
        <v>0</v>
      </c>
      <c r="N275" s="7">
        <v>0</v>
      </c>
      <c r="O275" s="7">
        <v>1</v>
      </c>
      <c r="P275" s="7">
        <v>1</v>
      </c>
      <c r="Q275" s="7">
        <v>1</v>
      </c>
      <c r="R275" s="7">
        <v>0</v>
      </c>
      <c r="S275" s="7">
        <v>0</v>
      </c>
      <c r="T275" s="7">
        <v>1</v>
      </c>
      <c r="U275" s="7">
        <v>1</v>
      </c>
      <c r="V275" s="7">
        <v>1</v>
      </c>
      <c r="W275" s="7">
        <v>0</v>
      </c>
      <c r="X275" s="7">
        <v>10</v>
      </c>
      <c r="Y275" s="8">
        <v>0.55555555555555558</v>
      </c>
      <c r="Z275" s="14" t="s">
        <v>1119</v>
      </c>
      <c r="AA275" s="7">
        <v>0</v>
      </c>
      <c r="AB275" s="7">
        <v>1</v>
      </c>
      <c r="AC275" s="7">
        <v>1</v>
      </c>
      <c r="AD275" s="7">
        <v>0</v>
      </c>
      <c r="AE275" s="7">
        <v>0</v>
      </c>
      <c r="AF275" s="7">
        <v>0</v>
      </c>
      <c r="AG275" s="7">
        <v>1</v>
      </c>
      <c r="AH275" s="7">
        <v>1</v>
      </c>
      <c r="AI275" s="7">
        <v>0</v>
      </c>
      <c r="AJ275" s="7">
        <v>1</v>
      </c>
      <c r="AK275" s="7">
        <v>0</v>
      </c>
      <c r="AL275" s="7">
        <v>1</v>
      </c>
      <c r="AM275" s="7">
        <v>0</v>
      </c>
      <c r="AN275" s="7">
        <v>1</v>
      </c>
      <c r="AO275" s="7">
        <v>0</v>
      </c>
      <c r="AP275" s="7">
        <v>1</v>
      </c>
      <c r="AQ275" s="7">
        <v>1</v>
      </c>
      <c r="AR275" s="7">
        <v>0</v>
      </c>
      <c r="AS275" s="7">
        <v>9</v>
      </c>
      <c r="AT275" s="8">
        <v>0.5</v>
      </c>
      <c r="AU275" s="14" t="s">
        <v>1119</v>
      </c>
      <c r="AV275" s="7">
        <v>19</v>
      </c>
      <c r="AW275" s="8">
        <v>0.52777777777777779</v>
      </c>
    </row>
    <row r="276" spans="1:49" ht="15.75" customHeight="1" x14ac:dyDescent="0.25">
      <c r="A276" s="5" t="s">
        <v>211</v>
      </c>
      <c r="B276" s="6" t="s">
        <v>1069</v>
      </c>
      <c r="C276" s="6" t="s">
        <v>1103</v>
      </c>
      <c r="D276" s="6" t="s">
        <v>1097</v>
      </c>
      <c r="E276" s="5" t="s">
        <v>567</v>
      </c>
      <c r="F276" s="7">
        <v>1</v>
      </c>
      <c r="G276" s="7">
        <v>1</v>
      </c>
      <c r="H276" s="7">
        <v>0</v>
      </c>
      <c r="I276" s="7">
        <v>1</v>
      </c>
      <c r="J276" s="7">
        <v>1</v>
      </c>
      <c r="K276" s="7">
        <v>1</v>
      </c>
      <c r="L276" s="7">
        <v>1</v>
      </c>
      <c r="M276" s="7">
        <v>1</v>
      </c>
      <c r="N276" s="7">
        <v>0</v>
      </c>
      <c r="O276" s="7">
        <v>1</v>
      </c>
      <c r="P276" s="7">
        <v>1</v>
      </c>
      <c r="Q276" s="7">
        <v>1</v>
      </c>
      <c r="R276" s="7">
        <v>1</v>
      </c>
      <c r="S276" s="7">
        <v>1</v>
      </c>
      <c r="T276" s="7">
        <v>1</v>
      </c>
      <c r="U276" s="7">
        <v>1</v>
      </c>
      <c r="V276" s="7">
        <v>1</v>
      </c>
      <c r="W276" s="7">
        <v>0</v>
      </c>
      <c r="X276" s="7">
        <v>15</v>
      </c>
      <c r="Y276" s="8">
        <v>0.83333333333333326</v>
      </c>
      <c r="Z276" s="14" t="s">
        <v>1120</v>
      </c>
      <c r="AA276" s="7">
        <v>1</v>
      </c>
      <c r="AB276" s="7">
        <v>1</v>
      </c>
      <c r="AC276" s="7">
        <v>1</v>
      </c>
      <c r="AD276" s="7">
        <v>1</v>
      </c>
      <c r="AE276" s="7">
        <v>1</v>
      </c>
      <c r="AF276" s="7">
        <v>1</v>
      </c>
      <c r="AG276" s="7">
        <v>1</v>
      </c>
      <c r="AH276" s="7">
        <v>1</v>
      </c>
      <c r="AI276" s="7">
        <v>1</v>
      </c>
      <c r="AJ276" s="7">
        <v>1</v>
      </c>
      <c r="AK276" s="7">
        <v>1</v>
      </c>
      <c r="AL276" s="7">
        <v>1</v>
      </c>
      <c r="AM276" s="7">
        <v>0</v>
      </c>
      <c r="AN276" s="7">
        <v>1</v>
      </c>
      <c r="AO276" s="7">
        <v>1</v>
      </c>
      <c r="AP276" s="7">
        <v>1</v>
      </c>
      <c r="AQ276" s="7">
        <v>1</v>
      </c>
      <c r="AR276" s="7">
        <v>1</v>
      </c>
      <c r="AS276" s="7">
        <v>17</v>
      </c>
      <c r="AT276" s="8">
        <v>0.94444444444444442</v>
      </c>
      <c r="AU276" s="14" t="s">
        <v>1120</v>
      </c>
      <c r="AV276" s="7">
        <v>32</v>
      </c>
      <c r="AW276" s="8">
        <v>0.88888888888888884</v>
      </c>
    </row>
    <row r="277" spans="1:49" ht="15.75" customHeight="1" x14ac:dyDescent="0.25">
      <c r="A277" s="5" t="s">
        <v>211</v>
      </c>
      <c r="B277" s="6" t="s">
        <v>1069</v>
      </c>
      <c r="C277" s="6" t="s">
        <v>1104</v>
      </c>
      <c r="D277" s="6" t="s">
        <v>1097</v>
      </c>
      <c r="E277" s="5" t="s">
        <v>568</v>
      </c>
      <c r="F277" s="7">
        <v>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1</v>
      </c>
      <c r="N277" s="7">
        <v>0</v>
      </c>
      <c r="O277" s="7">
        <v>1</v>
      </c>
      <c r="P277" s="7">
        <v>1</v>
      </c>
      <c r="Q277" s="7">
        <v>1</v>
      </c>
      <c r="R277" s="7">
        <v>1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17</v>
      </c>
      <c r="Y277" s="8">
        <v>0.94444444444444442</v>
      </c>
      <c r="Z277" s="14" t="s">
        <v>1120</v>
      </c>
      <c r="AA277" s="7">
        <v>1</v>
      </c>
      <c r="AB277" s="7">
        <v>1</v>
      </c>
      <c r="AC277" s="7">
        <v>1</v>
      </c>
      <c r="AD277" s="7">
        <v>1</v>
      </c>
      <c r="AE277" s="7">
        <v>0</v>
      </c>
      <c r="AF277" s="7">
        <v>1</v>
      </c>
      <c r="AG277" s="7">
        <v>1</v>
      </c>
      <c r="AH277" s="7">
        <v>1</v>
      </c>
      <c r="AI277" s="7">
        <v>0</v>
      </c>
      <c r="AJ277" s="7">
        <v>1</v>
      </c>
      <c r="AK277" s="7">
        <v>1</v>
      </c>
      <c r="AL277" s="7">
        <v>1</v>
      </c>
      <c r="AM277" s="7">
        <v>0</v>
      </c>
      <c r="AN277" s="7">
        <v>1</v>
      </c>
      <c r="AO277" s="7">
        <v>0</v>
      </c>
      <c r="AP277" s="7">
        <v>1</v>
      </c>
      <c r="AQ277" s="7">
        <v>1</v>
      </c>
      <c r="AR277" s="7">
        <v>1</v>
      </c>
      <c r="AS277" s="7">
        <v>14</v>
      </c>
      <c r="AT277" s="8">
        <v>0.77777777777777768</v>
      </c>
      <c r="AU277" s="14" t="s">
        <v>1120</v>
      </c>
      <c r="AV277" s="7">
        <v>31</v>
      </c>
      <c r="AW277" s="8">
        <v>0.86111111111111116</v>
      </c>
    </row>
    <row r="278" spans="1:49" ht="15.75" customHeight="1" x14ac:dyDescent="0.25">
      <c r="A278" s="5" t="s">
        <v>211</v>
      </c>
      <c r="B278" s="6" t="s">
        <v>1069</v>
      </c>
      <c r="C278" s="6" t="s">
        <v>1103</v>
      </c>
      <c r="D278" s="6" t="s">
        <v>1097</v>
      </c>
      <c r="E278" s="5" t="s">
        <v>569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1</v>
      </c>
      <c r="N278" s="7">
        <v>0</v>
      </c>
      <c r="O278" s="7">
        <v>1</v>
      </c>
      <c r="P278" s="7">
        <v>1</v>
      </c>
      <c r="Q278" s="7">
        <v>1</v>
      </c>
      <c r="R278" s="7">
        <v>1</v>
      </c>
      <c r="S278" s="7">
        <v>1</v>
      </c>
      <c r="T278" s="7">
        <v>1</v>
      </c>
      <c r="U278" s="7">
        <v>1</v>
      </c>
      <c r="V278" s="7">
        <v>1</v>
      </c>
      <c r="W278" s="7">
        <v>1</v>
      </c>
      <c r="X278" s="7">
        <v>17</v>
      </c>
      <c r="Y278" s="8">
        <v>0.94444444444444442</v>
      </c>
      <c r="Z278" s="14" t="s">
        <v>1120</v>
      </c>
      <c r="AA278" s="7">
        <v>1</v>
      </c>
      <c r="AB278" s="7">
        <v>1</v>
      </c>
      <c r="AC278" s="7">
        <v>0</v>
      </c>
      <c r="AD278" s="7">
        <v>1</v>
      </c>
      <c r="AE278" s="7">
        <v>1</v>
      </c>
      <c r="AF278" s="7">
        <v>1</v>
      </c>
      <c r="AG278" s="7">
        <v>1</v>
      </c>
      <c r="AH278" s="7">
        <v>1</v>
      </c>
      <c r="AI278" s="7">
        <v>1</v>
      </c>
      <c r="AJ278" s="7">
        <v>1</v>
      </c>
      <c r="AK278" s="7">
        <v>1</v>
      </c>
      <c r="AL278" s="7">
        <v>1</v>
      </c>
      <c r="AM278" s="7">
        <v>0</v>
      </c>
      <c r="AN278" s="7">
        <v>1</v>
      </c>
      <c r="AO278" s="7">
        <v>1</v>
      </c>
      <c r="AP278" s="7">
        <v>1</v>
      </c>
      <c r="AQ278" s="7">
        <v>1</v>
      </c>
      <c r="AR278" s="7">
        <v>1</v>
      </c>
      <c r="AS278" s="7">
        <v>16</v>
      </c>
      <c r="AT278" s="8">
        <v>0.88888888888888884</v>
      </c>
      <c r="AU278" s="14" t="s">
        <v>1120</v>
      </c>
      <c r="AV278" s="7">
        <v>33</v>
      </c>
      <c r="AW278" s="8">
        <v>0.91666666666666674</v>
      </c>
    </row>
    <row r="279" spans="1:49" ht="15.75" customHeight="1" x14ac:dyDescent="0.25">
      <c r="A279" s="5" t="s">
        <v>211</v>
      </c>
      <c r="B279" s="6" t="s">
        <v>1069</v>
      </c>
      <c r="C279" s="6" t="s">
        <v>1104</v>
      </c>
      <c r="D279" s="6" t="s">
        <v>1097</v>
      </c>
      <c r="E279" s="5" t="s">
        <v>570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1</v>
      </c>
      <c r="N279" s="7">
        <v>0</v>
      </c>
      <c r="O279" s="7">
        <v>1</v>
      </c>
      <c r="P279" s="7">
        <v>1</v>
      </c>
      <c r="Q279" s="7">
        <v>1</v>
      </c>
      <c r="R279" s="7">
        <v>1</v>
      </c>
      <c r="S279" s="7">
        <v>1</v>
      </c>
      <c r="T279" s="7">
        <v>1</v>
      </c>
      <c r="U279" s="7">
        <v>0</v>
      </c>
      <c r="V279" s="7">
        <v>0</v>
      </c>
      <c r="W279" s="7">
        <v>1</v>
      </c>
      <c r="X279" s="7">
        <v>15</v>
      </c>
      <c r="Y279" s="8">
        <v>0.83333333333333326</v>
      </c>
      <c r="Z279" s="14" t="s">
        <v>1120</v>
      </c>
      <c r="AA279" s="7">
        <v>1</v>
      </c>
      <c r="AB279" s="7">
        <v>1</v>
      </c>
      <c r="AC279" s="7">
        <v>0</v>
      </c>
      <c r="AD279" s="7">
        <v>1</v>
      </c>
      <c r="AE279" s="7">
        <v>0</v>
      </c>
      <c r="AF279" s="7">
        <v>0</v>
      </c>
      <c r="AG279" s="7">
        <v>0</v>
      </c>
      <c r="AH279" s="7">
        <v>0</v>
      </c>
      <c r="AI279" s="7">
        <v>1</v>
      </c>
      <c r="AJ279" s="7">
        <v>1</v>
      </c>
      <c r="AK279" s="7">
        <v>1</v>
      </c>
      <c r="AL279" s="7">
        <v>1</v>
      </c>
      <c r="AM279" s="7">
        <v>0</v>
      </c>
      <c r="AN279" s="7">
        <v>1</v>
      </c>
      <c r="AO279" s="7">
        <v>0</v>
      </c>
      <c r="AP279" s="7">
        <v>1</v>
      </c>
      <c r="AQ279" s="7">
        <v>1</v>
      </c>
      <c r="AR279" s="7">
        <v>1</v>
      </c>
      <c r="AS279" s="7">
        <v>11</v>
      </c>
      <c r="AT279" s="8">
        <v>0.61111111111111116</v>
      </c>
      <c r="AU279" s="14" t="s">
        <v>1119</v>
      </c>
      <c r="AV279" s="7">
        <v>26</v>
      </c>
      <c r="AW279" s="8">
        <v>0.72222222222222232</v>
      </c>
    </row>
    <row r="280" spans="1:49" ht="15.75" customHeight="1" x14ac:dyDescent="0.25">
      <c r="A280" s="5" t="s">
        <v>218</v>
      </c>
      <c r="B280" s="6" t="s">
        <v>1069</v>
      </c>
      <c r="C280" s="6" t="s">
        <v>1103</v>
      </c>
      <c r="D280" s="6" t="s">
        <v>1097</v>
      </c>
      <c r="E280" s="5" t="s">
        <v>571</v>
      </c>
      <c r="F280" s="7">
        <v>1</v>
      </c>
      <c r="G280" s="7">
        <v>1</v>
      </c>
      <c r="H280" s="7">
        <v>1</v>
      </c>
      <c r="I280" s="7">
        <v>1</v>
      </c>
      <c r="J280" s="7">
        <v>0</v>
      </c>
      <c r="K280" s="7">
        <v>1</v>
      </c>
      <c r="L280" s="7">
        <v>0</v>
      </c>
      <c r="M280" s="7">
        <v>0</v>
      </c>
      <c r="N280" s="7">
        <v>0</v>
      </c>
      <c r="O280" s="7">
        <v>0</v>
      </c>
      <c r="P280" s="7">
        <v>1</v>
      </c>
      <c r="Q280" s="7">
        <v>0</v>
      </c>
      <c r="R280" s="7">
        <v>0</v>
      </c>
      <c r="S280" s="7">
        <v>1</v>
      </c>
      <c r="T280" s="7">
        <v>1</v>
      </c>
      <c r="U280" s="7">
        <v>0</v>
      </c>
      <c r="V280" s="7">
        <v>1</v>
      </c>
      <c r="W280" s="7">
        <v>1</v>
      </c>
      <c r="X280" s="7">
        <v>10</v>
      </c>
      <c r="Y280" s="8">
        <v>0.55555555555555558</v>
      </c>
      <c r="Z280" s="14" t="s">
        <v>1119</v>
      </c>
      <c r="AA280" s="7">
        <v>0</v>
      </c>
      <c r="AB280" s="7">
        <v>0</v>
      </c>
      <c r="AC280" s="7">
        <v>1</v>
      </c>
      <c r="AD280" s="7">
        <v>1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1</v>
      </c>
      <c r="AL280" s="7">
        <v>0</v>
      </c>
      <c r="AM280" s="7">
        <v>0</v>
      </c>
      <c r="AN280" s="7">
        <v>0</v>
      </c>
      <c r="AO280" s="7">
        <v>1</v>
      </c>
      <c r="AP280" s="7">
        <v>0</v>
      </c>
      <c r="AQ280" s="7">
        <v>1</v>
      </c>
      <c r="AR280" s="7">
        <v>1</v>
      </c>
      <c r="AS280" s="7">
        <v>18</v>
      </c>
      <c r="AT280" s="8">
        <v>1</v>
      </c>
      <c r="AU280" s="14" t="s">
        <v>1120</v>
      </c>
      <c r="AV280" s="7">
        <v>16</v>
      </c>
      <c r="AW280" s="8">
        <v>0.44444444444444442</v>
      </c>
    </row>
    <row r="281" spans="1:49" ht="15.75" customHeight="1" x14ac:dyDescent="0.25">
      <c r="A281" s="5" t="s">
        <v>218</v>
      </c>
      <c r="B281" s="6" t="s">
        <v>1069</v>
      </c>
      <c r="C281" s="6" t="s">
        <v>1103</v>
      </c>
      <c r="D281" s="6" t="s">
        <v>1097</v>
      </c>
      <c r="E281" s="5" t="s">
        <v>572</v>
      </c>
      <c r="F281" s="7">
        <v>1</v>
      </c>
      <c r="G281" s="7">
        <v>1</v>
      </c>
      <c r="H281" s="7">
        <v>1</v>
      </c>
      <c r="I281" s="7">
        <v>1</v>
      </c>
      <c r="J281" s="7">
        <v>0</v>
      </c>
      <c r="K281" s="7">
        <v>1</v>
      </c>
      <c r="L281" s="7">
        <v>1</v>
      </c>
      <c r="M281" s="7">
        <v>0</v>
      </c>
      <c r="N281" s="7">
        <v>1</v>
      </c>
      <c r="O281" s="7">
        <v>1</v>
      </c>
      <c r="P281" s="7">
        <v>1</v>
      </c>
      <c r="Q281" s="7">
        <v>0</v>
      </c>
      <c r="R281" s="7">
        <v>1</v>
      </c>
      <c r="S281" s="7">
        <v>0</v>
      </c>
      <c r="T281" s="7">
        <v>1</v>
      </c>
      <c r="U281" s="7">
        <v>1</v>
      </c>
      <c r="V281" s="7">
        <v>1</v>
      </c>
      <c r="W281" s="7">
        <v>0</v>
      </c>
      <c r="X281" s="7">
        <v>13</v>
      </c>
      <c r="Y281" s="8">
        <v>0.72222222222222232</v>
      </c>
      <c r="Z281" s="14" t="s">
        <v>1120</v>
      </c>
      <c r="AA281" s="7">
        <v>1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1</v>
      </c>
      <c r="AH281" s="7">
        <v>0</v>
      </c>
      <c r="AI281" s="7">
        <v>0</v>
      </c>
      <c r="AJ281" s="7">
        <v>1</v>
      </c>
      <c r="AK281" s="7">
        <v>0</v>
      </c>
      <c r="AL281" s="7">
        <v>1</v>
      </c>
      <c r="AM281" s="7">
        <v>0</v>
      </c>
      <c r="AN281" s="7">
        <v>0</v>
      </c>
      <c r="AO281" s="7">
        <v>1</v>
      </c>
      <c r="AP281" s="7">
        <v>0</v>
      </c>
      <c r="AQ281" s="7">
        <v>1</v>
      </c>
      <c r="AR281" s="7">
        <v>0</v>
      </c>
      <c r="AS281" s="7">
        <v>6</v>
      </c>
      <c r="AT281" s="8">
        <v>0.33333333333333337</v>
      </c>
      <c r="AU281" s="14" t="s">
        <v>1102</v>
      </c>
      <c r="AV281" s="7">
        <v>19</v>
      </c>
      <c r="AW281" s="8">
        <v>0.52777777777777779</v>
      </c>
    </row>
    <row r="282" spans="1:49" ht="15.75" customHeight="1" x14ac:dyDescent="0.25">
      <c r="A282" s="5" t="s">
        <v>218</v>
      </c>
      <c r="B282" s="6" t="s">
        <v>1069</v>
      </c>
      <c r="C282" s="6" t="s">
        <v>1099</v>
      </c>
      <c r="D282" s="6" t="s">
        <v>1100</v>
      </c>
      <c r="E282" s="5" t="s">
        <v>573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8">
        <v>0</v>
      </c>
      <c r="Z282" s="14" t="s">
        <v>1102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8">
        <v>0</v>
      </c>
      <c r="AU282" s="14" t="s">
        <v>1102</v>
      </c>
      <c r="AV282" s="7">
        <v>0</v>
      </c>
      <c r="AW282" s="8">
        <v>0</v>
      </c>
    </row>
    <row r="283" spans="1:49" ht="15.75" customHeight="1" x14ac:dyDescent="0.25">
      <c r="A283" s="5" t="s">
        <v>218</v>
      </c>
      <c r="B283" s="6" t="s">
        <v>1069</v>
      </c>
      <c r="C283" s="6" t="s">
        <v>1099</v>
      </c>
      <c r="D283" s="6" t="s">
        <v>1100</v>
      </c>
      <c r="E283" s="5" t="s">
        <v>1176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8">
        <v>0</v>
      </c>
      <c r="Z283" s="14" t="s">
        <v>1102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8">
        <v>0</v>
      </c>
      <c r="AU283" s="14" t="s">
        <v>1102</v>
      </c>
      <c r="AV283" s="7">
        <v>0</v>
      </c>
      <c r="AW283" s="8">
        <v>0</v>
      </c>
    </row>
    <row r="284" spans="1:49" ht="15.75" customHeight="1" x14ac:dyDescent="0.25">
      <c r="A284" s="5" t="s">
        <v>218</v>
      </c>
      <c r="B284" s="6" t="s">
        <v>1069</v>
      </c>
      <c r="C284" s="6" t="s">
        <v>1103</v>
      </c>
      <c r="D284" s="6" t="s">
        <v>1097</v>
      </c>
      <c r="E284" s="5" t="s">
        <v>574</v>
      </c>
      <c r="F284" s="7">
        <v>1</v>
      </c>
      <c r="G284" s="7">
        <v>1</v>
      </c>
      <c r="H284" s="7">
        <v>0</v>
      </c>
      <c r="I284" s="7">
        <v>0</v>
      </c>
      <c r="J284" s="7">
        <v>1</v>
      </c>
      <c r="K284" s="7">
        <v>1</v>
      </c>
      <c r="L284" s="7">
        <v>1</v>
      </c>
      <c r="M284" s="7">
        <v>0</v>
      </c>
      <c r="N284" s="7">
        <v>0</v>
      </c>
      <c r="O284" s="7">
        <v>1</v>
      </c>
      <c r="P284" s="7">
        <v>1</v>
      </c>
      <c r="Q284" s="7">
        <v>0</v>
      </c>
      <c r="R284" s="7">
        <v>1</v>
      </c>
      <c r="S284" s="7">
        <v>0</v>
      </c>
      <c r="T284" s="7">
        <v>0</v>
      </c>
      <c r="U284" s="7">
        <v>1</v>
      </c>
      <c r="V284" s="7">
        <v>0</v>
      </c>
      <c r="W284" s="7">
        <v>1</v>
      </c>
      <c r="X284" s="7">
        <v>10</v>
      </c>
      <c r="Y284" s="8">
        <v>0.55555555555555558</v>
      </c>
      <c r="Z284" s="14" t="s">
        <v>1119</v>
      </c>
      <c r="AA284" s="7">
        <v>0</v>
      </c>
      <c r="AB284" s="7">
        <v>1</v>
      </c>
      <c r="AC284" s="7">
        <v>1</v>
      </c>
      <c r="AD284" s="7">
        <v>0</v>
      </c>
      <c r="AE284" s="7">
        <v>0</v>
      </c>
      <c r="AF284" s="7">
        <v>1</v>
      </c>
      <c r="AG284" s="7">
        <v>0</v>
      </c>
      <c r="AH284" s="7">
        <v>0</v>
      </c>
      <c r="AI284" s="7">
        <v>0</v>
      </c>
      <c r="AJ284" s="7">
        <v>1</v>
      </c>
      <c r="AK284" s="7">
        <v>1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1</v>
      </c>
      <c r="AR284" s="7">
        <v>1</v>
      </c>
      <c r="AS284" s="7">
        <v>7</v>
      </c>
      <c r="AT284" s="8">
        <v>0.38888888888888884</v>
      </c>
      <c r="AU284" s="14" t="s">
        <v>1102</v>
      </c>
      <c r="AV284" s="7">
        <v>17</v>
      </c>
      <c r="AW284" s="8">
        <v>0.47222222222222221</v>
      </c>
    </row>
    <row r="285" spans="1:49" ht="15.75" customHeight="1" x14ac:dyDescent="0.25">
      <c r="A285" s="5" t="s">
        <v>218</v>
      </c>
      <c r="B285" s="6" t="s">
        <v>1069</v>
      </c>
      <c r="C285" s="6" t="s">
        <v>1103</v>
      </c>
      <c r="D285" s="6" t="s">
        <v>1097</v>
      </c>
      <c r="E285" s="5" t="s">
        <v>575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0</v>
      </c>
      <c r="N285" s="7">
        <v>0</v>
      </c>
      <c r="O285" s="7">
        <v>1</v>
      </c>
      <c r="P285" s="7">
        <v>1</v>
      </c>
      <c r="Q285" s="7">
        <v>1</v>
      </c>
      <c r="R285" s="7">
        <v>0</v>
      </c>
      <c r="S285" s="7">
        <v>0</v>
      </c>
      <c r="T285" s="7">
        <v>1</v>
      </c>
      <c r="U285" s="7">
        <v>1</v>
      </c>
      <c r="V285" s="7">
        <v>0</v>
      </c>
      <c r="W285" s="7">
        <v>1</v>
      </c>
      <c r="X285" s="7">
        <v>13</v>
      </c>
      <c r="Y285" s="8">
        <v>0.72222222222222232</v>
      </c>
      <c r="Z285" s="14" t="s">
        <v>1120</v>
      </c>
      <c r="AA285" s="7">
        <v>1</v>
      </c>
      <c r="AB285" s="7">
        <v>0</v>
      </c>
      <c r="AC285" s="7">
        <v>1</v>
      </c>
      <c r="AD285" s="7">
        <v>1</v>
      </c>
      <c r="AE285" s="7">
        <v>0</v>
      </c>
      <c r="AF285" s="7">
        <v>0</v>
      </c>
      <c r="AG285" s="7">
        <v>1</v>
      </c>
      <c r="AH285" s="7">
        <v>1</v>
      </c>
      <c r="AI285" s="7">
        <v>0</v>
      </c>
      <c r="AJ285" s="7">
        <v>1</v>
      </c>
      <c r="AK285" s="7">
        <v>1</v>
      </c>
      <c r="AL285" s="7">
        <v>1</v>
      </c>
      <c r="AM285" s="7">
        <v>0</v>
      </c>
      <c r="AN285" s="7">
        <v>0</v>
      </c>
      <c r="AO285" s="7">
        <v>1</v>
      </c>
      <c r="AP285" s="7">
        <v>1</v>
      </c>
      <c r="AQ285" s="7">
        <v>1</v>
      </c>
      <c r="AR285" s="7">
        <v>1</v>
      </c>
      <c r="AS285" s="7">
        <v>12</v>
      </c>
      <c r="AT285" s="8">
        <v>0.66666666666666674</v>
      </c>
      <c r="AU285" s="14" t="s">
        <v>1119</v>
      </c>
      <c r="AV285" s="7">
        <v>25</v>
      </c>
      <c r="AW285" s="8">
        <v>0.69444444444444442</v>
      </c>
    </row>
    <row r="286" spans="1:49" ht="15.75" customHeight="1" x14ac:dyDescent="0.25">
      <c r="A286" s="5" t="s">
        <v>218</v>
      </c>
      <c r="B286" s="6" t="s">
        <v>1069</v>
      </c>
      <c r="C286" s="6" t="s">
        <v>1104</v>
      </c>
      <c r="D286" s="6" t="s">
        <v>1097</v>
      </c>
      <c r="E286" s="5" t="s">
        <v>576</v>
      </c>
      <c r="F286" s="7">
        <v>1</v>
      </c>
      <c r="G286" s="7">
        <v>1</v>
      </c>
      <c r="H286" s="7">
        <v>0</v>
      </c>
      <c r="I286" s="7">
        <v>1</v>
      </c>
      <c r="J286" s="7">
        <v>1</v>
      </c>
      <c r="K286" s="7">
        <v>1</v>
      </c>
      <c r="L286" s="7">
        <v>1</v>
      </c>
      <c r="M286" s="7">
        <v>1</v>
      </c>
      <c r="N286" s="7">
        <v>0</v>
      </c>
      <c r="O286" s="7">
        <v>1</v>
      </c>
      <c r="P286" s="7">
        <v>1</v>
      </c>
      <c r="Q286" s="7">
        <v>1</v>
      </c>
      <c r="R286" s="7">
        <v>0</v>
      </c>
      <c r="S286" s="7">
        <v>1</v>
      </c>
      <c r="T286" s="7">
        <v>1</v>
      </c>
      <c r="U286" s="7">
        <v>1</v>
      </c>
      <c r="V286" s="7">
        <v>1</v>
      </c>
      <c r="W286" s="7">
        <v>1</v>
      </c>
      <c r="X286" s="7">
        <v>15</v>
      </c>
      <c r="Y286" s="8">
        <v>0.83333333333333326</v>
      </c>
      <c r="Z286" s="14" t="s">
        <v>1120</v>
      </c>
      <c r="AA286" s="7">
        <v>1</v>
      </c>
      <c r="AB286" s="7">
        <v>1</v>
      </c>
      <c r="AC286" s="7">
        <v>1</v>
      </c>
      <c r="AD286" s="7">
        <v>1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1</v>
      </c>
      <c r="AK286" s="7">
        <v>1</v>
      </c>
      <c r="AL286" s="7">
        <v>1</v>
      </c>
      <c r="AM286" s="7">
        <v>0</v>
      </c>
      <c r="AN286" s="7">
        <v>1</v>
      </c>
      <c r="AO286" s="7">
        <v>1</v>
      </c>
      <c r="AP286" s="7">
        <v>1</v>
      </c>
      <c r="AQ286" s="7">
        <v>1</v>
      </c>
      <c r="AR286" s="7">
        <v>1</v>
      </c>
      <c r="AS286" s="7">
        <v>12</v>
      </c>
      <c r="AT286" s="8">
        <v>0.66666666666666674</v>
      </c>
      <c r="AU286" s="14" t="s">
        <v>1119</v>
      </c>
      <c r="AV286" s="7">
        <v>27</v>
      </c>
      <c r="AW286" s="8">
        <v>0.75</v>
      </c>
    </row>
    <row r="287" spans="1:49" ht="15.75" customHeight="1" x14ac:dyDescent="0.25">
      <c r="A287" s="5" t="s">
        <v>218</v>
      </c>
      <c r="B287" s="6" t="s">
        <v>1069</v>
      </c>
      <c r="C287" s="7" t="s">
        <v>1117</v>
      </c>
      <c r="D287" s="6" t="s">
        <v>1097</v>
      </c>
      <c r="E287" s="5" t="s">
        <v>577</v>
      </c>
      <c r="F287" s="7">
        <v>1</v>
      </c>
      <c r="G287" s="7">
        <v>1</v>
      </c>
      <c r="H287" s="7">
        <v>1</v>
      </c>
      <c r="I287" s="7">
        <v>1</v>
      </c>
      <c r="J287" s="7">
        <v>0</v>
      </c>
      <c r="K287" s="7">
        <v>1</v>
      </c>
      <c r="L287" s="7">
        <v>1</v>
      </c>
      <c r="M287" s="7">
        <v>1</v>
      </c>
      <c r="N287" s="7">
        <v>0</v>
      </c>
      <c r="O287" s="7">
        <v>1</v>
      </c>
      <c r="P287" s="7">
        <v>1</v>
      </c>
      <c r="Q287" s="7">
        <v>0</v>
      </c>
      <c r="R287" s="7">
        <v>1</v>
      </c>
      <c r="S287" s="7">
        <v>0</v>
      </c>
      <c r="T287" s="7">
        <v>0</v>
      </c>
      <c r="U287" s="7">
        <v>0</v>
      </c>
      <c r="V287" s="7">
        <v>1</v>
      </c>
      <c r="W287" s="7">
        <v>1</v>
      </c>
      <c r="X287" s="7">
        <v>12</v>
      </c>
      <c r="Y287" s="8">
        <v>0.66666666666666674</v>
      </c>
      <c r="Z287" s="14" t="s">
        <v>1119</v>
      </c>
      <c r="AA287" s="7">
        <v>1</v>
      </c>
      <c r="AB287" s="7">
        <v>1</v>
      </c>
      <c r="AC287" s="7">
        <v>1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1</v>
      </c>
      <c r="AJ287" s="7">
        <v>1</v>
      </c>
      <c r="AK287" s="7">
        <v>0</v>
      </c>
      <c r="AL287" s="7">
        <v>0</v>
      </c>
      <c r="AM287" s="7">
        <v>0</v>
      </c>
      <c r="AN287" s="7">
        <v>1</v>
      </c>
      <c r="AO287" s="7">
        <v>1</v>
      </c>
      <c r="AP287" s="7">
        <v>1</v>
      </c>
      <c r="AQ287" s="7">
        <v>1</v>
      </c>
      <c r="AR287" s="7">
        <v>1</v>
      </c>
      <c r="AS287" s="7">
        <v>10</v>
      </c>
      <c r="AT287" s="8">
        <v>0.55555555555555558</v>
      </c>
      <c r="AU287" s="14" t="s">
        <v>1119</v>
      </c>
      <c r="AV287" s="7">
        <v>22</v>
      </c>
      <c r="AW287" s="8">
        <v>0.61111111111111116</v>
      </c>
    </row>
    <row r="288" spans="1:49" ht="15.75" customHeight="1" x14ac:dyDescent="0.25">
      <c r="A288" s="5" t="s">
        <v>218</v>
      </c>
      <c r="B288" s="6" t="s">
        <v>1069</v>
      </c>
      <c r="C288" s="6" t="s">
        <v>1103</v>
      </c>
      <c r="D288" s="6" t="s">
        <v>1097</v>
      </c>
      <c r="E288" s="5" t="s">
        <v>578</v>
      </c>
      <c r="F288" s="7">
        <v>1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1</v>
      </c>
      <c r="N288" s="7">
        <v>0</v>
      </c>
      <c r="O288" s="7">
        <v>1</v>
      </c>
      <c r="P288" s="7">
        <v>1</v>
      </c>
      <c r="Q288" s="7">
        <v>1</v>
      </c>
      <c r="R288" s="7">
        <v>0</v>
      </c>
      <c r="S288" s="7">
        <v>1</v>
      </c>
      <c r="T288" s="7">
        <v>1</v>
      </c>
      <c r="U288" s="7">
        <v>1</v>
      </c>
      <c r="V288" s="7">
        <v>1</v>
      </c>
      <c r="W288" s="7">
        <v>1</v>
      </c>
      <c r="X288" s="7">
        <v>16</v>
      </c>
      <c r="Y288" s="8">
        <v>0.88888888888888884</v>
      </c>
      <c r="Z288" s="14" t="s">
        <v>1120</v>
      </c>
      <c r="AA288" s="7">
        <v>0</v>
      </c>
      <c r="AB288" s="7">
        <v>1</v>
      </c>
      <c r="AC288" s="7">
        <v>1</v>
      </c>
      <c r="AD288" s="7">
        <v>1</v>
      </c>
      <c r="AE288" s="7">
        <v>0</v>
      </c>
      <c r="AF288" s="7">
        <v>0</v>
      </c>
      <c r="AG288" s="7">
        <v>1</v>
      </c>
      <c r="AH288" s="7">
        <v>1</v>
      </c>
      <c r="AI288" s="7">
        <v>1</v>
      </c>
      <c r="AJ288" s="7">
        <v>1</v>
      </c>
      <c r="AK288" s="7">
        <v>1</v>
      </c>
      <c r="AL288" s="7">
        <v>0</v>
      </c>
      <c r="AM288" s="7">
        <v>0</v>
      </c>
      <c r="AN288" s="7">
        <v>1</v>
      </c>
      <c r="AO288" s="7">
        <v>1</v>
      </c>
      <c r="AP288" s="7">
        <v>1</v>
      </c>
      <c r="AQ288" s="7">
        <v>1</v>
      </c>
      <c r="AR288" s="7">
        <v>1</v>
      </c>
      <c r="AS288" s="7">
        <v>13</v>
      </c>
      <c r="AT288" s="8">
        <v>0.72222222222222232</v>
      </c>
      <c r="AU288" s="14" t="s">
        <v>1120</v>
      </c>
      <c r="AV288" s="7">
        <v>29</v>
      </c>
      <c r="AW288" s="8">
        <v>0.80555555555555558</v>
      </c>
    </row>
    <row r="289" spans="1:49" ht="15.75" customHeight="1" x14ac:dyDescent="0.25">
      <c r="A289" s="5" t="s">
        <v>218</v>
      </c>
      <c r="B289" s="6" t="s">
        <v>1069</v>
      </c>
      <c r="C289" s="6" t="s">
        <v>1104</v>
      </c>
      <c r="D289" s="6" t="s">
        <v>1097</v>
      </c>
      <c r="E289" s="5" t="s">
        <v>579</v>
      </c>
      <c r="F289" s="7">
        <v>1</v>
      </c>
      <c r="G289" s="7">
        <v>1</v>
      </c>
      <c r="H289" s="7">
        <v>1</v>
      </c>
      <c r="I289" s="7">
        <v>1</v>
      </c>
      <c r="J289" s="7">
        <v>1</v>
      </c>
      <c r="K289" s="7">
        <v>1</v>
      </c>
      <c r="L289" s="7">
        <v>0</v>
      </c>
      <c r="M289" s="7">
        <v>0</v>
      </c>
      <c r="N289" s="7">
        <v>1</v>
      </c>
      <c r="O289" s="7">
        <v>1</v>
      </c>
      <c r="P289" s="7">
        <v>1</v>
      </c>
      <c r="Q289" s="7">
        <v>1</v>
      </c>
      <c r="R289" s="7">
        <v>0</v>
      </c>
      <c r="S289" s="7">
        <v>1</v>
      </c>
      <c r="T289" s="7">
        <v>0</v>
      </c>
      <c r="U289" s="7">
        <v>1</v>
      </c>
      <c r="V289" s="7">
        <v>1</v>
      </c>
      <c r="W289" s="7">
        <v>1</v>
      </c>
      <c r="X289" s="7">
        <v>14</v>
      </c>
      <c r="Y289" s="8">
        <v>0.77777777777777768</v>
      </c>
      <c r="Z289" s="14" t="s">
        <v>1120</v>
      </c>
      <c r="AA289" s="7">
        <v>0</v>
      </c>
      <c r="AB289" s="7">
        <v>1</v>
      </c>
      <c r="AC289" s="7">
        <v>0</v>
      </c>
      <c r="AD289" s="7">
        <v>1</v>
      </c>
      <c r="AE289" s="7">
        <v>0</v>
      </c>
      <c r="AF289" s="7">
        <v>0</v>
      </c>
      <c r="AG289" s="7">
        <v>1</v>
      </c>
      <c r="AH289" s="7">
        <v>0</v>
      </c>
      <c r="AI289" s="7">
        <v>1</v>
      </c>
      <c r="AJ289" s="7">
        <v>1</v>
      </c>
      <c r="AK289" s="7">
        <v>0</v>
      </c>
      <c r="AL289" s="7">
        <v>0</v>
      </c>
      <c r="AM289" s="7">
        <v>1</v>
      </c>
      <c r="AN289" s="7">
        <v>0</v>
      </c>
      <c r="AO289" s="7">
        <v>1</v>
      </c>
      <c r="AP289" s="7">
        <v>0</v>
      </c>
      <c r="AQ289" s="7">
        <v>1</v>
      </c>
      <c r="AR289" s="7">
        <v>1</v>
      </c>
      <c r="AS289" s="7">
        <v>9</v>
      </c>
      <c r="AT289" s="8">
        <v>0.5</v>
      </c>
      <c r="AU289" s="14" t="s">
        <v>1119</v>
      </c>
      <c r="AV289" s="7">
        <v>23</v>
      </c>
      <c r="AW289" s="8">
        <v>0.63888888888888884</v>
      </c>
    </row>
    <row r="290" spans="1:49" ht="15.75" customHeight="1" x14ac:dyDescent="0.25">
      <c r="A290" s="5" t="s">
        <v>224</v>
      </c>
      <c r="B290" s="6" t="s">
        <v>1069</v>
      </c>
      <c r="C290" s="6" t="s">
        <v>1096</v>
      </c>
      <c r="D290" s="6" t="s">
        <v>1097</v>
      </c>
      <c r="E290" s="5" t="s">
        <v>580</v>
      </c>
      <c r="F290" s="7">
        <v>1</v>
      </c>
      <c r="G290" s="7">
        <v>1</v>
      </c>
      <c r="H290" s="7">
        <v>1</v>
      </c>
      <c r="I290" s="7">
        <v>1</v>
      </c>
      <c r="J290" s="7">
        <v>0</v>
      </c>
      <c r="K290" s="7">
        <v>1</v>
      </c>
      <c r="L290" s="7">
        <v>1</v>
      </c>
      <c r="M290" s="7">
        <v>0</v>
      </c>
      <c r="N290" s="7">
        <v>0</v>
      </c>
      <c r="O290" s="7">
        <v>1</v>
      </c>
      <c r="P290" s="7">
        <v>1</v>
      </c>
      <c r="Q290" s="7">
        <v>1</v>
      </c>
      <c r="R290" s="7">
        <v>1</v>
      </c>
      <c r="S290" s="7">
        <v>0</v>
      </c>
      <c r="T290" s="7">
        <v>1</v>
      </c>
      <c r="U290" s="7">
        <v>1</v>
      </c>
      <c r="V290" s="7">
        <v>1</v>
      </c>
      <c r="W290" s="7">
        <v>1</v>
      </c>
      <c r="X290" s="7">
        <v>14</v>
      </c>
      <c r="Y290" s="8">
        <v>0.77777777777777768</v>
      </c>
      <c r="Z290" s="14" t="s">
        <v>1120</v>
      </c>
      <c r="AA290" s="7">
        <v>1</v>
      </c>
      <c r="AB290" s="7">
        <v>1</v>
      </c>
      <c r="AC290" s="7">
        <v>1</v>
      </c>
      <c r="AD290" s="7">
        <v>0</v>
      </c>
      <c r="AE290" s="7">
        <v>1</v>
      </c>
      <c r="AF290" s="7">
        <v>0</v>
      </c>
      <c r="AG290" s="7">
        <v>1</v>
      </c>
      <c r="AH290" s="7">
        <v>1</v>
      </c>
      <c r="AI290" s="7">
        <v>1</v>
      </c>
      <c r="AJ290" s="7">
        <v>1</v>
      </c>
      <c r="AK290" s="7">
        <v>1</v>
      </c>
      <c r="AL290" s="7">
        <v>1</v>
      </c>
      <c r="AM290" s="7">
        <v>0</v>
      </c>
      <c r="AN290" s="7">
        <v>0</v>
      </c>
      <c r="AO290" s="7">
        <v>1</v>
      </c>
      <c r="AP290" s="7">
        <v>1</v>
      </c>
      <c r="AQ290" s="7">
        <v>1</v>
      </c>
      <c r="AR290" s="7">
        <v>1</v>
      </c>
      <c r="AS290" s="7">
        <v>14</v>
      </c>
      <c r="AT290" s="8">
        <v>0.77777777777777768</v>
      </c>
      <c r="AU290" s="14" t="s">
        <v>1120</v>
      </c>
      <c r="AV290" s="7">
        <v>28</v>
      </c>
      <c r="AW290" s="8">
        <v>0.77777777777777768</v>
      </c>
    </row>
    <row r="291" spans="1:49" ht="15.75" customHeight="1" x14ac:dyDescent="0.25">
      <c r="A291" s="5" t="s">
        <v>224</v>
      </c>
      <c r="B291" s="6" t="s">
        <v>1069</v>
      </c>
      <c r="C291" s="6" t="s">
        <v>1103</v>
      </c>
      <c r="D291" s="6" t="s">
        <v>1097</v>
      </c>
      <c r="E291" s="5" t="s">
        <v>581</v>
      </c>
      <c r="F291" s="7">
        <v>1</v>
      </c>
      <c r="G291" s="7">
        <v>1</v>
      </c>
      <c r="H291" s="7">
        <v>1</v>
      </c>
      <c r="I291" s="7">
        <v>1</v>
      </c>
      <c r="J291" s="7">
        <v>0</v>
      </c>
      <c r="K291" s="7">
        <v>1</v>
      </c>
      <c r="L291" s="7">
        <v>1</v>
      </c>
      <c r="M291" s="7">
        <v>1</v>
      </c>
      <c r="N291" s="7">
        <v>0</v>
      </c>
      <c r="O291" s="7">
        <v>0</v>
      </c>
      <c r="P291" s="7">
        <v>1</v>
      </c>
      <c r="Q291" s="7">
        <v>0</v>
      </c>
      <c r="R291" s="7">
        <v>1</v>
      </c>
      <c r="S291" s="7">
        <v>1</v>
      </c>
      <c r="T291" s="7">
        <v>1</v>
      </c>
      <c r="U291" s="7">
        <v>1</v>
      </c>
      <c r="V291" s="7">
        <v>1</v>
      </c>
      <c r="W291" s="7">
        <v>1</v>
      </c>
      <c r="X291" s="7">
        <v>14</v>
      </c>
      <c r="Y291" s="8">
        <v>0.77777777777777768</v>
      </c>
      <c r="Z291" s="14" t="s">
        <v>1120</v>
      </c>
      <c r="AA291" s="7">
        <v>0</v>
      </c>
      <c r="AB291" s="7">
        <v>1</v>
      </c>
      <c r="AC291" s="7">
        <v>0</v>
      </c>
      <c r="AD291" s="7">
        <v>1</v>
      </c>
      <c r="AE291" s="7">
        <v>0</v>
      </c>
      <c r="AF291" s="7">
        <v>1</v>
      </c>
      <c r="AG291" s="7">
        <v>0</v>
      </c>
      <c r="AH291" s="7">
        <v>0</v>
      </c>
      <c r="AI291" s="7">
        <v>1</v>
      </c>
      <c r="AJ291" s="7">
        <v>1</v>
      </c>
      <c r="AK291" s="7">
        <v>0</v>
      </c>
      <c r="AL291" s="7">
        <v>0</v>
      </c>
      <c r="AM291" s="7">
        <v>0</v>
      </c>
      <c r="AN291" s="7">
        <v>0</v>
      </c>
      <c r="AO291" s="7">
        <v>1</v>
      </c>
      <c r="AP291" s="7">
        <v>0</v>
      </c>
      <c r="AQ291" s="7">
        <v>1</v>
      </c>
      <c r="AR291" s="7">
        <v>1</v>
      </c>
      <c r="AS291" s="7">
        <v>8</v>
      </c>
      <c r="AT291" s="8">
        <v>0.44444444444444442</v>
      </c>
      <c r="AU291" s="14" t="s">
        <v>1119</v>
      </c>
      <c r="AV291" s="7">
        <v>22</v>
      </c>
      <c r="AW291" s="8">
        <v>0.61111111111111116</v>
      </c>
    </row>
    <row r="292" spans="1:49" ht="15.75" customHeight="1" x14ac:dyDescent="0.25">
      <c r="A292" s="5" t="s">
        <v>224</v>
      </c>
      <c r="B292" s="6" t="s">
        <v>1069</v>
      </c>
      <c r="C292" s="6" t="s">
        <v>1105</v>
      </c>
      <c r="D292" s="6" t="s">
        <v>1097</v>
      </c>
      <c r="E292" s="5" t="s">
        <v>582</v>
      </c>
      <c r="F292" s="7">
        <v>1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1</v>
      </c>
      <c r="N292" s="7">
        <v>0</v>
      </c>
      <c r="O292" s="7">
        <v>1</v>
      </c>
      <c r="P292" s="7">
        <v>1</v>
      </c>
      <c r="Q292" s="7">
        <v>1</v>
      </c>
      <c r="R292" s="7">
        <v>1</v>
      </c>
      <c r="S292" s="7">
        <v>1</v>
      </c>
      <c r="T292" s="7">
        <v>1</v>
      </c>
      <c r="U292" s="7">
        <v>1</v>
      </c>
      <c r="V292" s="7">
        <v>1</v>
      </c>
      <c r="W292" s="7">
        <v>1</v>
      </c>
      <c r="X292" s="7">
        <v>17</v>
      </c>
      <c r="Y292" s="8">
        <v>0.94444444444444442</v>
      </c>
      <c r="Z292" s="14" t="s">
        <v>1120</v>
      </c>
      <c r="AA292" s="7">
        <v>1</v>
      </c>
      <c r="AB292" s="7">
        <v>1</v>
      </c>
      <c r="AC292" s="7">
        <v>1</v>
      </c>
      <c r="AD292" s="7">
        <v>0</v>
      </c>
      <c r="AE292" s="7">
        <v>0</v>
      </c>
      <c r="AF292" s="7">
        <v>1</v>
      </c>
      <c r="AG292" s="7">
        <v>1</v>
      </c>
      <c r="AH292" s="7">
        <v>1</v>
      </c>
      <c r="AI292" s="7">
        <v>1</v>
      </c>
      <c r="AJ292" s="7">
        <v>1</v>
      </c>
      <c r="AK292" s="7">
        <v>1</v>
      </c>
      <c r="AL292" s="7">
        <v>1</v>
      </c>
      <c r="AM292" s="7">
        <v>1</v>
      </c>
      <c r="AN292" s="7">
        <v>0</v>
      </c>
      <c r="AO292" s="7">
        <v>1</v>
      </c>
      <c r="AP292" s="7">
        <v>1</v>
      </c>
      <c r="AQ292" s="7">
        <v>1</v>
      </c>
      <c r="AR292" s="7">
        <v>1</v>
      </c>
      <c r="AS292" s="7">
        <v>15</v>
      </c>
      <c r="AT292" s="8">
        <v>0.83333333333333326</v>
      </c>
      <c r="AU292" s="14" t="s">
        <v>1120</v>
      </c>
      <c r="AV292" s="7">
        <v>32</v>
      </c>
      <c r="AW292" s="8">
        <v>0.88888888888888884</v>
      </c>
    </row>
    <row r="293" spans="1:49" ht="15.75" customHeight="1" x14ac:dyDescent="0.25">
      <c r="A293" s="5" t="s">
        <v>224</v>
      </c>
      <c r="B293" s="6" t="s">
        <v>1069</v>
      </c>
      <c r="C293" s="6" t="s">
        <v>1103</v>
      </c>
      <c r="D293" s="6" t="s">
        <v>1097</v>
      </c>
      <c r="E293" s="5" t="s">
        <v>583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1</v>
      </c>
      <c r="N293" s="7">
        <v>0</v>
      </c>
      <c r="O293" s="7">
        <v>1</v>
      </c>
      <c r="P293" s="7">
        <v>1</v>
      </c>
      <c r="Q293" s="7">
        <v>1</v>
      </c>
      <c r="R293" s="7">
        <v>1</v>
      </c>
      <c r="S293" s="7">
        <v>1</v>
      </c>
      <c r="T293" s="7">
        <v>1</v>
      </c>
      <c r="U293" s="7">
        <v>1</v>
      </c>
      <c r="V293" s="7">
        <v>1</v>
      </c>
      <c r="W293" s="7">
        <v>1</v>
      </c>
      <c r="X293" s="7">
        <v>17</v>
      </c>
      <c r="Y293" s="8">
        <v>0.94444444444444442</v>
      </c>
      <c r="Z293" s="14" t="s">
        <v>1120</v>
      </c>
      <c r="AA293" s="7">
        <v>1</v>
      </c>
      <c r="AB293" s="7">
        <v>1</v>
      </c>
      <c r="AC293" s="7">
        <v>1</v>
      </c>
      <c r="AD293" s="7">
        <v>1</v>
      </c>
      <c r="AE293" s="7">
        <v>1</v>
      </c>
      <c r="AF293" s="7">
        <v>0</v>
      </c>
      <c r="AG293" s="7">
        <v>1</v>
      </c>
      <c r="AH293" s="7">
        <v>1</v>
      </c>
      <c r="AI293" s="7">
        <v>0</v>
      </c>
      <c r="AJ293" s="7">
        <v>1</v>
      </c>
      <c r="AK293" s="7">
        <v>1</v>
      </c>
      <c r="AL293" s="7">
        <v>1</v>
      </c>
      <c r="AM293" s="7">
        <v>0</v>
      </c>
      <c r="AN293" s="7">
        <v>1</v>
      </c>
      <c r="AO293" s="7">
        <v>1</v>
      </c>
      <c r="AP293" s="7">
        <v>1</v>
      </c>
      <c r="AQ293" s="7">
        <v>1</v>
      </c>
      <c r="AR293" s="7">
        <v>1</v>
      </c>
      <c r="AS293" s="7">
        <v>15</v>
      </c>
      <c r="AT293" s="8">
        <v>0.83333333333333326</v>
      </c>
      <c r="AU293" s="14" t="s">
        <v>1120</v>
      </c>
      <c r="AV293" s="7">
        <v>32</v>
      </c>
      <c r="AW293" s="8">
        <v>0.88888888888888884</v>
      </c>
    </row>
    <row r="294" spans="1:49" ht="15.75" customHeight="1" x14ac:dyDescent="0.25">
      <c r="A294" s="5" t="s">
        <v>224</v>
      </c>
      <c r="B294" s="6" t="s">
        <v>1069</v>
      </c>
      <c r="C294" s="6" t="s">
        <v>1103</v>
      </c>
      <c r="D294" s="6" t="s">
        <v>1097</v>
      </c>
      <c r="E294" s="5" t="s">
        <v>584</v>
      </c>
      <c r="F294" s="7">
        <v>1</v>
      </c>
      <c r="G294" s="7">
        <v>1</v>
      </c>
      <c r="H294" s="7">
        <v>0</v>
      </c>
      <c r="I294" s="7">
        <v>1</v>
      </c>
      <c r="J294" s="7">
        <v>1</v>
      </c>
      <c r="K294" s="7">
        <v>1</v>
      </c>
      <c r="L294" s="7">
        <v>1</v>
      </c>
      <c r="M294" s="7">
        <v>1</v>
      </c>
      <c r="N294" s="7">
        <v>1</v>
      </c>
      <c r="O294" s="7">
        <v>1</v>
      </c>
      <c r="P294" s="7">
        <v>1</v>
      </c>
      <c r="Q294" s="7">
        <v>1</v>
      </c>
      <c r="R294" s="7">
        <v>1</v>
      </c>
      <c r="S294" s="7">
        <v>1</v>
      </c>
      <c r="T294" s="7">
        <v>1</v>
      </c>
      <c r="U294" s="7">
        <v>1</v>
      </c>
      <c r="V294" s="7">
        <v>1</v>
      </c>
      <c r="W294" s="7">
        <v>1</v>
      </c>
      <c r="X294" s="7">
        <v>17</v>
      </c>
      <c r="Y294" s="8">
        <v>0.94444444444444442</v>
      </c>
      <c r="Z294" s="14" t="s">
        <v>1120</v>
      </c>
      <c r="AA294" s="7">
        <v>1</v>
      </c>
      <c r="AB294" s="7">
        <v>1</v>
      </c>
      <c r="AC294" s="7">
        <v>1</v>
      </c>
      <c r="AD294" s="7">
        <v>1</v>
      </c>
      <c r="AE294" s="7">
        <v>1</v>
      </c>
      <c r="AF294" s="7">
        <v>1</v>
      </c>
      <c r="AG294" s="7">
        <v>1</v>
      </c>
      <c r="AH294" s="7">
        <v>0</v>
      </c>
      <c r="AI294" s="7">
        <v>1</v>
      </c>
      <c r="AJ294" s="7">
        <v>1</v>
      </c>
      <c r="AK294" s="7">
        <v>1</v>
      </c>
      <c r="AL294" s="7">
        <v>1</v>
      </c>
      <c r="AM294" s="7">
        <v>1</v>
      </c>
      <c r="AN294" s="7">
        <v>0</v>
      </c>
      <c r="AO294" s="7">
        <v>1</v>
      </c>
      <c r="AP294" s="7">
        <v>0</v>
      </c>
      <c r="AQ294" s="7">
        <v>1</v>
      </c>
      <c r="AR294" s="7">
        <v>1</v>
      </c>
      <c r="AS294" s="7">
        <v>15</v>
      </c>
      <c r="AT294" s="8">
        <v>0.83333333333333326</v>
      </c>
      <c r="AU294" s="14" t="s">
        <v>1120</v>
      </c>
      <c r="AV294" s="7">
        <v>32</v>
      </c>
      <c r="AW294" s="8">
        <v>0.88888888888888884</v>
      </c>
    </row>
    <row r="295" spans="1:49" ht="15.75" customHeight="1" x14ac:dyDescent="0.25">
      <c r="A295" s="5" t="s">
        <v>224</v>
      </c>
      <c r="B295" s="6" t="s">
        <v>1069</v>
      </c>
      <c r="C295" s="6" t="s">
        <v>1096</v>
      </c>
      <c r="D295" s="6" t="s">
        <v>1097</v>
      </c>
      <c r="E295" s="5" t="s">
        <v>585</v>
      </c>
      <c r="F295" s="7">
        <v>1</v>
      </c>
      <c r="G295" s="7">
        <v>1</v>
      </c>
      <c r="H295" s="7">
        <v>1</v>
      </c>
      <c r="I295" s="7">
        <v>1</v>
      </c>
      <c r="J295" s="7">
        <v>0</v>
      </c>
      <c r="K295" s="7">
        <v>1</v>
      </c>
      <c r="L295" s="7">
        <v>1</v>
      </c>
      <c r="M295" s="7">
        <v>0</v>
      </c>
      <c r="N295" s="7">
        <v>1</v>
      </c>
      <c r="O295" s="7">
        <v>1</v>
      </c>
      <c r="P295" s="7">
        <v>1</v>
      </c>
      <c r="Q295" s="7">
        <v>1</v>
      </c>
      <c r="R295" s="7">
        <v>1</v>
      </c>
      <c r="S295" s="7">
        <v>1</v>
      </c>
      <c r="T295" s="7">
        <v>1</v>
      </c>
      <c r="U295" s="7">
        <v>1</v>
      </c>
      <c r="V295" s="7">
        <v>1</v>
      </c>
      <c r="W295" s="7">
        <v>1</v>
      </c>
      <c r="X295" s="7">
        <v>16</v>
      </c>
      <c r="Y295" s="8">
        <v>0.88888888888888884</v>
      </c>
      <c r="Z295" s="14" t="s">
        <v>1120</v>
      </c>
      <c r="AA295" s="7">
        <v>1</v>
      </c>
      <c r="AB295" s="7">
        <v>1</v>
      </c>
      <c r="AC295" s="7">
        <v>1</v>
      </c>
      <c r="AD295" s="7">
        <v>0</v>
      </c>
      <c r="AE295" s="7">
        <v>1</v>
      </c>
      <c r="AF295" s="7">
        <v>1</v>
      </c>
      <c r="AG295" s="7">
        <v>1</v>
      </c>
      <c r="AH295" s="7">
        <v>0</v>
      </c>
      <c r="AI295" s="7">
        <v>1</v>
      </c>
      <c r="AJ295" s="7">
        <v>1</v>
      </c>
      <c r="AK295" s="7">
        <v>1</v>
      </c>
      <c r="AL295" s="7">
        <v>1</v>
      </c>
      <c r="AM295" s="7">
        <v>0</v>
      </c>
      <c r="AN295" s="7">
        <v>0</v>
      </c>
      <c r="AO295" s="7">
        <v>1</v>
      </c>
      <c r="AP295" s="7">
        <v>1</v>
      </c>
      <c r="AQ295" s="7">
        <v>1</v>
      </c>
      <c r="AR295" s="7">
        <v>1</v>
      </c>
      <c r="AS295" s="7">
        <v>14</v>
      </c>
      <c r="AT295" s="8">
        <v>0.77777777777777768</v>
      </c>
      <c r="AU295" s="14" t="s">
        <v>1120</v>
      </c>
      <c r="AV295" s="7">
        <v>30</v>
      </c>
      <c r="AW295" s="8">
        <v>0.83333333333333326</v>
      </c>
    </row>
    <row r="296" spans="1:49" ht="15.75" customHeight="1" x14ac:dyDescent="0.25">
      <c r="A296" s="5" t="s">
        <v>224</v>
      </c>
      <c r="B296" s="6" t="s">
        <v>1069</v>
      </c>
      <c r="C296" s="6" t="s">
        <v>1103</v>
      </c>
      <c r="D296" s="6" t="s">
        <v>1097</v>
      </c>
      <c r="E296" s="5" t="s">
        <v>586</v>
      </c>
      <c r="F296" s="7">
        <v>1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0</v>
      </c>
      <c r="N296" s="7">
        <v>1</v>
      </c>
      <c r="O296" s="7">
        <v>1</v>
      </c>
      <c r="P296" s="7">
        <v>1</v>
      </c>
      <c r="Q296" s="7">
        <v>1</v>
      </c>
      <c r="R296" s="7">
        <v>0</v>
      </c>
      <c r="S296" s="7">
        <v>1</v>
      </c>
      <c r="T296" s="7">
        <v>1</v>
      </c>
      <c r="U296" s="7">
        <v>1</v>
      </c>
      <c r="V296" s="7">
        <v>1</v>
      </c>
      <c r="W296" s="7">
        <v>1</v>
      </c>
      <c r="X296" s="7">
        <v>16</v>
      </c>
      <c r="Y296" s="8">
        <v>0.88888888888888884</v>
      </c>
      <c r="Z296" s="14" t="s">
        <v>1120</v>
      </c>
      <c r="AA296" s="7">
        <v>1</v>
      </c>
      <c r="AB296" s="7">
        <v>1</v>
      </c>
      <c r="AC296" s="7">
        <v>1</v>
      </c>
      <c r="AD296" s="7">
        <v>1</v>
      </c>
      <c r="AE296" s="7">
        <v>1</v>
      </c>
      <c r="AF296" s="7">
        <v>0</v>
      </c>
      <c r="AG296" s="7">
        <v>1</v>
      </c>
      <c r="AH296" s="7">
        <v>0</v>
      </c>
      <c r="AI296" s="7">
        <v>0</v>
      </c>
      <c r="AJ296" s="7">
        <v>1</v>
      </c>
      <c r="AK296" s="7">
        <v>1</v>
      </c>
      <c r="AL296" s="7">
        <v>1</v>
      </c>
      <c r="AM296" s="7">
        <v>0</v>
      </c>
      <c r="AN296" s="7">
        <v>0</v>
      </c>
      <c r="AO296" s="7">
        <v>1</v>
      </c>
      <c r="AP296" s="7">
        <v>1</v>
      </c>
      <c r="AQ296" s="7">
        <v>1</v>
      </c>
      <c r="AR296" s="7">
        <v>1</v>
      </c>
      <c r="AS296" s="7">
        <v>13</v>
      </c>
      <c r="AT296" s="8">
        <v>0.72222222222222232</v>
      </c>
      <c r="AU296" s="14" t="s">
        <v>1120</v>
      </c>
      <c r="AV296" s="7">
        <v>29</v>
      </c>
      <c r="AW296" s="8">
        <v>0.80555555555555558</v>
      </c>
    </row>
    <row r="297" spans="1:49" ht="15.75" customHeight="1" x14ac:dyDescent="0.25">
      <c r="A297" s="5" t="s">
        <v>224</v>
      </c>
      <c r="B297" s="6" t="s">
        <v>1069</v>
      </c>
      <c r="C297" s="6" t="s">
        <v>1104</v>
      </c>
      <c r="D297" s="6" t="s">
        <v>1097</v>
      </c>
      <c r="E297" s="5" t="s">
        <v>587</v>
      </c>
      <c r="F297" s="7">
        <v>1</v>
      </c>
      <c r="G297" s="7">
        <v>1</v>
      </c>
      <c r="H297" s="7">
        <v>1</v>
      </c>
      <c r="I297" s="7">
        <v>0</v>
      </c>
      <c r="J297" s="7">
        <v>0</v>
      </c>
      <c r="K297" s="7">
        <v>1</v>
      </c>
      <c r="L297" s="7">
        <v>1</v>
      </c>
      <c r="M297" s="7">
        <v>0</v>
      </c>
      <c r="N297" s="7">
        <v>1</v>
      </c>
      <c r="O297" s="7">
        <v>0</v>
      </c>
      <c r="P297" s="7">
        <v>1</v>
      </c>
      <c r="Q297" s="7">
        <v>0</v>
      </c>
      <c r="R297" s="7">
        <v>0</v>
      </c>
      <c r="S297" s="7">
        <v>1</v>
      </c>
      <c r="T297" s="7">
        <v>0</v>
      </c>
      <c r="U297" s="7">
        <v>0</v>
      </c>
      <c r="V297" s="7">
        <v>0</v>
      </c>
      <c r="W297" s="7">
        <v>0</v>
      </c>
      <c r="X297" s="7">
        <v>8</v>
      </c>
      <c r="Y297" s="8">
        <v>0.44444444444444442</v>
      </c>
      <c r="Z297" s="14" t="s">
        <v>1119</v>
      </c>
      <c r="AA297" s="7">
        <v>1</v>
      </c>
      <c r="AB297" s="7">
        <v>1</v>
      </c>
      <c r="AC297" s="7">
        <v>0</v>
      </c>
      <c r="AD297" s="7">
        <v>0</v>
      </c>
      <c r="AE297" s="7">
        <v>1</v>
      </c>
      <c r="AF297" s="7">
        <v>0</v>
      </c>
      <c r="AG297" s="7">
        <v>1</v>
      </c>
      <c r="AH297" s="7">
        <v>0</v>
      </c>
      <c r="AI297" s="7">
        <v>1</v>
      </c>
      <c r="AJ297" s="7">
        <v>1</v>
      </c>
      <c r="AK297" s="7">
        <v>1</v>
      </c>
      <c r="AL297" s="7">
        <v>1</v>
      </c>
      <c r="AM297" s="7">
        <v>0</v>
      </c>
      <c r="AN297" s="7">
        <v>0</v>
      </c>
      <c r="AO297" s="7">
        <v>1</v>
      </c>
      <c r="AP297" s="7">
        <v>0</v>
      </c>
      <c r="AQ297" s="7">
        <v>1</v>
      </c>
      <c r="AR297" s="7">
        <v>0</v>
      </c>
      <c r="AS297" s="7">
        <v>10</v>
      </c>
      <c r="AT297" s="8">
        <v>0.55555555555555558</v>
      </c>
      <c r="AU297" s="14" t="s">
        <v>1119</v>
      </c>
      <c r="AV297" s="7">
        <v>18</v>
      </c>
      <c r="AW297" s="8">
        <v>0.5</v>
      </c>
    </row>
    <row r="298" spans="1:49" ht="15.75" customHeight="1" x14ac:dyDescent="0.25">
      <c r="A298" s="5" t="s">
        <v>224</v>
      </c>
      <c r="B298" s="6" t="s">
        <v>1069</v>
      </c>
      <c r="C298" s="6" t="s">
        <v>1103</v>
      </c>
      <c r="D298" s="6" t="s">
        <v>1097</v>
      </c>
      <c r="E298" s="5" t="s">
        <v>1177</v>
      </c>
      <c r="F298" s="7">
        <v>1</v>
      </c>
      <c r="G298" s="7">
        <v>1</v>
      </c>
      <c r="H298" s="7">
        <v>1</v>
      </c>
      <c r="I298" s="7">
        <v>1</v>
      </c>
      <c r="J298" s="7">
        <v>0</v>
      </c>
      <c r="K298" s="7">
        <v>1</v>
      </c>
      <c r="L298" s="7">
        <v>1</v>
      </c>
      <c r="M298" s="7">
        <v>1</v>
      </c>
      <c r="N298" s="7">
        <v>0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  <c r="T298" s="7">
        <v>1</v>
      </c>
      <c r="U298" s="7">
        <v>1</v>
      </c>
      <c r="V298" s="7">
        <v>1</v>
      </c>
      <c r="W298" s="7">
        <v>1</v>
      </c>
      <c r="X298" s="7">
        <v>16</v>
      </c>
      <c r="Y298" s="8">
        <v>0.88888888888888884</v>
      </c>
      <c r="Z298" s="14" t="s">
        <v>1120</v>
      </c>
      <c r="AA298" s="7">
        <v>1</v>
      </c>
      <c r="AB298" s="7">
        <v>1</v>
      </c>
      <c r="AC298" s="7">
        <v>1</v>
      </c>
      <c r="AD298" s="7">
        <v>1</v>
      </c>
      <c r="AE298" s="7">
        <v>1</v>
      </c>
      <c r="AF298" s="7">
        <v>0</v>
      </c>
      <c r="AG298" s="7">
        <v>1</v>
      </c>
      <c r="AH298" s="7">
        <v>1</v>
      </c>
      <c r="AI298" s="7">
        <v>0</v>
      </c>
      <c r="AJ298" s="7">
        <v>1</v>
      </c>
      <c r="AK298" s="7">
        <v>1</v>
      </c>
      <c r="AL298" s="7">
        <v>0</v>
      </c>
      <c r="AM298" s="7">
        <v>1</v>
      </c>
      <c r="AN298" s="7">
        <v>1</v>
      </c>
      <c r="AO298" s="7">
        <v>1</v>
      </c>
      <c r="AP298" s="7">
        <v>1</v>
      </c>
      <c r="AQ298" s="7">
        <v>1</v>
      </c>
      <c r="AR298" s="7">
        <v>1</v>
      </c>
      <c r="AS298" s="7">
        <v>15</v>
      </c>
      <c r="AT298" s="8">
        <v>0.83333333333333326</v>
      </c>
      <c r="AU298" s="14" t="s">
        <v>1120</v>
      </c>
      <c r="AV298" s="7">
        <v>31</v>
      </c>
      <c r="AW298" s="8">
        <v>0.86111111111111116</v>
      </c>
    </row>
    <row r="299" spans="1:49" ht="15.75" customHeight="1" x14ac:dyDescent="0.25">
      <c r="A299" s="5" t="s">
        <v>224</v>
      </c>
      <c r="B299" s="6" t="s">
        <v>1069</v>
      </c>
      <c r="C299" s="6" t="s">
        <v>1103</v>
      </c>
      <c r="D299" s="6" t="s">
        <v>1097</v>
      </c>
      <c r="E299" s="5" t="s">
        <v>588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1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  <c r="T299" s="7">
        <v>1</v>
      </c>
      <c r="U299" s="7">
        <v>1</v>
      </c>
      <c r="V299" s="7">
        <v>1</v>
      </c>
      <c r="W299" s="7">
        <v>1</v>
      </c>
      <c r="X299" s="7">
        <v>18</v>
      </c>
      <c r="Y299" s="8">
        <v>1</v>
      </c>
      <c r="Z299" s="14" t="s">
        <v>1120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0</v>
      </c>
      <c r="AG299" s="7">
        <v>1</v>
      </c>
      <c r="AH299" s="7">
        <v>1</v>
      </c>
      <c r="AI299" s="7">
        <v>1</v>
      </c>
      <c r="AJ299" s="7">
        <v>1</v>
      </c>
      <c r="AK299" s="7">
        <v>1</v>
      </c>
      <c r="AL299" s="7">
        <v>1</v>
      </c>
      <c r="AM299" s="7">
        <v>0</v>
      </c>
      <c r="AN299" s="7">
        <v>1</v>
      </c>
      <c r="AO299" s="7">
        <v>1</v>
      </c>
      <c r="AP299" s="7">
        <v>1</v>
      </c>
      <c r="AQ299" s="7">
        <v>1</v>
      </c>
      <c r="AR299" s="7">
        <v>1</v>
      </c>
      <c r="AS299" s="7">
        <v>16</v>
      </c>
      <c r="AT299" s="8">
        <v>0.88888888888888884</v>
      </c>
      <c r="AU299" s="14" t="s">
        <v>1120</v>
      </c>
      <c r="AV299" s="7">
        <v>34</v>
      </c>
      <c r="AW299" s="8">
        <v>0.94444444444444442</v>
      </c>
    </row>
    <row r="300" spans="1:49" ht="15.75" customHeight="1" x14ac:dyDescent="0.25">
      <c r="A300" s="5" t="s">
        <v>224</v>
      </c>
      <c r="B300" s="6" t="s">
        <v>1069</v>
      </c>
      <c r="C300" s="6" t="s">
        <v>1103</v>
      </c>
      <c r="D300" s="6" t="s">
        <v>1097</v>
      </c>
      <c r="E300" s="5" t="s">
        <v>589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1</v>
      </c>
      <c r="N300" s="7">
        <v>1</v>
      </c>
      <c r="O300" s="7">
        <v>1</v>
      </c>
      <c r="P300" s="7">
        <v>1</v>
      </c>
      <c r="Q300" s="7">
        <v>1</v>
      </c>
      <c r="R300" s="7">
        <v>0</v>
      </c>
      <c r="S300" s="7">
        <v>0</v>
      </c>
      <c r="T300" s="7">
        <v>0</v>
      </c>
      <c r="U300" s="7">
        <v>1</v>
      </c>
      <c r="V300" s="7">
        <v>0</v>
      </c>
      <c r="W300" s="7">
        <v>1</v>
      </c>
      <c r="X300" s="7">
        <v>14</v>
      </c>
      <c r="Y300" s="8">
        <v>0.77777777777777768</v>
      </c>
      <c r="Z300" s="14" t="s">
        <v>1120</v>
      </c>
      <c r="AA300" s="7">
        <v>1</v>
      </c>
      <c r="AB300" s="7">
        <v>1</v>
      </c>
      <c r="AC300" s="7">
        <v>1</v>
      </c>
      <c r="AD300" s="7">
        <v>1</v>
      </c>
      <c r="AE300" s="7">
        <v>1</v>
      </c>
      <c r="AF300" s="7">
        <v>0</v>
      </c>
      <c r="AG300" s="7">
        <v>0</v>
      </c>
      <c r="AH300" s="7">
        <v>1</v>
      </c>
      <c r="AI300" s="7">
        <v>0</v>
      </c>
      <c r="AJ300" s="7">
        <v>1</v>
      </c>
      <c r="AK300" s="7">
        <v>1</v>
      </c>
      <c r="AL300" s="7">
        <v>1</v>
      </c>
      <c r="AM300" s="7">
        <v>1</v>
      </c>
      <c r="AN300" s="7">
        <v>0</v>
      </c>
      <c r="AO300" s="7">
        <v>0</v>
      </c>
      <c r="AP300" s="7">
        <v>0</v>
      </c>
      <c r="AQ300" s="7">
        <v>1</v>
      </c>
      <c r="AR300" s="7">
        <v>1</v>
      </c>
      <c r="AS300" s="7">
        <v>12</v>
      </c>
      <c r="AT300" s="8">
        <v>0.66666666666666674</v>
      </c>
      <c r="AU300" s="14" t="s">
        <v>1119</v>
      </c>
      <c r="AV300" s="7">
        <v>26</v>
      </c>
      <c r="AW300" s="8">
        <v>0.72222222222222232</v>
      </c>
    </row>
    <row r="301" spans="1:49" ht="15.75" customHeight="1" x14ac:dyDescent="0.25">
      <c r="A301" s="5" t="s">
        <v>224</v>
      </c>
      <c r="B301" s="6" t="s">
        <v>1069</v>
      </c>
      <c r="C301" s="6" t="s">
        <v>1103</v>
      </c>
      <c r="D301" s="6" t="s">
        <v>1097</v>
      </c>
      <c r="E301" s="5" t="s">
        <v>590</v>
      </c>
      <c r="F301" s="7">
        <v>1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1</v>
      </c>
      <c r="N301" s="7">
        <v>1</v>
      </c>
      <c r="O301" s="7">
        <v>1</v>
      </c>
      <c r="P301" s="7">
        <v>1</v>
      </c>
      <c r="Q301" s="7">
        <v>1</v>
      </c>
      <c r="R301" s="7">
        <v>1</v>
      </c>
      <c r="S301" s="7">
        <v>0</v>
      </c>
      <c r="T301" s="7">
        <v>1</v>
      </c>
      <c r="U301" s="7">
        <v>1</v>
      </c>
      <c r="V301" s="7">
        <v>1</v>
      </c>
      <c r="W301" s="7">
        <v>1</v>
      </c>
      <c r="X301" s="7">
        <v>17</v>
      </c>
      <c r="Y301" s="8">
        <v>0.94444444444444442</v>
      </c>
      <c r="Z301" s="14" t="s">
        <v>1120</v>
      </c>
      <c r="AA301" s="7">
        <v>1</v>
      </c>
      <c r="AB301" s="7">
        <v>1</v>
      </c>
      <c r="AC301" s="7">
        <v>1</v>
      </c>
      <c r="AD301" s="7">
        <v>1</v>
      </c>
      <c r="AE301" s="7">
        <v>1</v>
      </c>
      <c r="AF301" s="7">
        <v>0</v>
      </c>
      <c r="AG301" s="7">
        <v>1</v>
      </c>
      <c r="AH301" s="7">
        <v>1</v>
      </c>
      <c r="AI301" s="7">
        <v>1</v>
      </c>
      <c r="AJ301" s="7">
        <v>1</v>
      </c>
      <c r="AK301" s="7">
        <v>1</v>
      </c>
      <c r="AL301" s="7">
        <v>0</v>
      </c>
      <c r="AM301" s="7">
        <v>0</v>
      </c>
      <c r="AN301" s="7">
        <v>1</v>
      </c>
      <c r="AO301" s="7">
        <v>1</v>
      </c>
      <c r="AP301" s="7">
        <v>1</v>
      </c>
      <c r="AQ301" s="7">
        <v>1</v>
      </c>
      <c r="AR301" s="7">
        <v>1</v>
      </c>
      <c r="AS301" s="7">
        <v>15</v>
      </c>
      <c r="AT301" s="8">
        <v>0.83333333333333326</v>
      </c>
      <c r="AU301" s="14" t="s">
        <v>1120</v>
      </c>
      <c r="AV301" s="7">
        <v>32</v>
      </c>
      <c r="AW301" s="8">
        <v>0.88888888888888884</v>
      </c>
    </row>
    <row r="302" spans="1:49" ht="15.75" customHeight="1" x14ac:dyDescent="0.25">
      <c r="A302" s="5" t="s">
        <v>224</v>
      </c>
      <c r="B302" s="6" t="s">
        <v>1069</v>
      </c>
      <c r="C302" s="7" t="s">
        <v>1117</v>
      </c>
      <c r="D302" s="6" t="s">
        <v>1097</v>
      </c>
      <c r="E302" s="5" t="s">
        <v>591</v>
      </c>
      <c r="F302" s="7">
        <v>1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>
        <v>1</v>
      </c>
      <c r="N302" s="7">
        <v>1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  <c r="T302" s="7">
        <v>1</v>
      </c>
      <c r="U302" s="7">
        <v>1</v>
      </c>
      <c r="V302" s="7">
        <v>1</v>
      </c>
      <c r="W302" s="7">
        <v>1</v>
      </c>
      <c r="X302" s="7">
        <v>18</v>
      </c>
      <c r="Y302" s="8">
        <v>1</v>
      </c>
      <c r="Z302" s="14" t="s">
        <v>1120</v>
      </c>
      <c r="AA302" s="7">
        <v>1</v>
      </c>
      <c r="AB302" s="7">
        <v>1</v>
      </c>
      <c r="AC302" s="7">
        <v>1</v>
      </c>
      <c r="AD302" s="7">
        <v>1</v>
      </c>
      <c r="AE302" s="7">
        <v>0</v>
      </c>
      <c r="AF302" s="7">
        <v>1</v>
      </c>
      <c r="AG302" s="7">
        <v>1</v>
      </c>
      <c r="AH302" s="7">
        <v>1</v>
      </c>
      <c r="AI302" s="7">
        <v>1</v>
      </c>
      <c r="AJ302" s="7">
        <v>1</v>
      </c>
      <c r="AK302" s="7">
        <v>1</v>
      </c>
      <c r="AL302" s="7">
        <v>1</v>
      </c>
      <c r="AM302" s="7">
        <v>0</v>
      </c>
      <c r="AN302" s="7">
        <v>1</v>
      </c>
      <c r="AO302" s="7">
        <v>1</v>
      </c>
      <c r="AP302" s="7">
        <v>1</v>
      </c>
      <c r="AQ302" s="7">
        <v>1</v>
      </c>
      <c r="AR302" s="7">
        <v>1</v>
      </c>
      <c r="AS302" s="7">
        <v>16</v>
      </c>
      <c r="AT302" s="8">
        <v>0.88888888888888884</v>
      </c>
      <c r="AU302" s="14" t="s">
        <v>1120</v>
      </c>
      <c r="AV302" s="7">
        <v>34</v>
      </c>
      <c r="AW302" s="8">
        <v>0.94444444444444442</v>
      </c>
    </row>
    <row r="303" spans="1:49" ht="15.75" customHeight="1" x14ac:dyDescent="0.25">
      <c r="A303" s="5" t="s">
        <v>224</v>
      </c>
      <c r="B303" s="6" t="s">
        <v>1069</v>
      </c>
      <c r="C303" s="6" t="s">
        <v>1096</v>
      </c>
      <c r="D303" s="6" t="s">
        <v>1097</v>
      </c>
      <c r="E303" s="5" t="s">
        <v>592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1</v>
      </c>
      <c r="N303" s="7">
        <v>0</v>
      </c>
      <c r="O303" s="7">
        <v>1</v>
      </c>
      <c r="P303" s="7">
        <v>1</v>
      </c>
      <c r="Q303" s="7">
        <v>1</v>
      </c>
      <c r="R303" s="7">
        <v>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17</v>
      </c>
      <c r="Y303" s="8">
        <v>0.94444444444444442</v>
      </c>
      <c r="Z303" s="14" t="s">
        <v>1120</v>
      </c>
      <c r="AA303" s="7">
        <v>1</v>
      </c>
      <c r="AB303" s="7">
        <v>1</v>
      </c>
      <c r="AC303" s="7">
        <v>1</v>
      </c>
      <c r="AD303" s="7">
        <v>1</v>
      </c>
      <c r="AE303" s="7">
        <v>0</v>
      </c>
      <c r="AF303" s="7">
        <v>1</v>
      </c>
      <c r="AG303" s="7">
        <v>1</v>
      </c>
      <c r="AH303" s="7">
        <v>1</v>
      </c>
      <c r="AI303" s="7">
        <v>0</v>
      </c>
      <c r="AJ303" s="7">
        <v>1</v>
      </c>
      <c r="AK303" s="7">
        <v>0</v>
      </c>
      <c r="AL303" s="7">
        <v>0</v>
      </c>
      <c r="AM303" s="7">
        <v>0</v>
      </c>
      <c r="AN303" s="7">
        <v>1</v>
      </c>
      <c r="AO303" s="7">
        <v>0</v>
      </c>
      <c r="AP303" s="7">
        <v>1</v>
      </c>
      <c r="AQ303" s="7">
        <v>1</v>
      </c>
      <c r="AR303" s="7">
        <v>1</v>
      </c>
      <c r="AS303" s="7">
        <v>12</v>
      </c>
      <c r="AT303" s="8">
        <v>0.66666666666666674</v>
      </c>
      <c r="AU303" s="14" t="s">
        <v>1119</v>
      </c>
      <c r="AV303" s="7">
        <v>29</v>
      </c>
      <c r="AW303" s="8">
        <v>0.80555555555555558</v>
      </c>
    </row>
    <row r="304" spans="1:49" ht="15.75" customHeight="1" x14ac:dyDescent="0.25">
      <c r="A304" s="5" t="s">
        <v>224</v>
      </c>
      <c r="B304" s="6" t="s">
        <v>1069</v>
      </c>
      <c r="C304" s="6" t="s">
        <v>1103</v>
      </c>
      <c r="D304" s="6" t="s">
        <v>1097</v>
      </c>
      <c r="E304" s="5" t="s">
        <v>593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1</v>
      </c>
      <c r="N304" s="7">
        <v>1</v>
      </c>
      <c r="O304" s="7">
        <v>1</v>
      </c>
      <c r="P304" s="7">
        <v>1</v>
      </c>
      <c r="Q304" s="7">
        <v>1</v>
      </c>
      <c r="R304" s="7">
        <v>1</v>
      </c>
      <c r="S304" s="7">
        <v>1</v>
      </c>
      <c r="T304" s="7">
        <v>1</v>
      </c>
      <c r="U304" s="7">
        <v>1</v>
      </c>
      <c r="V304" s="7">
        <v>1</v>
      </c>
      <c r="W304" s="7">
        <v>1</v>
      </c>
      <c r="X304" s="7">
        <v>18</v>
      </c>
      <c r="Y304" s="8">
        <v>1</v>
      </c>
      <c r="Z304" s="14" t="s">
        <v>1120</v>
      </c>
      <c r="AA304" s="7">
        <v>1</v>
      </c>
      <c r="AB304" s="7">
        <v>1</v>
      </c>
      <c r="AC304" s="7">
        <v>1</v>
      </c>
      <c r="AD304" s="7">
        <v>1</v>
      </c>
      <c r="AE304" s="7">
        <v>0</v>
      </c>
      <c r="AF304" s="7">
        <v>0</v>
      </c>
      <c r="AG304" s="7">
        <v>1</v>
      </c>
      <c r="AH304" s="7">
        <v>1</v>
      </c>
      <c r="AI304" s="7">
        <v>0</v>
      </c>
      <c r="AJ304" s="7">
        <v>1</v>
      </c>
      <c r="AK304" s="7">
        <v>1</v>
      </c>
      <c r="AL304" s="7">
        <v>0</v>
      </c>
      <c r="AM304" s="7">
        <v>1</v>
      </c>
      <c r="AN304" s="7">
        <v>1</v>
      </c>
      <c r="AO304" s="7">
        <v>1</v>
      </c>
      <c r="AP304" s="7">
        <v>0</v>
      </c>
      <c r="AQ304" s="7">
        <v>1</v>
      </c>
      <c r="AR304" s="7">
        <v>1</v>
      </c>
      <c r="AS304" s="7">
        <v>13</v>
      </c>
      <c r="AT304" s="8">
        <v>0.72222222222222232</v>
      </c>
      <c r="AU304" s="14" t="s">
        <v>1120</v>
      </c>
      <c r="AV304" s="7">
        <v>31</v>
      </c>
      <c r="AW304" s="8">
        <v>0.86111111111111116</v>
      </c>
    </row>
    <row r="305" spans="1:49" ht="15.75" customHeight="1" x14ac:dyDescent="0.25">
      <c r="A305" s="5" t="s">
        <v>224</v>
      </c>
      <c r="B305" s="6" t="s">
        <v>1069</v>
      </c>
      <c r="C305" s="6" t="s">
        <v>1103</v>
      </c>
      <c r="D305" s="6" t="s">
        <v>1097</v>
      </c>
      <c r="E305" s="5" t="s">
        <v>594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1</v>
      </c>
      <c r="N305" s="7">
        <v>1</v>
      </c>
      <c r="O305" s="7">
        <v>1</v>
      </c>
      <c r="P305" s="7">
        <v>1</v>
      </c>
      <c r="Q305" s="7">
        <v>1</v>
      </c>
      <c r="R305" s="7">
        <v>1</v>
      </c>
      <c r="S305" s="7">
        <v>1</v>
      </c>
      <c r="T305" s="7">
        <v>1</v>
      </c>
      <c r="U305" s="7">
        <v>1</v>
      </c>
      <c r="V305" s="7">
        <v>1</v>
      </c>
      <c r="W305" s="7">
        <v>1</v>
      </c>
      <c r="X305" s="7">
        <v>18</v>
      </c>
      <c r="Y305" s="8">
        <v>1</v>
      </c>
      <c r="Z305" s="14" t="s">
        <v>1120</v>
      </c>
      <c r="AA305" s="7">
        <v>1</v>
      </c>
      <c r="AB305" s="7">
        <v>1</v>
      </c>
      <c r="AC305" s="7">
        <v>1</v>
      </c>
      <c r="AD305" s="7">
        <v>1</v>
      </c>
      <c r="AE305" s="7">
        <v>1</v>
      </c>
      <c r="AF305" s="7">
        <v>0</v>
      </c>
      <c r="AG305" s="7">
        <v>1</v>
      </c>
      <c r="AH305" s="7">
        <v>1</v>
      </c>
      <c r="AI305" s="7">
        <v>1</v>
      </c>
      <c r="AJ305" s="7">
        <v>1</v>
      </c>
      <c r="AK305" s="7">
        <v>1</v>
      </c>
      <c r="AL305" s="7">
        <v>0</v>
      </c>
      <c r="AM305" s="7">
        <v>0</v>
      </c>
      <c r="AN305" s="7">
        <v>0</v>
      </c>
      <c r="AO305" s="7">
        <v>1</v>
      </c>
      <c r="AP305" s="7">
        <v>1</v>
      </c>
      <c r="AQ305" s="7">
        <v>1</v>
      </c>
      <c r="AR305" s="7">
        <v>1</v>
      </c>
      <c r="AS305" s="7">
        <v>14</v>
      </c>
      <c r="AT305" s="8">
        <v>0.77777777777777768</v>
      </c>
      <c r="AU305" s="14" t="s">
        <v>1120</v>
      </c>
      <c r="AV305" s="7">
        <v>32</v>
      </c>
      <c r="AW305" s="8">
        <v>0.88888888888888884</v>
      </c>
    </row>
    <row r="306" spans="1:49" ht="15.75" customHeight="1" x14ac:dyDescent="0.25">
      <c r="A306" s="5" t="s">
        <v>224</v>
      </c>
      <c r="B306" s="6" t="s">
        <v>1069</v>
      </c>
      <c r="C306" s="6" t="s">
        <v>1103</v>
      </c>
      <c r="D306" s="6" t="s">
        <v>1097</v>
      </c>
      <c r="E306" s="5" t="s">
        <v>595</v>
      </c>
      <c r="F306" s="7">
        <v>1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1</v>
      </c>
      <c r="N306" s="7">
        <v>1</v>
      </c>
      <c r="O306" s="7">
        <v>1</v>
      </c>
      <c r="P306" s="7">
        <v>1</v>
      </c>
      <c r="Q306" s="7">
        <v>1</v>
      </c>
      <c r="R306" s="7">
        <v>1</v>
      </c>
      <c r="S306" s="7">
        <v>1</v>
      </c>
      <c r="T306" s="7">
        <v>0</v>
      </c>
      <c r="U306" s="7">
        <v>1</v>
      </c>
      <c r="V306" s="7">
        <v>1</v>
      </c>
      <c r="W306" s="7">
        <v>1</v>
      </c>
      <c r="X306" s="7">
        <v>17</v>
      </c>
      <c r="Y306" s="8">
        <v>0.94444444444444442</v>
      </c>
      <c r="Z306" s="14" t="s">
        <v>1120</v>
      </c>
      <c r="AA306" s="7">
        <v>1</v>
      </c>
      <c r="AB306" s="7">
        <v>1</v>
      </c>
      <c r="AC306" s="7">
        <v>1</v>
      </c>
      <c r="AD306" s="7">
        <v>0</v>
      </c>
      <c r="AE306" s="7">
        <v>0</v>
      </c>
      <c r="AF306" s="7">
        <v>1</v>
      </c>
      <c r="AG306" s="7">
        <v>1</v>
      </c>
      <c r="AH306" s="7">
        <v>0</v>
      </c>
      <c r="AI306" s="7">
        <v>0</v>
      </c>
      <c r="AJ306" s="7">
        <v>1</v>
      </c>
      <c r="AK306" s="7">
        <v>1</v>
      </c>
      <c r="AL306" s="7">
        <v>1</v>
      </c>
      <c r="AM306" s="7">
        <v>0</v>
      </c>
      <c r="AN306" s="7">
        <v>0</v>
      </c>
      <c r="AO306" s="7">
        <v>1</v>
      </c>
      <c r="AP306" s="7">
        <v>0</v>
      </c>
      <c r="AQ306" s="7">
        <v>1</v>
      </c>
      <c r="AR306" s="7">
        <v>1</v>
      </c>
      <c r="AS306" s="7">
        <v>11</v>
      </c>
      <c r="AT306" s="8">
        <v>0.61111111111111116</v>
      </c>
      <c r="AU306" s="14" t="s">
        <v>1119</v>
      </c>
      <c r="AV306" s="7">
        <v>28</v>
      </c>
      <c r="AW306" s="8">
        <v>0.77777777777777768</v>
      </c>
    </row>
    <row r="307" spans="1:49" ht="15.75" customHeight="1" x14ac:dyDescent="0.25">
      <c r="A307" s="5" t="s">
        <v>224</v>
      </c>
      <c r="B307" s="6" t="s">
        <v>1069</v>
      </c>
      <c r="C307" s="6" t="s">
        <v>1103</v>
      </c>
      <c r="D307" s="6" t="s">
        <v>1097</v>
      </c>
      <c r="E307" s="5" t="s">
        <v>596</v>
      </c>
      <c r="F307" s="7">
        <v>1</v>
      </c>
      <c r="G307" s="7">
        <v>1</v>
      </c>
      <c r="H307" s="7">
        <v>0</v>
      </c>
      <c r="I307" s="7">
        <v>1</v>
      </c>
      <c r="J307" s="7">
        <v>0</v>
      </c>
      <c r="K307" s="7">
        <v>1</v>
      </c>
      <c r="L307" s="7">
        <v>1</v>
      </c>
      <c r="M307" s="7">
        <v>0</v>
      </c>
      <c r="N307" s="7">
        <v>0</v>
      </c>
      <c r="O307" s="7">
        <v>1</v>
      </c>
      <c r="P307" s="7">
        <v>1</v>
      </c>
      <c r="Q307" s="7">
        <v>1</v>
      </c>
      <c r="R307" s="7">
        <v>1</v>
      </c>
      <c r="S307" s="7">
        <v>1</v>
      </c>
      <c r="T307" s="7">
        <v>1</v>
      </c>
      <c r="U307" s="7">
        <v>0</v>
      </c>
      <c r="V307" s="7">
        <v>0</v>
      </c>
      <c r="W307" s="7">
        <v>1</v>
      </c>
      <c r="X307" s="7">
        <v>12</v>
      </c>
      <c r="Y307" s="8">
        <v>0.66666666666666674</v>
      </c>
      <c r="Z307" s="14" t="s">
        <v>1119</v>
      </c>
      <c r="AA307" s="7">
        <v>1</v>
      </c>
      <c r="AB307" s="7">
        <v>1</v>
      </c>
      <c r="AC307" s="7">
        <v>1</v>
      </c>
      <c r="AD307" s="7">
        <v>1</v>
      </c>
      <c r="AE307" s="7">
        <v>0</v>
      </c>
      <c r="AF307" s="7">
        <v>0</v>
      </c>
      <c r="AG307" s="7">
        <v>0</v>
      </c>
      <c r="AH307" s="7">
        <v>0</v>
      </c>
      <c r="AI307" s="7">
        <v>1</v>
      </c>
      <c r="AJ307" s="7">
        <v>0</v>
      </c>
      <c r="AK307" s="7">
        <v>0</v>
      </c>
      <c r="AL307" s="7">
        <v>1</v>
      </c>
      <c r="AM307" s="7">
        <v>0</v>
      </c>
      <c r="AN307" s="7">
        <v>0</v>
      </c>
      <c r="AO307" s="7">
        <v>1</v>
      </c>
      <c r="AP307" s="7">
        <v>0</v>
      </c>
      <c r="AQ307" s="7">
        <v>1</v>
      </c>
      <c r="AR307" s="7">
        <v>1</v>
      </c>
      <c r="AS307" s="7">
        <v>9</v>
      </c>
      <c r="AT307" s="8">
        <v>0.5</v>
      </c>
      <c r="AU307" s="14" t="s">
        <v>1119</v>
      </c>
      <c r="AV307" s="7">
        <v>21</v>
      </c>
      <c r="AW307" s="8">
        <v>0.58333333333333337</v>
      </c>
    </row>
    <row r="308" spans="1:49" ht="15.75" customHeight="1" x14ac:dyDescent="0.25">
      <c r="A308" s="5" t="s">
        <v>224</v>
      </c>
      <c r="B308" s="6" t="s">
        <v>1069</v>
      </c>
      <c r="C308" s="6" t="s">
        <v>1104</v>
      </c>
      <c r="D308" s="6" t="s">
        <v>1097</v>
      </c>
      <c r="E308" s="5" t="s">
        <v>597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0</v>
      </c>
      <c r="M308" s="7">
        <v>0</v>
      </c>
      <c r="N308" s="7">
        <v>0</v>
      </c>
      <c r="O308" s="7">
        <v>1</v>
      </c>
      <c r="P308" s="7">
        <v>1</v>
      </c>
      <c r="Q308" s="7">
        <v>1</v>
      </c>
      <c r="R308" s="7">
        <v>1</v>
      </c>
      <c r="S308" s="7">
        <v>1</v>
      </c>
      <c r="T308" s="7">
        <v>1</v>
      </c>
      <c r="U308" s="7">
        <v>1</v>
      </c>
      <c r="V308" s="7">
        <v>1</v>
      </c>
      <c r="W308" s="7">
        <v>1</v>
      </c>
      <c r="X308" s="7">
        <v>15</v>
      </c>
      <c r="Y308" s="8">
        <v>0.83333333333333326</v>
      </c>
      <c r="Z308" s="14" t="s">
        <v>1120</v>
      </c>
      <c r="AA308" s="7">
        <v>1</v>
      </c>
      <c r="AB308" s="7">
        <v>1</v>
      </c>
      <c r="AC308" s="7">
        <v>0</v>
      </c>
      <c r="AD308" s="7">
        <v>1</v>
      </c>
      <c r="AE308" s="7">
        <v>0</v>
      </c>
      <c r="AF308" s="7">
        <v>0</v>
      </c>
      <c r="AG308" s="7">
        <v>1</v>
      </c>
      <c r="AH308" s="7">
        <v>1</v>
      </c>
      <c r="AI308" s="7">
        <v>0</v>
      </c>
      <c r="AJ308" s="7">
        <v>1</v>
      </c>
      <c r="AK308" s="7">
        <v>1</v>
      </c>
      <c r="AL308" s="7">
        <v>0</v>
      </c>
      <c r="AM308" s="7">
        <v>0</v>
      </c>
      <c r="AN308" s="7">
        <v>1</v>
      </c>
      <c r="AO308" s="7">
        <v>1</v>
      </c>
      <c r="AP308" s="7">
        <v>1</v>
      </c>
      <c r="AQ308" s="7">
        <v>1</v>
      </c>
      <c r="AR308" s="7">
        <v>1</v>
      </c>
      <c r="AS308" s="7">
        <v>12</v>
      </c>
      <c r="AT308" s="8">
        <v>0.66666666666666674</v>
      </c>
      <c r="AU308" s="14" t="s">
        <v>1119</v>
      </c>
      <c r="AV308" s="7">
        <v>27</v>
      </c>
      <c r="AW308" s="8">
        <v>0.75</v>
      </c>
    </row>
    <row r="309" spans="1:49" ht="15.75" customHeight="1" x14ac:dyDescent="0.25">
      <c r="A309" s="5" t="s">
        <v>224</v>
      </c>
      <c r="B309" s="6" t="s">
        <v>1069</v>
      </c>
      <c r="C309" s="6" t="s">
        <v>1103</v>
      </c>
      <c r="D309" s="6" t="s">
        <v>1097</v>
      </c>
      <c r="E309" s="5" t="s">
        <v>598</v>
      </c>
      <c r="F309" s="7">
        <v>1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0</v>
      </c>
      <c r="N309" s="7">
        <v>0</v>
      </c>
      <c r="O309" s="7">
        <v>1</v>
      </c>
      <c r="P309" s="7">
        <v>1</v>
      </c>
      <c r="Q309" s="7">
        <v>1</v>
      </c>
      <c r="R309" s="7">
        <v>0</v>
      </c>
      <c r="S309" s="7">
        <v>1</v>
      </c>
      <c r="T309" s="7">
        <v>0</v>
      </c>
      <c r="U309" s="7">
        <v>1</v>
      </c>
      <c r="V309" s="7">
        <v>0</v>
      </c>
      <c r="W309" s="7">
        <v>1</v>
      </c>
      <c r="X309" s="7">
        <v>13</v>
      </c>
      <c r="Y309" s="8">
        <v>0.72222222222222232</v>
      </c>
      <c r="Z309" s="14" t="s">
        <v>1120</v>
      </c>
      <c r="AA309" s="7">
        <v>1</v>
      </c>
      <c r="AB309" s="7">
        <v>1</v>
      </c>
      <c r="AC309" s="7">
        <v>1</v>
      </c>
      <c r="AD309" s="7">
        <v>1</v>
      </c>
      <c r="AE309" s="7">
        <v>0</v>
      </c>
      <c r="AF309" s="7">
        <v>0</v>
      </c>
      <c r="AG309" s="7">
        <v>1</v>
      </c>
      <c r="AH309" s="7">
        <v>1</v>
      </c>
      <c r="AI309" s="7">
        <v>1</v>
      </c>
      <c r="AJ309" s="7">
        <v>1</v>
      </c>
      <c r="AK309" s="7">
        <v>1</v>
      </c>
      <c r="AL309" s="7">
        <v>0</v>
      </c>
      <c r="AM309" s="7">
        <v>0</v>
      </c>
      <c r="AN309" s="7">
        <v>1</v>
      </c>
      <c r="AO309" s="7">
        <v>1</v>
      </c>
      <c r="AP309" s="7">
        <v>0</v>
      </c>
      <c r="AQ309" s="7">
        <v>1</v>
      </c>
      <c r="AR309" s="7">
        <v>1</v>
      </c>
      <c r="AS309" s="7">
        <v>13</v>
      </c>
      <c r="AT309" s="8">
        <v>0.72222222222222232</v>
      </c>
      <c r="AU309" s="14" t="s">
        <v>1120</v>
      </c>
      <c r="AV309" s="7">
        <v>26</v>
      </c>
      <c r="AW309" s="8">
        <v>0.72222222222222232</v>
      </c>
    </row>
    <row r="310" spans="1:49" ht="15.75" customHeight="1" x14ac:dyDescent="0.25">
      <c r="A310" s="5" t="s">
        <v>224</v>
      </c>
      <c r="B310" s="6" t="s">
        <v>1069</v>
      </c>
      <c r="C310" s="6" t="s">
        <v>1103</v>
      </c>
      <c r="D310" s="6" t="s">
        <v>1097</v>
      </c>
      <c r="E310" s="5" t="s">
        <v>599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1</v>
      </c>
      <c r="N310" s="7">
        <v>0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  <c r="T310" s="7">
        <v>1</v>
      </c>
      <c r="U310" s="7">
        <v>1</v>
      </c>
      <c r="V310" s="7">
        <v>1</v>
      </c>
      <c r="W310" s="7">
        <v>1</v>
      </c>
      <c r="X310" s="7">
        <v>17</v>
      </c>
      <c r="Y310" s="8">
        <v>0.94444444444444442</v>
      </c>
      <c r="Z310" s="14" t="s">
        <v>1120</v>
      </c>
      <c r="AA310" s="7">
        <v>1</v>
      </c>
      <c r="AB310" s="7">
        <v>1</v>
      </c>
      <c r="AC310" s="7">
        <v>1</v>
      </c>
      <c r="AD310" s="7">
        <v>1</v>
      </c>
      <c r="AE310" s="7">
        <v>1</v>
      </c>
      <c r="AF310" s="7">
        <v>1</v>
      </c>
      <c r="AG310" s="7">
        <v>1</v>
      </c>
      <c r="AH310" s="7">
        <v>1</v>
      </c>
      <c r="AI310" s="7">
        <v>1</v>
      </c>
      <c r="AJ310" s="7">
        <v>1</v>
      </c>
      <c r="AK310" s="7">
        <v>1</v>
      </c>
      <c r="AL310" s="7">
        <v>1</v>
      </c>
      <c r="AM310" s="7">
        <v>0</v>
      </c>
      <c r="AN310" s="7">
        <v>1</v>
      </c>
      <c r="AO310" s="7">
        <v>1</v>
      </c>
      <c r="AP310" s="7">
        <v>1</v>
      </c>
      <c r="AQ310" s="7">
        <v>1</v>
      </c>
      <c r="AR310" s="7">
        <v>1</v>
      </c>
      <c r="AS310" s="7">
        <v>17</v>
      </c>
      <c r="AT310" s="8">
        <v>0.94444444444444442</v>
      </c>
      <c r="AU310" s="14" t="s">
        <v>1120</v>
      </c>
      <c r="AV310" s="7">
        <v>34</v>
      </c>
      <c r="AW310" s="8">
        <v>0.94444444444444442</v>
      </c>
    </row>
    <row r="311" spans="1:49" ht="15.75" customHeight="1" x14ac:dyDescent="0.25">
      <c r="A311" s="5" t="s">
        <v>224</v>
      </c>
      <c r="B311" s="6" t="s">
        <v>1069</v>
      </c>
      <c r="C311" s="6" t="s">
        <v>1103</v>
      </c>
      <c r="D311" s="6" t="s">
        <v>1097</v>
      </c>
      <c r="E311" s="5" t="s">
        <v>600</v>
      </c>
      <c r="F311" s="7">
        <v>1</v>
      </c>
      <c r="G311" s="7">
        <v>1</v>
      </c>
      <c r="H311" s="7">
        <v>0</v>
      </c>
      <c r="I311" s="7">
        <v>1</v>
      </c>
      <c r="J311" s="7">
        <v>1</v>
      </c>
      <c r="K311" s="7">
        <v>1</v>
      </c>
      <c r="L311" s="7">
        <v>1</v>
      </c>
      <c r="M311" s="7">
        <v>0</v>
      </c>
      <c r="N311" s="7">
        <v>1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  <c r="T311" s="7">
        <v>1</v>
      </c>
      <c r="U311" s="7">
        <v>1</v>
      </c>
      <c r="V311" s="7">
        <v>1</v>
      </c>
      <c r="W311" s="7">
        <v>1</v>
      </c>
      <c r="X311" s="7">
        <v>16</v>
      </c>
      <c r="Y311" s="8">
        <v>0.88888888888888884</v>
      </c>
      <c r="Z311" s="14" t="s">
        <v>1120</v>
      </c>
      <c r="AA311" s="7">
        <v>1</v>
      </c>
      <c r="AB311" s="7">
        <v>1</v>
      </c>
      <c r="AC311" s="7">
        <v>1</v>
      </c>
      <c r="AD311" s="7">
        <v>0</v>
      </c>
      <c r="AE311" s="7">
        <v>1</v>
      </c>
      <c r="AF311" s="7">
        <v>0</v>
      </c>
      <c r="AG311" s="7">
        <v>0</v>
      </c>
      <c r="AH311" s="7">
        <v>1</v>
      </c>
      <c r="AI311" s="7">
        <v>0</v>
      </c>
      <c r="AJ311" s="7">
        <v>1</v>
      </c>
      <c r="AK311" s="7">
        <v>1</v>
      </c>
      <c r="AL311" s="7">
        <v>1</v>
      </c>
      <c r="AM311" s="7">
        <v>0</v>
      </c>
      <c r="AN311" s="7">
        <v>0</v>
      </c>
      <c r="AO311" s="7">
        <v>1</v>
      </c>
      <c r="AP311" s="7">
        <v>1</v>
      </c>
      <c r="AQ311" s="7">
        <v>0</v>
      </c>
      <c r="AR311" s="7">
        <v>1</v>
      </c>
      <c r="AS311" s="7">
        <v>11</v>
      </c>
      <c r="AT311" s="8">
        <v>0.61111111111111116</v>
      </c>
      <c r="AU311" s="14" t="s">
        <v>1119</v>
      </c>
      <c r="AV311" s="7">
        <v>27</v>
      </c>
      <c r="AW311" s="8">
        <v>0.75</v>
      </c>
    </row>
    <row r="312" spans="1:49" ht="15.75" customHeight="1" x14ac:dyDescent="0.25">
      <c r="A312" s="5" t="s">
        <v>224</v>
      </c>
      <c r="B312" s="6" t="s">
        <v>1069</v>
      </c>
      <c r="C312" s="6" t="s">
        <v>1103</v>
      </c>
      <c r="D312" s="6" t="s">
        <v>1097</v>
      </c>
      <c r="E312" s="5" t="s">
        <v>601</v>
      </c>
      <c r="F312" s="7">
        <v>1</v>
      </c>
      <c r="G312" s="7">
        <v>1</v>
      </c>
      <c r="H312" s="7">
        <v>0</v>
      </c>
      <c r="I312" s="7">
        <v>1</v>
      </c>
      <c r="J312" s="7">
        <v>1</v>
      </c>
      <c r="K312" s="7">
        <v>1</v>
      </c>
      <c r="L312" s="7">
        <v>0</v>
      </c>
      <c r="M312" s="7">
        <v>0</v>
      </c>
      <c r="N312" s="7">
        <v>0</v>
      </c>
      <c r="O312" s="7">
        <v>1</v>
      </c>
      <c r="P312" s="7">
        <v>1</v>
      </c>
      <c r="Q312" s="7">
        <v>1</v>
      </c>
      <c r="R312" s="7">
        <v>0</v>
      </c>
      <c r="S312" s="7">
        <v>0</v>
      </c>
      <c r="T312" s="7">
        <v>1</v>
      </c>
      <c r="U312" s="7">
        <v>0</v>
      </c>
      <c r="V312" s="7">
        <v>1</v>
      </c>
      <c r="W312" s="7">
        <v>1</v>
      </c>
      <c r="X312" s="7">
        <v>11</v>
      </c>
      <c r="Y312" s="8">
        <v>0.61111111111111116</v>
      </c>
      <c r="Z312" s="14" t="s">
        <v>1119</v>
      </c>
      <c r="AA312" s="7">
        <v>1</v>
      </c>
      <c r="AB312" s="7">
        <v>1</v>
      </c>
      <c r="AC312" s="7">
        <v>1</v>
      </c>
      <c r="AD312" s="7">
        <v>1</v>
      </c>
      <c r="AE312" s="7">
        <v>0</v>
      </c>
      <c r="AF312" s="7">
        <v>0</v>
      </c>
      <c r="AG312" s="7">
        <v>1</v>
      </c>
      <c r="AH312" s="7">
        <v>1</v>
      </c>
      <c r="AI312" s="7">
        <v>1</v>
      </c>
      <c r="AJ312" s="7">
        <v>1</v>
      </c>
      <c r="AK312" s="7">
        <v>0</v>
      </c>
      <c r="AL312" s="7">
        <v>1</v>
      </c>
      <c r="AM312" s="7">
        <v>0</v>
      </c>
      <c r="AN312" s="7">
        <v>0</v>
      </c>
      <c r="AO312" s="7">
        <v>1</v>
      </c>
      <c r="AP312" s="7">
        <v>0</v>
      </c>
      <c r="AQ312" s="7">
        <v>1</v>
      </c>
      <c r="AR312" s="7">
        <v>1</v>
      </c>
      <c r="AS312" s="7">
        <v>12</v>
      </c>
      <c r="AT312" s="8">
        <v>0.66666666666666674</v>
      </c>
      <c r="AU312" s="14" t="s">
        <v>1119</v>
      </c>
      <c r="AV312" s="7">
        <v>23</v>
      </c>
      <c r="AW312" s="8">
        <v>0.63888888888888884</v>
      </c>
    </row>
    <row r="313" spans="1:49" ht="15.75" customHeight="1" x14ac:dyDescent="0.25">
      <c r="A313" s="5" t="s">
        <v>224</v>
      </c>
      <c r="B313" s="6" t="s">
        <v>1069</v>
      </c>
      <c r="C313" s="7" t="s">
        <v>1117</v>
      </c>
      <c r="D313" s="6" t="s">
        <v>1097</v>
      </c>
      <c r="E313" s="5" t="s">
        <v>602</v>
      </c>
      <c r="F313" s="7">
        <v>1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1</v>
      </c>
      <c r="N313" s="7">
        <v>1</v>
      </c>
      <c r="O313" s="7">
        <v>1</v>
      </c>
      <c r="P313" s="7">
        <v>1</v>
      </c>
      <c r="Q313" s="7">
        <v>1</v>
      </c>
      <c r="R313" s="7">
        <v>1</v>
      </c>
      <c r="S313" s="7">
        <v>1</v>
      </c>
      <c r="T313" s="7">
        <v>1</v>
      </c>
      <c r="U313" s="7">
        <v>1</v>
      </c>
      <c r="V313" s="7">
        <v>1</v>
      </c>
      <c r="W313" s="7">
        <v>1</v>
      </c>
      <c r="X313" s="7">
        <v>18</v>
      </c>
      <c r="Y313" s="8">
        <v>1</v>
      </c>
      <c r="Z313" s="14" t="s">
        <v>1120</v>
      </c>
      <c r="AA313" s="7">
        <v>1</v>
      </c>
      <c r="AB313" s="7">
        <v>1</v>
      </c>
      <c r="AC313" s="7">
        <v>1</v>
      </c>
      <c r="AD313" s="7">
        <v>0</v>
      </c>
      <c r="AE313" s="7">
        <v>1</v>
      </c>
      <c r="AF313" s="7">
        <v>1</v>
      </c>
      <c r="AG313" s="7">
        <v>1</v>
      </c>
      <c r="AH313" s="7">
        <v>1</v>
      </c>
      <c r="AI313" s="7">
        <v>0</v>
      </c>
      <c r="AJ313" s="7">
        <v>1</v>
      </c>
      <c r="AK313" s="7">
        <v>1</v>
      </c>
      <c r="AL313" s="7">
        <v>1</v>
      </c>
      <c r="AM313" s="7">
        <v>0</v>
      </c>
      <c r="AN313" s="7">
        <v>1</v>
      </c>
      <c r="AO313" s="7">
        <v>1</v>
      </c>
      <c r="AP313" s="7">
        <v>1</v>
      </c>
      <c r="AQ313" s="7">
        <v>1</v>
      </c>
      <c r="AR313" s="7">
        <v>1</v>
      </c>
      <c r="AS313" s="7">
        <v>15</v>
      </c>
      <c r="AT313" s="8">
        <v>0.83333333333333326</v>
      </c>
      <c r="AU313" s="14" t="s">
        <v>1120</v>
      </c>
      <c r="AV313" s="7">
        <v>33</v>
      </c>
      <c r="AW313" s="8">
        <v>0.91666666666666674</v>
      </c>
    </row>
    <row r="314" spans="1:49" ht="15.75" customHeight="1" x14ac:dyDescent="0.25">
      <c r="A314" s="5" t="s">
        <v>224</v>
      </c>
      <c r="B314" s="6" t="s">
        <v>1069</v>
      </c>
      <c r="C314" s="6" t="s">
        <v>1104</v>
      </c>
      <c r="D314" s="6" t="s">
        <v>1097</v>
      </c>
      <c r="E314" s="5" t="s">
        <v>603</v>
      </c>
      <c r="F314" s="7">
        <v>1</v>
      </c>
      <c r="G314" s="7">
        <v>1</v>
      </c>
      <c r="H314" s="7">
        <v>0</v>
      </c>
      <c r="I314" s="7">
        <v>1</v>
      </c>
      <c r="J314" s="7">
        <v>1</v>
      </c>
      <c r="K314" s="7">
        <v>1</v>
      </c>
      <c r="L314" s="7">
        <v>1</v>
      </c>
      <c r="M314" s="7">
        <v>1</v>
      </c>
      <c r="N314" s="7">
        <v>0</v>
      </c>
      <c r="O314" s="7">
        <v>1</v>
      </c>
      <c r="P314" s="7">
        <v>1</v>
      </c>
      <c r="Q314" s="7">
        <v>1</v>
      </c>
      <c r="R314" s="7">
        <v>1</v>
      </c>
      <c r="S314" s="7">
        <v>1</v>
      </c>
      <c r="T314" s="7">
        <v>1</v>
      </c>
      <c r="U314" s="7">
        <v>1</v>
      </c>
      <c r="V314" s="7">
        <v>1</v>
      </c>
      <c r="W314" s="7">
        <v>1</v>
      </c>
      <c r="X314" s="7">
        <v>16</v>
      </c>
      <c r="Y314" s="8">
        <v>0.88888888888888884</v>
      </c>
      <c r="Z314" s="14" t="s">
        <v>1120</v>
      </c>
      <c r="AA314" s="7">
        <v>1</v>
      </c>
      <c r="AB314" s="7">
        <v>1</v>
      </c>
      <c r="AC314" s="7">
        <v>1</v>
      </c>
      <c r="AD314" s="7">
        <v>1</v>
      </c>
      <c r="AE314" s="7">
        <v>1</v>
      </c>
      <c r="AF314" s="7">
        <v>0</v>
      </c>
      <c r="AG314" s="7">
        <v>1</v>
      </c>
      <c r="AH314" s="7">
        <v>1</v>
      </c>
      <c r="AI314" s="7">
        <v>0</v>
      </c>
      <c r="AJ314" s="7">
        <v>1</v>
      </c>
      <c r="AK314" s="7">
        <v>1</v>
      </c>
      <c r="AL314" s="7">
        <v>0</v>
      </c>
      <c r="AM314" s="7">
        <v>1</v>
      </c>
      <c r="AN314" s="7">
        <v>1</v>
      </c>
      <c r="AO314" s="7">
        <v>1</v>
      </c>
      <c r="AP314" s="7">
        <v>1</v>
      </c>
      <c r="AQ314" s="7">
        <v>1</v>
      </c>
      <c r="AR314" s="7">
        <v>1</v>
      </c>
      <c r="AS314" s="7">
        <v>15</v>
      </c>
      <c r="AT314" s="8">
        <v>0.83333333333333326</v>
      </c>
      <c r="AU314" s="14" t="s">
        <v>1120</v>
      </c>
      <c r="AV314" s="7">
        <v>31</v>
      </c>
      <c r="AW314" s="8">
        <v>0.86111111111111116</v>
      </c>
    </row>
    <row r="315" spans="1:49" ht="15.75" customHeight="1" x14ac:dyDescent="0.25">
      <c r="A315" s="5" t="s">
        <v>224</v>
      </c>
      <c r="B315" s="6" t="s">
        <v>1069</v>
      </c>
      <c r="C315" s="6" t="s">
        <v>1103</v>
      </c>
      <c r="D315" s="6" t="s">
        <v>1097</v>
      </c>
      <c r="E315" s="5" t="s">
        <v>604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0</v>
      </c>
      <c r="N315" s="7">
        <v>0</v>
      </c>
      <c r="O315" s="7">
        <v>1</v>
      </c>
      <c r="P315" s="7">
        <v>1</v>
      </c>
      <c r="Q315" s="7">
        <v>1</v>
      </c>
      <c r="R315" s="7">
        <v>1</v>
      </c>
      <c r="S315" s="7">
        <v>1</v>
      </c>
      <c r="T315" s="7">
        <v>1</v>
      </c>
      <c r="U315" s="7">
        <v>1</v>
      </c>
      <c r="V315" s="7">
        <v>1</v>
      </c>
      <c r="W315" s="7">
        <v>1</v>
      </c>
      <c r="X315" s="7">
        <v>16</v>
      </c>
      <c r="Y315" s="8">
        <v>0.88888888888888884</v>
      </c>
      <c r="Z315" s="14" t="s">
        <v>1120</v>
      </c>
      <c r="AA315" s="7">
        <v>0</v>
      </c>
      <c r="AB315" s="7">
        <v>1</v>
      </c>
      <c r="AC315" s="7">
        <v>0</v>
      </c>
      <c r="AD315" s="7">
        <v>0</v>
      </c>
      <c r="AE315" s="7">
        <v>0</v>
      </c>
      <c r="AF315" s="7">
        <v>0</v>
      </c>
      <c r="AG315" s="7">
        <v>1</v>
      </c>
      <c r="AH315" s="7">
        <v>1</v>
      </c>
      <c r="AI315" s="7">
        <v>1</v>
      </c>
      <c r="AJ315" s="7">
        <v>1</v>
      </c>
      <c r="AK315" s="7">
        <v>1</v>
      </c>
      <c r="AL315" s="7">
        <v>1</v>
      </c>
      <c r="AM315" s="7">
        <v>0</v>
      </c>
      <c r="AN315" s="7">
        <v>0</v>
      </c>
      <c r="AO315" s="7">
        <v>1</v>
      </c>
      <c r="AP315" s="7">
        <v>0</v>
      </c>
      <c r="AQ315" s="7">
        <v>1</v>
      </c>
      <c r="AR315" s="7">
        <v>1</v>
      </c>
      <c r="AS315" s="7">
        <v>10</v>
      </c>
      <c r="AT315" s="8">
        <v>0.55555555555555558</v>
      </c>
      <c r="AU315" s="14" t="s">
        <v>1119</v>
      </c>
      <c r="AV315" s="7">
        <v>26</v>
      </c>
      <c r="AW315" s="8">
        <v>0.72222222222222232</v>
      </c>
    </row>
    <row r="316" spans="1:49" ht="15.75" customHeight="1" x14ac:dyDescent="0.25">
      <c r="A316" s="5" t="s">
        <v>224</v>
      </c>
      <c r="B316" s="6" t="s">
        <v>1069</v>
      </c>
      <c r="C316" s="6" t="s">
        <v>1104</v>
      </c>
      <c r="D316" s="6" t="s">
        <v>1097</v>
      </c>
      <c r="E316" s="5" t="s">
        <v>605</v>
      </c>
      <c r="F316" s="7">
        <v>0</v>
      </c>
      <c r="G316" s="7">
        <v>1</v>
      </c>
      <c r="H316" s="7">
        <v>1</v>
      </c>
      <c r="I316" s="7">
        <v>1</v>
      </c>
      <c r="J316" s="7">
        <v>0</v>
      </c>
      <c r="K316" s="7">
        <v>1</v>
      </c>
      <c r="L316" s="7">
        <v>0</v>
      </c>
      <c r="M316" s="7">
        <v>1</v>
      </c>
      <c r="N316" s="7">
        <v>0</v>
      </c>
      <c r="O316" s="7">
        <v>1</v>
      </c>
      <c r="P316" s="7">
        <v>0</v>
      </c>
      <c r="Q316" s="7">
        <v>1</v>
      </c>
      <c r="R316" s="7">
        <v>0</v>
      </c>
      <c r="S316" s="7">
        <v>1</v>
      </c>
      <c r="T316" s="7">
        <v>1</v>
      </c>
      <c r="U316" s="7">
        <v>0</v>
      </c>
      <c r="V316" s="7">
        <v>0</v>
      </c>
      <c r="W316" s="7">
        <v>0</v>
      </c>
      <c r="X316" s="7">
        <v>9</v>
      </c>
      <c r="Y316" s="8">
        <v>0.5</v>
      </c>
      <c r="Z316" s="14" t="s">
        <v>1119</v>
      </c>
      <c r="AA316" s="7">
        <v>1</v>
      </c>
      <c r="AB316" s="7">
        <v>1</v>
      </c>
      <c r="AC316" s="7">
        <v>1</v>
      </c>
      <c r="AD316" s="7">
        <v>1</v>
      </c>
      <c r="AE316" s="7">
        <v>0</v>
      </c>
      <c r="AF316" s="7">
        <v>0</v>
      </c>
      <c r="AG316" s="7">
        <v>1</v>
      </c>
      <c r="AH316" s="7">
        <v>1</v>
      </c>
      <c r="AI316" s="7">
        <v>0</v>
      </c>
      <c r="AJ316" s="7">
        <v>1</v>
      </c>
      <c r="AK316" s="7">
        <v>1</v>
      </c>
      <c r="AL316" s="7">
        <v>0</v>
      </c>
      <c r="AM316" s="7">
        <v>0</v>
      </c>
      <c r="AN316" s="7">
        <v>0</v>
      </c>
      <c r="AO316" s="7">
        <v>1</v>
      </c>
      <c r="AP316" s="7">
        <v>0</v>
      </c>
      <c r="AQ316" s="7">
        <v>1</v>
      </c>
      <c r="AR316" s="7">
        <v>1</v>
      </c>
      <c r="AS316" s="7">
        <v>11</v>
      </c>
      <c r="AT316" s="8">
        <v>0.61111111111111116</v>
      </c>
      <c r="AU316" s="14" t="s">
        <v>1119</v>
      </c>
      <c r="AV316" s="7">
        <v>20</v>
      </c>
      <c r="AW316" s="8">
        <v>0.55555555555555558</v>
      </c>
    </row>
    <row r="317" spans="1:49" ht="15.75" customHeight="1" x14ac:dyDescent="0.25">
      <c r="A317" s="5" t="s">
        <v>250</v>
      </c>
      <c r="B317" s="7" t="s">
        <v>399</v>
      </c>
      <c r="C317" s="7" t="s">
        <v>1103</v>
      </c>
      <c r="D317" s="6" t="s">
        <v>1097</v>
      </c>
      <c r="E317" s="5" t="s">
        <v>606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0</v>
      </c>
      <c r="M317" s="7">
        <v>0</v>
      </c>
      <c r="N317" s="7">
        <v>0</v>
      </c>
      <c r="O317" s="7">
        <v>1</v>
      </c>
      <c r="P317" s="7">
        <v>0</v>
      </c>
      <c r="Q317" s="7">
        <v>1</v>
      </c>
      <c r="R317" s="7">
        <v>1</v>
      </c>
      <c r="S317" s="7">
        <v>0</v>
      </c>
      <c r="T317" s="7">
        <v>0</v>
      </c>
      <c r="U317" s="7">
        <v>0</v>
      </c>
      <c r="V317" s="7">
        <v>0</v>
      </c>
      <c r="W317" s="7">
        <v>1</v>
      </c>
      <c r="X317" s="7">
        <v>10</v>
      </c>
      <c r="Y317" s="8">
        <v>0.55555555555555558</v>
      </c>
      <c r="Z317" s="14" t="s">
        <v>1119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1</v>
      </c>
      <c r="AH317" s="7">
        <v>0</v>
      </c>
      <c r="AI317" s="7">
        <v>0</v>
      </c>
      <c r="AJ317" s="7">
        <v>1</v>
      </c>
      <c r="AK317" s="7">
        <v>1</v>
      </c>
      <c r="AL317" s="7">
        <v>1</v>
      </c>
      <c r="AM317" s="7">
        <v>0</v>
      </c>
      <c r="AN317" s="7">
        <v>0</v>
      </c>
      <c r="AO317" s="7">
        <v>1</v>
      </c>
      <c r="AP317" s="7">
        <v>1</v>
      </c>
      <c r="AQ317" s="7">
        <v>1</v>
      </c>
      <c r="AR317" s="7">
        <v>0</v>
      </c>
      <c r="AS317" s="7">
        <v>7</v>
      </c>
      <c r="AT317" s="8">
        <v>0.38888888888888884</v>
      </c>
      <c r="AU317" s="14" t="s">
        <v>1102</v>
      </c>
      <c r="AV317" s="7">
        <v>17</v>
      </c>
      <c r="AW317" s="8">
        <v>0.47222222222222221</v>
      </c>
    </row>
    <row r="318" spans="1:49" ht="15.75" customHeight="1" x14ac:dyDescent="0.25">
      <c r="A318" s="5" t="s">
        <v>250</v>
      </c>
      <c r="B318" s="7" t="s">
        <v>399</v>
      </c>
      <c r="C318" s="7" t="s">
        <v>1096</v>
      </c>
      <c r="D318" s="6" t="s">
        <v>1097</v>
      </c>
      <c r="E318" s="5" t="s">
        <v>607</v>
      </c>
      <c r="F318" s="7">
        <v>1</v>
      </c>
      <c r="G318" s="7">
        <v>1</v>
      </c>
      <c r="H318" s="7">
        <v>1</v>
      </c>
      <c r="I318" s="7">
        <v>1</v>
      </c>
      <c r="J318" s="7">
        <v>1</v>
      </c>
      <c r="K318" s="7">
        <v>1</v>
      </c>
      <c r="L318" s="7">
        <v>1</v>
      </c>
      <c r="M318" s="7">
        <v>1</v>
      </c>
      <c r="N318" s="7">
        <v>0</v>
      </c>
      <c r="O318" s="7">
        <v>1</v>
      </c>
      <c r="P318" s="7">
        <v>1</v>
      </c>
      <c r="Q318" s="7">
        <v>0</v>
      </c>
      <c r="R318" s="7">
        <v>0</v>
      </c>
      <c r="S318" s="7">
        <v>1</v>
      </c>
      <c r="T318" s="7">
        <v>0</v>
      </c>
      <c r="U318" s="7">
        <v>0</v>
      </c>
      <c r="V318" s="7">
        <v>1</v>
      </c>
      <c r="W318" s="7">
        <v>0</v>
      </c>
      <c r="X318" s="7">
        <v>12</v>
      </c>
      <c r="Y318" s="8">
        <v>0.66666666666666674</v>
      </c>
      <c r="Z318" s="14" t="s">
        <v>1119</v>
      </c>
      <c r="AA318" s="7">
        <v>1</v>
      </c>
      <c r="AB318" s="7">
        <v>1</v>
      </c>
      <c r="AC318" s="7">
        <v>1</v>
      </c>
      <c r="AD318" s="7">
        <v>0</v>
      </c>
      <c r="AE318" s="7">
        <v>0</v>
      </c>
      <c r="AF318" s="7">
        <v>0</v>
      </c>
      <c r="AG318" s="7">
        <v>0</v>
      </c>
      <c r="AH318" s="7">
        <v>1</v>
      </c>
      <c r="AI318" s="7">
        <v>0</v>
      </c>
      <c r="AJ318" s="7">
        <v>1</v>
      </c>
      <c r="AK318" s="7">
        <v>0</v>
      </c>
      <c r="AL318" s="7">
        <v>1</v>
      </c>
      <c r="AM318" s="7">
        <v>0</v>
      </c>
      <c r="AN318" s="7">
        <v>0</v>
      </c>
      <c r="AO318" s="7">
        <v>0</v>
      </c>
      <c r="AP318" s="7">
        <v>0</v>
      </c>
      <c r="AQ318" s="7">
        <v>1</v>
      </c>
      <c r="AR318" s="7">
        <v>1</v>
      </c>
      <c r="AS318" s="7">
        <v>8</v>
      </c>
      <c r="AT318" s="8">
        <v>0.44444444444444442</v>
      </c>
      <c r="AU318" s="14" t="s">
        <v>1119</v>
      </c>
      <c r="AV318" s="7">
        <v>20</v>
      </c>
      <c r="AW318" s="8">
        <v>0.55555555555555558</v>
      </c>
    </row>
    <row r="319" spans="1:49" ht="15.75" customHeight="1" x14ac:dyDescent="0.25">
      <c r="A319" s="5" t="s">
        <v>250</v>
      </c>
      <c r="B319" s="7" t="s">
        <v>399</v>
      </c>
      <c r="C319" s="7" t="s">
        <v>1104</v>
      </c>
      <c r="D319" s="6" t="s">
        <v>1097</v>
      </c>
      <c r="E319" s="5" t="s">
        <v>608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1</v>
      </c>
      <c r="N319" s="7">
        <v>1</v>
      </c>
      <c r="O319" s="7">
        <v>1</v>
      </c>
      <c r="P319" s="7">
        <v>1</v>
      </c>
      <c r="Q319" s="7">
        <v>1</v>
      </c>
      <c r="R319" s="7">
        <v>1</v>
      </c>
      <c r="S319" s="7">
        <v>1</v>
      </c>
      <c r="T319" s="7">
        <v>1</v>
      </c>
      <c r="U319" s="7">
        <v>1</v>
      </c>
      <c r="V319" s="7">
        <v>1</v>
      </c>
      <c r="W319" s="7">
        <v>1</v>
      </c>
      <c r="X319" s="7">
        <v>18</v>
      </c>
      <c r="Y319" s="8">
        <v>1</v>
      </c>
      <c r="Z319" s="14" t="s">
        <v>1120</v>
      </c>
      <c r="AA319" s="7">
        <v>1</v>
      </c>
      <c r="AB319" s="7">
        <v>1</v>
      </c>
      <c r="AC319" s="7">
        <v>1</v>
      </c>
      <c r="AD319" s="7">
        <v>0</v>
      </c>
      <c r="AE319" s="7">
        <v>1</v>
      </c>
      <c r="AF319" s="7">
        <v>1</v>
      </c>
      <c r="AG319" s="7">
        <v>1</v>
      </c>
      <c r="AH319" s="7">
        <v>1</v>
      </c>
      <c r="AI319" s="7">
        <v>1</v>
      </c>
      <c r="AJ319" s="7">
        <v>1</v>
      </c>
      <c r="AK319" s="7">
        <v>1</v>
      </c>
      <c r="AL319" s="7">
        <v>1</v>
      </c>
      <c r="AM319" s="7">
        <v>1</v>
      </c>
      <c r="AN319" s="7">
        <v>1</v>
      </c>
      <c r="AO319" s="7">
        <v>1</v>
      </c>
      <c r="AP319" s="7">
        <v>1</v>
      </c>
      <c r="AQ319" s="7">
        <v>1</v>
      </c>
      <c r="AR319" s="7">
        <v>1</v>
      </c>
      <c r="AS319" s="7">
        <v>18</v>
      </c>
      <c r="AT319" s="8">
        <v>1</v>
      </c>
      <c r="AU319" s="14" t="s">
        <v>1120</v>
      </c>
      <c r="AV319" s="7">
        <v>35</v>
      </c>
      <c r="AW319" s="8">
        <v>0.97222222222222232</v>
      </c>
    </row>
    <row r="320" spans="1:49" ht="15.75" customHeight="1" x14ac:dyDescent="0.25">
      <c r="A320" s="5" t="s">
        <v>250</v>
      </c>
      <c r="B320" s="7" t="s">
        <v>399</v>
      </c>
      <c r="C320" s="7" t="s">
        <v>1096</v>
      </c>
      <c r="D320" s="6" t="s">
        <v>1097</v>
      </c>
      <c r="E320" s="5" t="s">
        <v>609</v>
      </c>
      <c r="F320" s="7">
        <v>1</v>
      </c>
      <c r="G320" s="7">
        <v>1</v>
      </c>
      <c r="H320" s="7">
        <v>1</v>
      </c>
      <c r="I320" s="7">
        <v>1</v>
      </c>
      <c r="J320" s="7">
        <v>1</v>
      </c>
      <c r="K320" s="7">
        <v>1</v>
      </c>
      <c r="L320" s="7">
        <v>1</v>
      </c>
      <c r="M320" s="7">
        <v>1</v>
      </c>
      <c r="N320" s="7">
        <v>1</v>
      </c>
      <c r="O320" s="7">
        <v>1</v>
      </c>
      <c r="P320" s="7">
        <v>1</v>
      </c>
      <c r="Q320" s="7">
        <v>1</v>
      </c>
      <c r="R320" s="7">
        <v>1</v>
      </c>
      <c r="S320" s="7">
        <v>1</v>
      </c>
      <c r="T320" s="7">
        <v>1</v>
      </c>
      <c r="U320" s="7">
        <v>1</v>
      </c>
      <c r="V320" s="7">
        <v>1</v>
      </c>
      <c r="W320" s="7">
        <v>1</v>
      </c>
      <c r="X320" s="7">
        <v>18</v>
      </c>
      <c r="Y320" s="8">
        <v>1</v>
      </c>
      <c r="Z320" s="14" t="s">
        <v>1120</v>
      </c>
      <c r="AA320" s="7">
        <v>1</v>
      </c>
      <c r="AB320" s="7">
        <v>0</v>
      </c>
      <c r="AC320" s="7">
        <v>1</v>
      </c>
      <c r="AD320" s="7">
        <v>1</v>
      </c>
      <c r="AE320" s="7">
        <v>0</v>
      </c>
      <c r="AF320" s="7">
        <v>1</v>
      </c>
      <c r="AG320" s="7">
        <v>1</v>
      </c>
      <c r="AH320" s="7">
        <v>1</v>
      </c>
      <c r="AI320" s="7">
        <v>1</v>
      </c>
      <c r="AJ320" s="7">
        <v>1</v>
      </c>
      <c r="AK320" s="7">
        <v>1</v>
      </c>
      <c r="AL320" s="7">
        <v>1</v>
      </c>
      <c r="AM320" s="7">
        <v>0</v>
      </c>
      <c r="AN320" s="7">
        <v>1</v>
      </c>
      <c r="AO320" s="7">
        <v>1</v>
      </c>
      <c r="AP320" s="7">
        <v>1</v>
      </c>
      <c r="AQ320" s="7">
        <v>1</v>
      </c>
      <c r="AR320" s="7">
        <v>1</v>
      </c>
      <c r="AS320" s="7">
        <v>15</v>
      </c>
      <c r="AT320" s="8">
        <v>0.83333333333333326</v>
      </c>
      <c r="AU320" s="14" t="s">
        <v>1120</v>
      </c>
      <c r="AV320" s="7">
        <v>33</v>
      </c>
      <c r="AW320" s="8">
        <v>0.91666666666666674</v>
      </c>
    </row>
    <row r="321" spans="1:49" ht="15.75" customHeight="1" x14ac:dyDescent="0.25">
      <c r="A321" s="5" t="s">
        <v>250</v>
      </c>
      <c r="B321" s="7" t="s">
        <v>399</v>
      </c>
      <c r="C321" s="7" t="s">
        <v>1103</v>
      </c>
      <c r="D321" s="6" t="s">
        <v>1097</v>
      </c>
      <c r="E321" s="5" t="s">
        <v>610</v>
      </c>
      <c r="F321" s="7">
        <v>1</v>
      </c>
      <c r="G321" s="7">
        <v>1</v>
      </c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1</v>
      </c>
      <c r="N321" s="7">
        <v>0</v>
      </c>
      <c r="O321" s="7">
        <v>1</v>
      </c>
      <c r="P321" s="7">
        <v>1</v>
      </c>
      <c r="Q321" s="7">
        <v>1</v>
      </c>
      <c r="R321" s="7">
        <v>1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17</v>
      </c>
      <c r="Y321" s="8">
        <v>0.94444444444444442</v>
      </c>
      <c r="Z321" s="14" t="s">
        <v>1120</v>
      </c>
      <c r="AA321" s="7">
        <v>0</v>
      </c>
      <c r="AB321" s="7">
        <v>1</v>
      </c>
      <c r="AC321" s="7">
        <v>1</v>
      </c>
      <c r="AD321" s="7">
        <v>0</v>
      </c>
      <c r="AE321" s="7">
        <v>0</v>
      </c>
      <c r="AF321" s="7">
        <v>0</v>
      </c>
      <c r="AG321" s="7">
        <v>1</v>
      </c>
      <c r="AH321" s="7">
        <v>0</v>
      </c>
      <c r="AI321" s="7">
        <v>1</v>
      </c>
      <c r="AJ321" s="7">
        <v>0</v>
      </c>
      <c r="AK321" s="7">
        <v>1</v>
      </c>
      <c r="AL321" s="7">
        <v>1</v>
      </c>
      <c r="AM321" s="7">
        <v>0</v>
      </c>
      <c r="AN321" s="7">
        <v>0</v>
      </c>
      <c r="AO321" s="7">
        <v>1</v>
      </c>
      <c r="AP321" s="7">
        <v>1</v>
      </c>
      <c r="AQ321" s="7">
        <v>1</v>
      </c>
      <c r="AR321" s="7">
        <v>1</v>
      </c>
      <c r="AS321" s="7">
        <v>10</v>
      </c>
      <c r="AT321" s="8">
        <v>0.55555555555555558</v>
      </c>
      <c r="AU321" s="14" t="s">
        <v>1119</v>
      </c>
      <c r="AV321" s="7">
        <v>27</v>
      </c>
      <c r="AW321" s="8">
        <v>0.75</v>
      </c>
    </row>
    <row r="322" spans="1:49" ht="15.75" customHeight="1" x14ac:dyDescent="0.25">
      <c r="A322" s="5" t="s">
        <v>250</v>
      </c>
      <c r="B322" s="7" t="s">
        <v>399</v>
      </c>
      <c r="C322" s="7" t="s">
        <v>1103</v>
      </c>
      <c r="D322" s="6" t="s">
        <v>1097</v>
      </c>
      <c r="E322" s="5" t="s">
        <v>611</v>
      </c>
      <c r="F322" s="7">
        <v>1</v>
      </c>
      <c r="G322" s="7">
        <v>1</v>
      </c>
      <c r="H322" s="7">
        <v>1</v>
      </c>
      <c r="I322" s="7">
        <v>1</v>
      </c>
      <c r="J322" s="7">
        <v>1</v>
      </c>
      <c r="K322" s="7">
        <v>1</v>
      </c>
      <c r="L322" s="7">
        <v>1</v>
      </c>
      <c r="M322" s="7">
        <v>1</v>
      </c>
      <c r="N322" s="7">
        <v>0</v>
      </c>
      <c r="O322" s="7">
        <v>1</v>
      </c>
      <c r="P322" s="7">
        <v>1</v>
      </c>
      <c r="Q322" s="7">
        <v>1</v>
      </c>
      <c r="R322" s="7">
        <v>0</v>
      </c>
      <c r="S322" s="7">
        <v>1</v>
      </c>
      <c r="T322" s="7">
        <v>1</v>
      </c>
      <c r="U322" s="7">
        <v>1</v>
      </c>
      <c r="V322" s="7">
        <v>1</v>
      </c>
      <c r="W322" s="7">
        <v>1</v>
      </c>
      <c r="X322" s="7">
        <v>18</v>
      </c>
      <c r="Y322" s="8">
        <v>1</v>
      </c>
      <c r="Z322" s="14" t="s">
        <v>1120</v>
      </c>
      <c r="AA322" s="7">
        <v>1</v>
      </c>
      <c r="AB322" s="7">
        <v>1</v>
      </c>
      <c r="AC322" s="7">
        <v>1</v>
      </c>
      <c r="AD322" s="7">
        <v>0</v>
      </c>
      <c r="AE322" s="7">
        <v>1</v>
      </c>
      <c r="AF322" s="7">
        <v>0</v>
      </c>
      <c r="AG322" s="7">
        <v>1</v>
      </c>
      <c r="AH322" s="7">
        <v>1</v>
      </c>
      <c r="AI322" s="7">
        <v>0</v>
      </c>
      <c r="AJ322" s="7">
        <v>1</v>
      </c>
      <c r="AK322" s="7">
        <v>1</v>
      </c>
      <c r="AL322" s="7">
        <v>1</v>
      </c>
      <c r="AM322" s="7">
        <v>0</v>
      </c>
      <c r="AN322" s="7">
        <v>1</v>
      </c>
      <c r="AO322" s="7">
        <v>1</v>
      </c>
      <c r="AP322" s="7">
        <v>1</v>
      </c>
      <c r="AQ322" s="7">
        <v>1</v>
      </c>
      <c r="AR322" s="7">
        <v>1</v>
      </c>
      <c r="AS322" s="7">
        <v>14</v>
      </c>
      <c r="AT322" s="8">
        <v>0.77777777777777768</v>
      </c>
      <c r="AU322" s="14" t="s">
        <v>1120</v>
      </c>
      <c r="AV322" s="7">
        <v>30</v>
      </c>
      <c r="AW322" s="8">
        <v>0.83333333333333326</v>
      </c>
    </row>
    <row r="323" spans="1:49" ht="15.75" customHeight="1" x14ac:dyDescent="0.25">
      <c r="A323" s="5" t="s">
        <v>250</v>
      </c>
      <c r="B323" s="7" t="s">
        <v>399</v>
      </c>
      <c r="C323" s="7" t="s">
        <v>1103</v>
      </c>
      <c r="D323" s="6" t="s">
        <v>1097</v>
      </c>
      <c r="E323" s="5" t="s">
        <v>612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1</v>
      </c>
      <c r="N323" s="7">
        <v>1</v>
      </c>
      <c r="O323" s="7">
        <v>1</v>
      </c>
      <c r="P323" s="7">
        <v>1</v>
      </c>
      <c r="Q323" s="7">
        <v>1</v>
      </c>
      <c r="R323" s="7">
        <v>1</v>
      </c>
      <c r="S323" s="7">
        <v>1</v>
      </c>
      <c r="T323" s="7">
        <v>1</v>
      </c>
      <c r="U323" s="7">
        <v>1</v>
      </c>
      <c r="V323" s="7">
        <v>1</v>
      </c>
      <c r="W323" s="7">
        <v>1</v>
      </c>
      <c r="X323" s="7">
        <v>18</v>
      </c>
      <c r="Y323" s="8">
        <v>1</v>
      </c>
      <c r="Z323" s="14" t="s">
        <v>1120</v>
      </c>
      <c r="AA323" s="7">
        <v>1</v>
      </c>
      <c r="AB323" s="7">
        <v>1</v>
      </c>
      <c r="AC323" s="7">
        <v>1</v>
      </c>
      <c r="AD323" s="7">
        <v>1</v>
      </c>
      <c r="AE323" s="7">
        <v>1</v>
      </c>
      <c r="AF323" s="7">
        <v>0</v>
      </c>
      <c r="AG323" s="7">
        <v>1</v>
      </c>
      <c r="AH323" s="7">
        <v>1</v>
      </c>
      <c r="AI323" s="7">
        <v>0</v>
      </c>
      <c r="AJ323" s="7">
        <v>1</v>
      </c>
      <c r="AK323" s="7">
        <v>1</v>
      </c>
      <c r="AL323" s="7">
        <v>0</v>
      </c>
      <c r="AM323" s="7">
        <v>0</v>
      </c>
      <c r="AN323" s="7">
        <v>0</v>
      </c>
      <c r="AO323" s="7">
        <v>1</v>
      </c>
      <c r="AP323" s="7">
        <v>0</v>
      </c>
      <c r="AQ323" s="7">
        <v>1</v>
      </c>
      <c r="AR323" s="7">
        <v>1</v>
      </c>
      <c r="AS323" s="7">
        <v>12</v>
      </c>
      <c r="AT323" s="8">
        <v>0.66666666666666674</v>
      </c>
      <c r="AU323" s="14" t="s">
        <v>1119</v>
      </c>
      <c r="AV323" s="7">
        <v>30</v>
      </c>
      <c r="AW323" s="8">
        <v>0.83333333333333326</v>
      </c>
    </row>
    <row r="324" spans="1:49" ht="15.75" customHeight="1" x14ac:dyDescent="0.25">
      <c r="A324" s="5" t="s">
        <v>250</v>
      </c>
      <c r="B324" s="7" t="s">
        <v>399</v>
      </c>
      <c r="C324" s="7" t="s">
        <v>1096</v>
      </c>
      <c r="D324" s="6" t="s">
        <v>1097</v>
      </c>
      <c r="E324" s="5" t="s">
        <v>613</v>
      </c>
      <c r="F324" s="7">
        <v>1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0</v>
      </c>
      <c r="N324" s="7">
        <v>1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  <c r="T324" s="7">
        <v>1</v>
      </c>
      <c r="U324" s="7">
        <v>1</v>
      </c>
      <c r="V324" s="7">
        <v>0</v>
      </c>
      <c r="W324" s="7">
        <v>1</v>
      </c>
      <c r="X324" s="7">
        <v>16</v>
      </c>
      <c r="Y324" s="8">
        <v>0.88888888888888884</v>
      </c>
      <c r="Z324" s="14" t="s">
        <v>1120</v>
      </c>
      <c r="AA324" s="7">
        <v>1</v>
      </c>
      <c r="AB324" s="7">
        <v>0</v>
      </c>
      <c r="AC324" s="7">
        <v>1</v>
      </c>
      <c r="AD324" s="7">
        <v>1</v>
      </c>
      <c r="AE324" s="7">
        <v>1</v>
      </c>
      <c r="AF324" s="7">
        <v>1</v>
      </c>
      <c r="AG324" s="7">
        <v>1</v>
      </c>
      <c r="AH324" s="7">
        <v>1</v>
      </c>
      <c r="AI324" s="7">
        <v>1</v>
      </c>
      <c r="AJ324" s="7">
        <v>1</v>
      </c>
      <c r="AK324" s="7">
        <v>1</v>
      </c>
      <c r="AL324" s="7">
        <v>1</v>
      </c>
      <c r="AM324" s="7">
        <v>0</v>
      </c>
      <c r="AN324" s="7">
        <v>1</v>
      </c>
      <c r="AO324" s="7">
        <v>1</v>
      </c>
      <c r="AP324" s="7">
        <v>1</v>
      </c>
      <c r="AQ324" s="7">
        <v>1</v>
      </c>
      <c r="AR324" s="7">
        <v>1</v>
      </c>
      <c r="AS324" s="7">
        <v>16</v>
      </c>
      <c r="AT324" s="8">
        <v>0.88888888888888884</v>
      </c>
      <c r="AU324" s="14" t="s">
        <v>1120</v>
      </c>
      <c r="AV324" s="7">
        <v>32</v>
      </c>
      <c r="AW324" s="8">
        <v>0.88888888888888884</v>
      </c>
    </row>
    <row r="325" spans="1:49" ht="15.75" customHeight="1" x14ac:dyDescent="0.25">
      <c r="A325" s="5" t="s">
        <v>250</v>
      </c>
      <c r="B325" s="7" t="s">
        <v>399</v>
      </c>
      <c r="C325" s="7" t="s">
        <v>1103</v>
      </c>
      <c r="D325" s="6" t="s">
        <v>1097</v>
      </c>
      <c r="E325" s="5" t="s">
        <v>614</v>
      </c>
      <c r="F325" s="7">
        <v>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1</v>
      </c>
      <c r="N325" s="7">
        <v>0</v>
      </c>
      <c r="O325" s="7">
        <v>1</v>
      </c>
      <c r="P325" s="7">
        <v>1</v>
      </c>
      <c r="Q325" s="7">
        <v>1</v>
      </c>
      <c r="R325" s="7">
        <v>1</v>
      </c>
      <c r="S325" s="7">
        <v>1</v>
      </c>
      <c r="T325" s="7">
        <v>1</v>
      </c>
      <c r="U325" s="7">
        <v>1</v>
      </c>
      <c r="V325" s="7">
        <v>1</v>
      </c>
      <c r="W325" s="7">
        <v>1</v>
      </c>
      <c r="X325" s="7">
        <v>17</v>
      </c>
      <c r="Y325" s="8">
        <v>0.94444444444444442</v>
      </c>
      <c r="Z325" s="14" t="s">
        <v>1120</v>
      </c>
      <c r="AA325" s="7">
        <v>1</v>
      </c>
      <c r="AB325" s="7">
        <v>1</v>
      </c>
      <c r="AC325" s="7">
        <v>1</v>
      </c>
      <c r="AD325" s="7">
        <v>1</v>
      </c>
      <c r="AE325" s="7">
        <v>0</v>
      </c>
      <c r="AF325" s="7">
        <v>0</v>
      </c>
      <c r="AG325" s="7">
        <v>1</v>
      </c>
      <c r="AH325" s="7">
        <v>1</v>
      </c>
      <c r="AI325" s="7">
        <v>1</v>
      </c>
      <c r="AJ325" s="7">
        <v>1</v>
      </c>
      <c r="AK325" s="7">
        <v>1</v>
      </c>
      <c r="AL325" s="7">
        <v>0</v>
      </c>
      <c r="AM325" s="7">
        <v>0</v>
      </c>
      <c r="AN325" s="7">
        <v>1</v>
      </c>
      <c r="AO325" s="7">
        <v>1</v>
      </c>
      <c r="AP325" s="7">
        <v>1</v>
      </c>
      <c r="AQ325" s="7">
        <v>1</v>
      </c>
      <c r="AR325" s="7">
        <v>1</v>
      </c>
      <c r="AS325" s="7">
        <v>18</v>
      </c>
      <c r="AT325" s="8">
        <v>1</v>
      </c>
      <c r="AU325" s="14" t="s">
        <v>1120</v>
      </c>
      <c r="AV325" s="7">
        <v>31</v>
      </c>
      <c r="AW325" s="8">
        <v>0.86111111111111116</v>
      </c>
    </row>
    <row r="326" spans="1:49" ht="15.75" customHeight="1" x14ac:dyDescent="0.25">
      <c r="A326" s="5" t="s">
        <v>250</v>
      </c>
      <c r="B326" s="7" t="s">
        <v>399</v>
      </c>
      <c r="C326" s="7" t="s">
        <v>1096</v>
      </c>
      <c r="D326" s="6" t="s">
        <v>1097</v>
      </c>
      <c r="E326" s="5" t="s">
        <v>1178</v>
      </c>
      <c r="F326" s="7">
        <v>1</v>
      </c>
      <c r="G326" s="7">
        <v>1</v>
      </c>
      <c r="H326" s="7">
        <v>0</v>
      </c>
      <c r="I326" s="7">
        <v>1</v>
      </c>
      <c r="J326" s="7">
        <v>1</v>
      </c>
      <c r="K326" s="7">
        <v>1</v>
      </c>
      <c r="L326" s="7">
        <v>1</v>
      </c>
      <c r="M326" s="7">
        <v>1</v>
      </c>
      <c r="N326" s="7">
        <v>1</v>
      </c>
      <c r="O326" s="7">
        <v>1</v>
      </c>
      <c r="P326" s="7">
        <v>1</v>
      </c>
      <c r="Q326" s="7">
        <v>1</v>
      </c>
      <c r="R326" s="7">
        <v>1</v>
      </c>
      <c r="S326" s="7">
        <v>1</v>
      </c>
      <c r="T326" s="7">
        <v>1</v>
      </c>
      <c r="U326" s="7">
        <v>1</v>
      </c>
      <c r="V326" s="7">
        <v>1</v>
      </c>
      <c r="W326" s="7">
        <v>1</v>
      </c>
      <c r="X326" s="7">
        <v>17</v>
      </c>
      <c r="Y326" s="8">
        <v>0.94444444444444442</v>
      </c>
      <c r="Z326" s="14" t="s">
        <v>1120</v>
      </c>
      <c r="AA326" s="7">
        <v>1</v>
      </c>
      <c r="AB326" s="7">
        <v>1</v>
      </c>
      <c r="AC326" s="7">
        <v>1</v>
      </c>
      <c r="AD326" s="7">
        <v>1</v>
      </c>
      <c r="AE326" s="7">
        <v>1</v>
      </c>
      <c r="AF326" s="7">
        <v>0</v>
      </c>
      <c r="AG326" s="7">
        <v>1</v>
      </c>
      <c r="AH326" s="7">
        <v>1</v>
      </c>
      <c r="AI326" s="7">
        <v>1</v>
      </c>
      <c r="AJ326" s="7">
        <v>1</v>
      </c>
      <c r="AK326" s="7">
        <v>1</v>
      </c>
      <c r="AL326" s="7">
        <v>1</v>
      </c>
      <c r="AM326" s="7">
        <v>0</v>
      </c>
      <c r="AN326" s="7">
        <v>0</v>
      </c>
      <c r="AO326" s="7">
        <v>1</v>
      </c>
      <c r="AP326" s="7">
        <v>0</v>
      </c>
      <c r="AQ326" s="7">
        <v>1</v>
      </c>
      <c r="AR326" s="7">
        <v>1</v>
      </c>
      <c r="AS326" s="7">
        <v>14</v>
      </c>
      <c r="AT326" s="8">
        <v>0.77777777777777768</v>
      </c>
      <c r="AU326" s="14" t="s">
        <v>1120</v>
      </c>
      <c r="AV326" s="7">
        <v>31</v>
      </c>
      <c r="AW326" s="8">
        <v>0.86111111111111116</v>
      </c>
    </row>
    <row r="327" spans="1:49" ht="15.75" customHeight="1" x14ac:dyDescent="0.25">
      <c r="A327" s="5" t="s">
        <v>250</v>
      </c>
      <c r="B327" s="7" t="s">
        <v>399</v>
      </c>
      <c r="C327" s="7" t="s">
        <v>1103</v>
      </c>
      <c r="D327" s="6" t="s">
        <v>1097</v>
      </c>
      <c r="E327" s="5" t="s">
        <v>615</v>
      </c>
      <c r="F327" s="7">
        <v>1</v>
      </c>
      <c r="G327" s="7">
        <v>1</v>
      </c>
      <c r="H327" s="7">
        <v>1</v>
      </c>
      <c r="I327" s="7">
        <v>1</v>
      </c>
      <c r="J327" s="7">
        <v>0</v>
      </c>
      <c r="K327" s="7">
        <v>1</v>
      </c>
      <c r="L327" s="7">
        <v>1</v>
      </c>
      <c r="M327" s="7">
        <v>1</v>
      </c>
      <c r="N327" s="7">
        <v>1</v>
      </c>
      <c r="O327" s="7">
        <v>1</v>
      </c>
      <c r="P327" s="7">
        <v>1</v>
      </c>
      <c r="Q327" s="7">
        <v>1</v>
      </c>
      <c r="R327" s="7">
        <v>1</v>
      </c>
      <c r="S327" s="7">
        <v>0</v>
      </c>
      <c r="T327" s="7">
        <v>1</v>
      </c>
      <c r="U327" s="7">
        <v>1</v>
      </c>
      <c r="V327" s="7">
        <v>1</v>
      </c>
      <c r="W327" s="7">
        <v>1</v>
      </c>
      <c r="X327" s="7">
        <v>18</v>
      </c>
      <c r="Y327" s="8">
        <v>1</v>
      </c>
      <c r="Z327" s="14" t="s">
        <v>1120</v>
      </c>
      <c r="AA327" s="7">
        <v>1</v>
      </c>
      <c r="AB327" s="7">
        <v>1</v>
      </c>
      <c r="AC327" s="7">
        <v>1</v>
      </c>
      <c r="AD327" s="7">
        <v>1</v>
      </c>
      <c r="AE327" s="7">
        <v>1</v>
      </c>
      <c r="AF327" s="7">
        <v>1</v>
      </c>
      <c r="AG327" s="7">
        <v>1</v>
      </c>
      <c r="AH327" s="7">
        <v>1</v>
      </c>
      <c r="AI327" s="7">
        <v>1</v>
      </c>
      <c r="AJ327" s="7">
        <v>1</v>
      </c>
      <c r="AK327" s="7">
        <v>1</v>
      </c>
      <c r="AL327" s="7">
        <v>1</v>
      </c>
      <c r="AM327" s="7">
        <v>0</v>
      </c>
      <c r="AN327" s="7">
        <v>0</v>
      </c>
      <c r="AO327" s="7">
        <v>1</v>
      </c>
      <c r="AP327" s="7">
        <v>1</v>
      </c>
      <c r="AQ327" s="7">
        <v>1</v>
      </c>
      <c r="AR327" s="7">
        <v>1</v>
      </c>
      <c r="AS327" s="7">
        <v>16</v>
      </c>
      <c r="AT327" s="8">
        <v>0.88888888888888884</v>
      </c>
      <c r="AU327" s="14" t="s">
        <v>1120</v>
      </c>
      <c r="AV327" s="7">
        <v>32</v>
      </c>
      <c r="AW327" s="8">
        <v>0.88888888888888884</v>
      </c>
    </row>
    <row r="328" spans="1:49" ht="15.75" customHeight="1" x14ac:dyDescent="0.25">
      <c r="A328" s="5" t="s">
        <v>250</v>
      </c>
      <c r="B328" s="7" t="s">
        <v>399</v>
      </c>
      <c r="C328" s="7" t="s">
        <v>1103</v>
      </c>
      <c r="D328" s="6" t="s">
        <v>1097</v>
      </c>
      <c r="E328" s="5" t="s">
        <v>616</v>
      </c>
      <c r="F328" s="7">
        <v>1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0</v>
      </c>
      <c r="N328" s="7">
        <v>1</v>
      </c>
      <c r="O328" s="7">
        <v>1</v>
      </c>
      <c r="P328" s="7">
        <v>1</v>
      </c>
      <c r="Q328" s="7">
        <v>1</v>
      </c>
      <c r="R328" s="7">
        <v>1</v>
      </c>
      <c r="S328" s="7">
        <v>1</v>
      </c>
      <c r="T328" s="7">
        <v>1</v>
      </c>
      <c r="U328" s="7">
        <v>1</v>
      </c>
      <c r="V328" s="7">
        <v>1</v>
      </c>
      <c r="W328" s="7">
        <v>1</v>
      </c>
      <c r="X328" s="7">
        <v>17</v>
      </c>
      <c r="Y328" s="8">
        <v>0.94444444444444442</v>
      </c>
      <c r="Z328" s="14" t="s">
        <v>1120</v>
      </c>
      <c r="AA328" s="7">
        <v>1</v>
      </c>
      <c r="AB328" s="7">
        <v>1</v>
      </c>
      <c r="AC328" s="7">
        <v>1</v>
      </c>
      <c r="AD328" s="7">
        <v>0</v>
      </c>
      <c r="AE328" s="7">
        <v>0</v>
      </c>
      <c r="AF328" s="7">
        <v>1</v>
      </c>
      <c r="AG328" s="7">
        <v>1</v>
      </c>
      <c r="AH328" s="7">
        <v>1</v>
      </c>
      <c r="AI328" s="7">
        <v>1</v>
      </c>
      <c r="AJ328" s="7">
        <v>1</v>
      </c>
      <c r="AK328" s="7">
        <v>1</v>
      </c>
      <c r="AL328" s="7">
        <v>0</v>
      </c>
      <c r="AM328" s="7">
        <v>0</v>
      </c>
      <c r="AN328" s="7">
        <v>1</v>
      </c>
      <c r="AO328" s="7">
        <v>1</v>
      </c>
      <c r="AP328" s="7">
        <v>1</v>
      </c>
      <c r="AQ328" s="7">
        <v>1</v>
      </c>
      <c r="AR328" s="7">
        <v>1</v>
      </c>
      <c r="AS328" s="7">
        <v>14</v>
      </c>
      <c r="AT328" s="8">
        <v>0.77777777777777768</v>
      </c>
      <c r="AU328" s="14" t="s">
        <v>1120</v>
      </c>
      <c r="AV328" s="7">
        <v>31</v>
      </c>
      <c r="AW328" s="8">
        <v>0.86111111111111116</v>
      </c>
    </row>
    <row r="329" spans="1:49" ht="15.75" customHeight="1" x14ac:dyDescent="0.25">
      <c r="A329" s="5" t="s">
        <v>250</v>
      </c>
      <c r="B329" s="7" t="s">
        <v>399</v>
      </c>
      <c r="C329" s="7" t="s">
        <v>1117</v>
      </c>
      <c r="D329" s="6" t="s">
        <v>1097</v>
      </c>
      <c r="E329" s="5" t="s">
        <v>617</v>
      </c>
      <c r="F329" s="7">
        <v>0</v>
      </c>
      <c r="G329" s="7">
        <v>0</v>
      </c>
      <c r="H329" s="7">
        <v>0</v>
      </c>
      <c r="I329" s="7">
        <v>1</v>
      </c>
      <c r="J329" s="7">
        <v>0</v>
      </c>
      <c r="K329" s="7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1</v>
      </c>
      <c r="X329" s="7">
        <v>3</v>
      </c>
      <c r="Y329" s="8">
        <v>0.16666666666666669</v>
      </c>
      <c r="Z329" s="14" t="s">
        <v>1102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1</v>
      </c>
      <c r="AM329" s="7">
        <v>0</v>
      </c>
      <c r="AN329" s="7">
        <v>0</v>
      </c>
      <c r="AO329" s="7">
        <v>0</v>
      </c>
      <c r="AP329" s="7">
        <v>0</v>
      </c>
      <c r="AQ329" s="7">
        <v>1</v>
      </c>
      <c r="AR329" s="7">
        <v>1</v>
      </c>
      <c r="AS329" s="7">
        <v>3</v>
      </c>
      <c r="AT329" s="8">
        <v>0.16666666666666669</v>
      </c>
      <c r="AU329" s="14" t="s">
        <v>1102</v>
      </c>
      <c r="AV329" s="7">
        <v>6</v>
      </c>
      <c r="AW329" s="8">
        <v>0.16666666666666669</v>
      </c>
    </row>
    <row r="330" spans="1:49" ht="15.75" customHeight="1" x14ac:dyDescent="0.25">
      <c r="A330" s="5" t="s">
        <v>250</v>
      </c>
      <c r="B330" s="7" t="s">
        <v>399</v>
      </c>
      <c r="C330" s="7" t="s">
        <v>1103</v>
      </c>
      <c r="D330" s="6" t="s">
        <v>1097</v>
      </c>
      <c r="E330" s="5" t="s">
        <v>618</v>
      </c>
      <c r="F330" s="7">
        <v>1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0</v>
      </c>
      <c r="N330" s="7">
        <v>0</v>
      </c>
      <c r="O330" s="7">
        <v>1</v>
      </c>
      <c r="P330" s="7">
        <v>1</v>
      </c>
      <c r="Q330" s="7">
        <v>0</v>
      </c>
      <c r="R330" s="7">
        <v>0</v>
      </c>
      <c r="S330" s="7">
        <v>0</v>
      </c>
      <c r="T330" s="7">
        <v>1</v>
      </c>
      <c r="U330" s="7">
        <v>1</v>
      </c>
      <c r="V330" s="7">
        <v>0</v>
      </c>
      <c r="W330" s="7">
        <v>1</v>
      </c>
      <c r="X330" s="7">
        <v>12</v>
      </c>
      <c r="Y330" s="8">
        <v>0.66666666666666674</v>
      </c>
      <c r="Z330" s="14" t="s">
        <v>1119</v>
      </c>
      <c r="AA330" s="7">
        <v>0</v>
      </c>
      <c r="AB330" s="7">
        <v>1</v>
      </c>
      <c r="AC330" s="7">
        <v>1</v>
      </c>
      <c r="AD330" s="7">
        <v>0</v>
      </c>
      <c r="AE330" s="7">
        <v>0</v>
      </c>
      <c r="AF330" s="7">
        <v>0</v>
      </c>
      <c r="AG330" s="7">
        <v>1</v>
      </c>
      <c r="AH330" s="7">
        <v>1</v>
      </c>
      <c r="AI330" s="7">
        <v>0</v>
      </c>
      <c r="AJ330" s="7">
        <v>1</v>
      </c>
      <c r="AK330" s="7">
        <v>1</v>
      </c>
      <c r="AL330" s="7">
        <v>0</v>
      </c>
      <c r="AM330" s="7">
        <v>0</v>
      </c>
      <c r="AN330" s="7">
        <v>0</v>
      </c>
      <c r="AO330" s="7">
        <v>1</v>
      </c>
      <c r="AP330" s="7">
        <v>0</v>
      </c>
      <c r="AQ330" s="7">
        <v>1</v>
      </c>
      <c r="AR330" s="7">
        <v>1</v>
      </c>
      <c r="AS330" s="7">
        <v>9</v>
      </c>
      <c r="AT330" s="8">
        <v>0.5</v>
      </c>
      <c r="AU330" s="14" t="s">
        <v>1119</v>
      </c>
      <c r="AV330" s="7">
        <v>21</v>
      </c>
      <c r="AW330" s="8">
        <v>0.58333333333333337</v>
      </c>
    </row>
    <row r="331" spans="1:49" ht="15.75" customHeight="1" x14ac:dyDescent="0.25">
      <c r="A331" s="5" t="s">
        <v>250</v>
      </c>
      <c r="B331" s="7" t="s">
        <v>399</v>
      </c>
      <c r="C331" s="7" t="s">
        <v>1103</v>
      </c>
      <c r="D331" s="6" t="s">
        <v>1097</v>
      </c>
      <c r="E331" s="5" t="s">
        <v>619</v>
      </c>
      <c r="F331" s="7">
        <v>0</v>
      </c>
      <c r="G331" s="7">
        <v>0</v>
      </c>
      <c r="H331" s="7">
        <v>1</v>
      </c>
      <c r="I331" s="7">
        <v>1</v>
      </c>
      <c r="J331" s="7">
        <v>0</v>
      </c>
      <c r="K331" s="7">
        <v>1</v>
      </c>
      <c r="L331" s="7">
        <v>0</v>
      </c>
      <c r="M331" s="7">
        <v>0</v>
      </c>
      <c r="N331" s="7">
        <v>0</v>
      </c>
      <c r="O331" s="7">
        <v>0</v>
      </c>
      <c r="P331" s="7">
        <v>1</v>
      </c>
      <c r="Q331" s="7">
        <v>1</v>
      </c>
      <c r="R331" s="7">
        <v>0</v>
      </c>
      <c r="S331" s="7">
        <v>1</v>
      </c>
      <c r="T331" s="7">
        <v>0</v>
      </c>
      <c r="U331" s="7">
        <v>0</v>
      </c>
      <c r="V331" s="7">
        <v>0</v>
      </c>
      <c r="W331" s="7">
        <v>1</v>
      </c>
      <c r="X331" s="7">
        <v>7</v>
      </c>
      <c r="Y331" s="8">
        <v>0.38888888888888884</v>
      </c>
      <c r="Z331" s="14" t="s">
        <v>1102</v>
      </c>
      <c r="AA331" s="7">
        <v>0</v>
      </c>
      <c r="AB331" s="7">
        <v>0</v>
      </c>
      <c r="AC331" s="7">
        <v>1</v>
      </c>
      <c r="AD331" s="7">
        <v>0</v>
      </c>
      <c r="AE331" s="7">
        <v>0</v>
      </c>
      <c r="AF331" s="7">
        <v>0</v>
      </c>
      <c r="AG331" s="7">
        <v>1</v>
      </c>
      <c r="AH331" s="7">
        <v>1</v>
      </c>
      <c r="AI331" s="7">
        <v>1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1</v>
      </c>
      <c r="AR331" s="7">
        <v>0</v>
      </c>
      <c r="AS331" s="7">
        <v>5</v>
      </c>
      <c r="AT331" s="8">
        <v>0.27777777777777779</v>
      </c>
      <c r="AU331" s="14" t="s">
        <v>1102</v>
      </c>
      <c r="AV331" s="7">
        <v>12</v>
      </c>
      <c r="AW331" s="8">
        <v>0.33333333333333337</v>
      </c>
    </row>
    <row r="332" spans="1:49" ht="15.75" customHeight="1" x14ac:dyDescent="0.25">
      <c r="A332" s="5" t="s">
        <v>250</v>
      </c>
      <c r="B332" s="7" t="s">
        <v>399</v>
      </c>
      <c r="C332" s="7" t="s">
        <v>1103</v>
      </c>
      <c r="D332" s="6" t="s">
        <v>1097</v>
      </c>
      <c r="E332" s="5" t="s">
        <v>620</v>
      </c>
      <c r="F332" s="7">
        <v>0</v>
      </c>
      <c r="G332" s="7">
        <v>0</v>
      </c>
      <c r="H332" s="7">
        <v>1</v>
      </c>
      <c r="I332" s="7">
        <v>0</v>
      </c>
      <c r="J332" s="7">
        <v>0</v>
      </c>
      <c r="K332" s="7">
        <v>1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1</v>
      </c>
      <c r="T332" s="7">
        <v>0</v>
      </c>
      <c r="U332" s="7">
        <v>1</v>
      </c>
      <c r="V332" s="7">
        <v>0</v>
      </c>
      <c r="W332" s="7">
        <v>1</v>
      </c>
      <c r="X332" s="7">
        <v>5</v>
      </c>
      <c r="Y332" s="8">
        <v>0.27777777777777779</v>
      </c>
      <c r="Z332" s="14" t="s">
        <v>1102</v>
      </c>
      <c r="AA332" s="7">
        <v>0</v>
      </c>
      <c r="AB332" s="7">
        <v>0</v>
      </c>
      <c r="AC332" s="7">
        <v>0</v>
      </c>
      <c r="AD332" s="7">
        <v>1</v>
      </c>
      <c r="AE332" s="7">
        <v>1</v>
      </c>
      <c r="AF332" s="7">
        <v>1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1</v>
      </c>
      <c r="AM332" s="7">
        <v>0</v>
      </c>
      <c r="AN332" s="7">
        <v>0</v>
      </c>
      <c r="AO332" s="7">
        <v>0</v>
      </c>
      <c r="AP332" s="7">
        <v>0</v>
      </c>
      <c r="AQ332" s="7">
        <v>1</v>
      </c>
      <c r="AR332" s="7">
        <v>0</v>
      </c>
      <c r="AS332" s="7">
        <v>5</v>
      </c>
      <c r="AT332" s="8">
        <v>0.27777777777777779</v>
      </c>
      <c r="AU332" s="14" t="s">
        <v>1102</v>
      </c>
      <c r="AV332" s="7">
        <v>10</v>
      </c>
      <c r="AW332" s="8">
        <v>0.27777777777777779</v>
      </c>
    </row>
    <row r="333" spans="1:49" ht="15.75" customHeight="1" x14ac:dyDescent="0.25">
      <c r="A333" s="5" t="s">
        <v>250</v>
      </c>
      <c r="B333" s="7" t="s">
        <v>399</v>
      </c>
      <c r="C333" s="7" t="s">
        <v>1103</v>
      </c>
      <c r="D333" s="6" t="s">
        <v>1097</v>
      </c>
      <c r="E333" s="5" t="s">
        <v>621</v>
      </c>
      <c r="F333" s="7">
        <v>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1</v>
      </c>
      <c r="N333" s="7">
        <v>0</v>
      </c>
      <c r="O333" s="7">
        <v>1</v>
      </c>
      <c r="P333" s="7">
        <v>1</v>
      </c>
      <c r="Q333" s="7">
        <v>1</v>
      </c>
      <c r="R333" s="7">
        <v>1</v>
      </c>
      <c r="S333" s="7">
        <v>1</v>
      </c>
      <c r="T333" s="7">
        <v>1</v>
      </c>
      <c r="U333" s="7">
        <v>1</v>
      </c>
      <c r="V333" s="7">
        <v>1</v>
      </c>
      <c r="W333" s="7">
        <v>1</v>
      </c>
      <c r="X333" s="7">
        <v>17</v>
      </c>
      <c r="Y333" s="8">
        <v>0.94444444444444442</v>
      </c>
      <c r="Z333" s="14" t="s">
        <v>1120</v>
      </c>
      <c r="AA333" s="7">
        <v>1</v>
      </c>
      <c r="AB333" s="7">
        <v>0</v>
      </c>
      <c r="AC333" s="7">
        <v>1</v>
      </c>
      <c r="AD333" s="7">
        <v>1</v>
      </c>
      <c r="AE333" s="7">
        <v>0</v>
      </c>
      <c r="AF333" s="7">
        <v>0</v>
      </c>
      <c r="AG333" s="7">
        <v>1</v>
      </c>
      <c r="AH333" s="7">
        <v>1</v>
      </c>
      <c r="AI333" s="7">
        <v>1</v>
      </c>
      <c r="AJ333" s="7">
        <v>1</v>
      </c>
      <c r="AK333" s="7">
        <v>1</v>
      </c>
      <c r="AL333" s="7">
        <v>1</v>
      </c>
      <c r="AM333" s="7">
        <v>0</v>
      </c>
      <c r="AN333" s="7">
        <v>0</v>
      </c>
      <c r="AO333" s="7">
        <v>1</v>
      </c>
      <c r="AP333" s="7">
        <v>1</v>
      </c>
      <c r="AQ333" s="7">
        <v>1</v>
      </c>
      <c r="AR333" s="7">
        <v>1</v>
      </c>
      <c r="AS333" s="7">
        <v>13</v>
      </c>
      <c r="AT333" s="8">
        <v>0.72222222222222232</v>
      </c>
      <c r="AU333" s="14" t="s">
        <v>1120</v>
      </c>
      <c r="AV333" s="7">
        <v>30</v>
      </c>
      <c r="AW333" s="8">
        <v>0.83333333333333326</v>
      </c>
    </row>
    <row r="334" spans="1:49" ht="15.75" customHeight="1" x14ac:dyDescent="0.25">
      <c r="A334" s="5" t="s">
        <v>250</v>
      </c>
      <c r="B334" s="7" t="s">
        <v>399</v>
      </c>
      <c r="C334" s="7" t="s">
        <v>1103</v>
      </c>
      <c r="D334" s="6" t="s">
        <v>1097</v>
      </c>
      <c r="E334" s="5" t="s">
        <v>622</v>
      </c>
      <c r="F334" s="7">
        <v>1</v>
      </c>
      <c r="G334" s="7">
        <v>1</v>
      </c>
      <c r="H334" s="7">
        <v>1</v>
      </c>
      <c r="I334" s="7">
        <v>0</v>
      </c>
      <c r="J334" s="7">
        <v>1</v>
      </c>
      <c r="K334" s="7">
        <v>1</v>
      </c>
      <c r="L334" s="7">
        <v>0</v>
      </c>
      <c r="M334" s="7">
        <v>0</v>
      </c>
      <c r="N334" s="7">
        <v>0</v>
      </c>
      <c r="O334" s="7">
        <v>1</v>
      </c>
      <c r="P334" s="7">
        <v>1</v>
      </c>
      <c r="Q334" s="7">
        <v>1</v>
      </c>
      <c r="R334" s="7">
        <v>1</v>
      </c>
      <c r="S334" s="7">
        <v>0</v>
      </c>
      <c r="T334" s="7">
        <v>1</v>
      </c>
      <c r="U334" s="7">
        <v>0</v>
      </c>
      <c r="V334" s="7">
        <v>0</v>
      </c>
      <c r="W334" s="7">
        <v>0</v>
      </c>
      <c r="X334" s="7">
        <v>10</v>
      </c>
      <c r="Y334" s="8">
        <v>0.55555555555555558</v>
      </c>
      <c r="Z334" s="14" t="s">
        <v>1119</v>
      </c>
      <c r="AA334" s="7">
        <v>0</v>
      </c>
      <c r="AB334" s="7">
        <v>1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1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1</v>
      </c>
      <c r="AR334" s="7">
        <v>1</v>
      </c>
      <c r="AS334" s="7">
        <v>4</v>
      </c>
      <c r="AT334" s="8">
        <v>0.22222222222222221</v>
      </c>
      <c r="AU334" s="14" t="s">
        <v>1102</v>
      </c>
      <c r="AV334" s="7">
        <v>14</v>
      </c>
      <c r="AW334" s="8">
        <v>0.38888888888888884</v>
      </c>
    </row>
    <row r="335" spans="1:49" ht="15.75" customHeight="1" x14ac:dyDescent="0.25">
      <c r="A335" s="5" t="s">
        <v>250</v>
      </c>
      <c r="B335" s="7" t="s">
        <v>399</v>
      </c>
      <c r="C335" s="7" t="s">
        <v>1104</v>
      </c>
      <c r="D335" s="6" t="s">
        <v>1097</v>
      </c>
      <c r="E335" s="5" t="s">
        <v>623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0</v>
      </c>
      <c r="N335" s="7">
        <v>0</v>
      </c>
      <c r="O335" s="7">
        <v>1</v>
      </c>
      <c r="P335" s="7">
        <v>1</v>
      </c>
      <c r="Q335" s="7">
        <v>1</v>
      </c>
      <c r="R335" s="7">
        <v>1</v>
      </c>
      <c r="S335" s="7">
        <v>1</v>
      </c>
      <c r="T335" s="7">
        <v>1</v>
      </c>
      <c r="U335" s="7">
        <v>1</v>
      </c>
      <c r="V335" s="7">
        <v>1</v>
      </c>
      <c r="W335" s="7">
        <v>1</v>
      </c>
      <c r="X335" s="7">
        <v>16</v>
      </c>
      <c r="Y335" s="8">
        <v>0.88888888888888884</v>
      </c>
      <c r="Z335" s="14" t="s">
        <v>1120</v>
      </c>
      <c r="AA335" s="7">
        <v>1</v>
      </c>
      <c r="AB335" s="7">
        <v>1</v>
      </c>
      <c r="AC335" s="7">
        <v>1</v>
      </c>
      <c r="AD335" s="7">
        <v>1</v>
      </c>
      <c r="AE335" s="7">
        <v>1</v>
      </c>
      <c r="AF335" s="7">
        <v>1</v>
      </c>
      <c r="AG335" s="7">
        <v>1</v>
      </c>
      <c r="AH335" s="7">
        <v>0</v>
      </c>
      <c r="AI335" s="7">
        <v>1</v>
      </c>
      <c r="AJ335" s="7">
        <v>1</v>
      </c>
      <c r="AK335" s="7">
        <v>1</v>
      </c>
      <c r="AL335" s="7">
        <v>1</v>
      </c>
      <c r="AM335" s="7">
        <v>0</v>
      </c>
      <c r="AN335" s="7">
        <v>0</v>
      </c>
      <c r="AO335" s="7">
        <v>1</v>
      </c>
      <c r="AP335" s="7">
        <v>1</v>
      </c>
      <c r="AQ335" s="7">
        <v>1</v>
      </c>
      <c r="AR335" s="7">
        <v>1</v>
      </c>
      <c r="AS335" s="7">
        <v>15</v>
      </c>
      <c r="AT335" s="8">
        <v>0.83333333333333326</v>
      </c>
      <c r="AU335" s="14" t="s">
        <v>1120</v>
      </c>
      <c r="AV335" s="7">
        <v>31</v>
      </c>
      <c r="AW335" s="8">
        <v>0.86111111111111116</v>
      </c>
    </row>
    <row r="336" spans="1:49" ht="15.75" customHeight="1" x14ac:dyDescent="0.25">
      <c r="A336" s="5" t="s">
        <v>250</v>
      </c>
      <c r="B336" s="7" t="s">
        <v>399</v>
      </c>
      <c r="C336" s="7" t="s">
        <v>1096</v>
      </c>
      <c r="D336" s="6" t="s">
        <v>1097</v>
      </c>
      <c r="E336" s="5" t="s">
        <v>624</v>
      </c>
      <c r="F336" s="7">
        <v>1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1</v>
      </c>
      <c r="N336" s="7">
        <v>0</v>
      </c>
      <c r="O336" s="7">
        <v>1</v>
      </c>
      <c r="P336" s="7">
        <v>1</v>
      </c>
      <c r="Q336" s="7">
        <v>1</v>
      </c>
      <c r="R336" s="7">
        <v>1</v>
      </c>
      <c r="S336" s="7">
        <v>1</v>
      </c>
      <c r="T336" s="7">
        <v>1</v>
      </c>
      <c r="U336" s="7">
        <v>1</v>
      </c>
      <c r="V336" s="7">
        <v>1</v>
      </c>
      <c r="W336" s="7">
        <v>1</v>
      </c>
      <c r="X336" s="7">
        <v>17</v>
      </c>
      <c r="Y336" s="8">
        <v>0.94444444444444442</v>
      </c>
      <c r="Z336" s="14" t="s">
        <v>1120</v>
      </c>
      <c r="AA336" s="7">
        <v>1</v>
      </c>
      <c r="AB336" s="7">
        <v>1</v>
      </c>
      <c r="AC336" s="7">
        <v>1</v>
      </c>
      <c r="AD336" s="7">
        <v>1</v>
      </c>
      <c r="AE336" s="7">
        <v>1</v>
      </c>
      <c r="AF336" s="7">
        <v>0</v>
      </c>
      <c r="AG336" s="7">
        <v>1</v>
      </c>
      <c r="AH336" s="7">
        <v>1</v>
      </c>
      <c r="AI336" s="7">
        <v>1</v>
      </c>
      <c r="AJ336" s="7">
        <v>1</v>
      </c>
      <c r="AK336" s="7">
        <v>1</v>
      </c>
      <c r="AL336" s="7">
        <v>0</v>
      </c>
      <c r="AM336" s="7">
        <v>0</v>
      </c>
      <c r="AN336" s="7">
        <v>1</v>
      </c>
      <c r="AO336" s="7">
        <v>1</v>
      </c>
      <c r="AP336" s="7">
        <v>1</v>
      </c>
      <c r="AQ336" s="7">
        <v>1</v>
      </c>
      <c r="AR336" s="7">
        <v>1</v>
      </c>
      <c r="AS336" s="7">
        <v>15</v>
      </c>
      <c r="AT336" s="8">
        <v>0.83333333333333326</v>
      </c>
      <c r="AU336" s="14" t="s">
        <v>1120</v>
      </c>
      <c r="AV336" s="7">
        <v>32</v>
      </c>
      <c r="AW336" s="8">
        <v>0.88888888888888884</v>
      </c>
    </row>
    <row r="337" spans="1:49" ht="15.75" customHeight="1" x14ac:dyDescent="0.25">
      <c r="A337" s="5" t="s">
        <v>250</v>
      </c>
      <c r="B337" s="7" t="s">
        <v>399</v>
      </c>
      <c r="C337" s="7" t="s">
        <v>1103</v>
      </c>
      <c r="D337" s="6" t="s">
        <v>1097</v>
      </c>
      <c r="E337" s="5" t="s">
        <v>625</v>
      </c>
      <c r="F337" s="7">
        <v>1</v>
      </c>
      <c r="G337" s="7">
        <v>1</v>
      </c>
      <c r="H337" s="7">
        <v>1</v>
      </c>
      <c r="I337" s="7">
        <v>1</v>
      </c>
      <c r="J337" s="7">
        <v>1</v>
      </c>
      <c r="K337" s="7">
        <v>0</v>
      </c>
      <c r="L337" s="7">
        <v>1</v>
      </c>
      <c r="M337" s="7">
        <v>0</v>
      </c>
      <c r="N337" s="7">
        <v>0</v>
      </c>
      <c r="O337" s="7">
        <v>1</v>
      </c>
      <c r="P337" s="7">
        <v>1</v>
      </c>
      <c r="Q337" s="7">
        <v>1</v>
      </c>
      <c r="R337" s="7">
        <v>0</v>
      </c>
      <c r="S337" s="7">
        <v>1</v>
      </c>
      <c r="T337" s="7">
        <v>1</v>
      </c>
      <c r="U337" s="7">
        <v>1</v>
      </c>
      <c r="V337" s="7">
        <v>0</v>
      </c>
      <c r="W337" s="7">
        <v>1</v>
      </c>
      <c r="X337" s="7">
        <v>13</v>
      </c>
      <c r="Y337" s="8">
        <v>0.72222222222222232</v>
      </c>
      <c r="Z337" s="14" t="s">
        <v>1120</v>
      </c>
      <c r="AA337" s="7">
        <v>1</v>
      </c>
      <c r="AB337" s="7">
        <v>1</v>
      </c>
      <c r="AC337" s="7">
        <v>0</v>
      </c>
      <c r="AD337" s="7">
        <v>0</v>
      </c>
      <c r="AE337" s="7">
        <v>1</v>
      </c>
      <c r="AF337" s="7">
        <v>1</v>
      </c>
      <c r="AG337" s="7">
        <v>0</v>
      </c>
      <c r="AH337" s="7">
        <v>1</v>
      </c>
      <c r="AI337" s="7">
        <v>1</v>
      </c>
      <c r="AJ337" s="7">
        <v>1</v>
      </c>
      <c r="AK337" s="7">
        <v>1</v>
      </c>
      <c r="AL337" s="7">
        <v>0</v>
      </c>
      <c r="AM337" s="7">
        <v>0</v>
      </c>
      <c r="AN337" s="7">
        <v>0</v>
      </c>
      <c r="AO337" s="7">
        <v>1</v>
      </c>
      <c r="AP337" s="7">
        <v>1</v>
      </c>
      <c r="AQ337" s="7">
        <v>1</v>
      </c>
      <c r="AR337" s="7">
        <v>1</v>
      </c>
      <c r="AS337" s="7">
        <v>12</v>
      </c>
      <c r="AT337" s="8">
        <v>0.66666666666666674</v>
      </c>
      <c r="AU337" s="14" t="s">
        <v>1119</v>
      </c>
      <c r="AV337" s="7">
        <v>25</v>
      </c>
      <c r="AW337" s="8">
        <v>0.69444444444444442</v>
      </c>
    </row>
    <row r="338" spans="1:49" ht="15.75" customHeight="1" x14ac:dyDescent="0.25">
      <c r="A338" s="5" t="s">
        <v>250</v>
      </c>
      <c r="B338" s="7" t="s">
        <v>399</v>
      </c>
      <c r="C338" s="7" t="s">
        <v>1103</v>
      </c>
      <c r="D338" s="6" t="s">
        <v>1097</v>
      </c>
      <c r="E338" s="5" t="s">
        <v>626</v>
      </c>
      <c r="F338" s="7">
        <v>1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0</v>
      </c>
      <c r="S338" s="7">
        <v>1</v>
      </c>
      <c r="T338" s="7">
        <v>1</v>
      </c>
      <c r="U338" s="7">
        <v>1</v>
      </c>
      <c r="V338" s="7">
        <v>1</v>
      </c>
      <c r="W338" s="7">
        <v>1</v>
      </c>
      <c r="X338" s="7">
        <v>17</v>
      </c>
      <c r="Y338" s="8">
        <v>0.94444444444444442</v>
      </c>
      <c r="Z338" s="14" t="s">
        <v>1120</v>
      </c>
      <c r="AA338" s="7">
        <v>1</v>
      </c>
      <c r="AB338" s="7">
        <v>1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1</v>
      </c>
      <c r="AL338" s="7">
        <v>0</v>
      </c>
      <c r="AM338" s="7">
        <v>1</v>
      </c>
      <c r="AN338" s="7">
        <v>0</v>
      </c>
      <c r="AO338" s="7">
        <v>1</v>
      </c>
      <c r="AP338" s="7">
        <v>1</v>
      </c>
      <c r="AQ338" s="7">
        <v>1</v>
      </c>
      <c r="AR338" s="7">
        <v>1</v>
      </c>
      <c r="AS338" s="7">
        <v>16</v>
      </c>
      <c r="AT338" s="8">
        <v>0.88888888888888884</v>
      </c>
      <c r="AU338" s="14" t="s">
        <v>1120</v>
      </c>
      <c r="AV338" s="7">
        <v>33</v>
      </c>
      <c r="AW338" s="8">
        <v>0.91666666666666674</v>
      </c>
    </row>
    <row r="339" spans="1:49" ht="15.75" customHeight="1" x14ac:dyDescent="0.25">
      <c r="A339" s="5" t="s">
        <v>250</v>
      </c>
      <c r="B339" s="7" t="s">
        <v>399</v>
      </c>
      <c r="C339" s="7" t="s">
        <v>1103</v>
      </c>
      <c r="D339" s="6" t="s">
        <v>1097</v>
      </c>
      <c r="E339" s="5" t="s">
        <v>627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  <c r="M339" s="7">
        <v>1</v>
      </c>
      <c r="N339" s="7">
        <v>0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  <c r="T339" s="7">
        <v>1</v>
      </c>
      <c r="U339" s="7">
        <v>1</v>
      </c>
      <c r="V339" s="7">
        <v>1</v>
      </c>
      <c r="W339" s="7">
        <v>1</v>
      </c>
      <c r="X339" s="7">
        <v>17</v>
      </c>
      <c r="Y339" s="8">
        <v>0.94444444444444442</v>
      </c>
      <c r="Z339" s="14" t="s">
        <v>1120</v>
      </c>
      <c r="AA339" s="7">
        <v>1</v>
      </c>
      <c r="AB339" s="7">
        <v>1</v>
      </c>
      <c r="AC339" s="7">
        <v>1</v>
      </c>
      <c r="AD339" s="7">
        <v>1</v>
      </c>
      <c r="AE339" s="7">
        <v>1</v>
      </c>
      <c r="AF339" s="7">
        <v>1</v>
      </c>
      <c r="AG339" s="7">
        <v>1</v>
      </c>
      <c r="AH339" s="7">
        <v>1</v>
      </c>
      <c r="AI339" s="7">
        <v>1</v>
      </c>
      <c r="AJ339" s="7">
        <v>1</v>
      </c>
      <c r="AK339" s="7">
        <v>1</v>
      </c>
      <c r="AL339" s="7">
        <v>1</v>
      </c>
      <c r="AM339" s="7">
        <v>1</v>
      </c>
      <c r="AN339" s="7">
        <v>1</v>
      </c>
      <c r="AO339" s="7">
        <v>1</v>
      </c>
      <c r="AP339" s="7">
        <v>1</v>
      </c>
      <c r="AQ339" s="7">
        <v>1</v>
      </c>
      <c r="AR339" s="7">
        <v>1</v>
      </c>
      <c r="AS339" s="7">
        <v>18</v>
      </c>
      <c r="AT339" s="8">
        <v>1</v>
      </c>
      <c r="AU339" s="14" t="s">
        <v>1120</v>
      </c>
      <c r="AV339" s="7">
        <v>35</v>
      </c>
      <c r="AW339" s="8">
        <v>0.97222222222222232</v>
      </c>
    </row>
    <row r="340" spans="1:49" ht="15.75" customHeight="1" x14ac:dyDescent="0.25">
      <c r="A340" s="5" t="s">
        <v>250</v>
      </c>
      <c r="B340" s="7" t="s">
        <v>399</v>
      </c>
      <c r="C340" s="7" t="s">
        <v>1103</v>
      </c>
      <c r="D340" s="6" t="s">
        <v>1097</v>
      </c>
      <c r="E340" s="5" t="s">
        <v>628</v>
      </c>
      <c r="F340" s="7">
        <v>1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1</v>
      </c>
      <c r="N340" s="7">
        <v>0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  <c r="T340" s="7">
        <v>1</v>
      </c>
      <c r="U340" s="7">
        <v>1</v>
      </c>
      <c r="V340" s="7">
        <v>1</v>
      </c>
      <c r="W340" s="7">
        <v>1</v>
      </c>
      <c r="X340" s="7">
        <v>17</v>
      </c>
      <c r="Y340" s="8">
        <v>0.94444444444444442</v>
      </c>
      <c r="Z340" s="14" t="s">
        <v>1120</v>
      </c>
      <c r="AA340" s="7">
        <v>1</v>
      </c>
      <c r="AB340" s="7">
        <v>1</v>
      </c>
      <c r="AC340" s="7">
        <v>1</v>
      </c>
      <c r="AD340" s="7">
        <v>0</v>
      </c>
      <c r="AE340" s="7">
        <v>1</v>
      </c>
      <c r="AF340" s="7">
        <v>0</v>
      </c>
      <c r="AG340" s="7">
        <v>1</v>
      </c>
      <c r="AH340" s="7">
        <v>1</v>
      </c>
      <c r="AI340" s="7">
        <v>1</v>
      </c>
      <c r="AJ340" s="7">
        <v>1</v>
      </c>
      <c r="AK340" s="7">
        <v>1</v>
      </c>
      <c r="AL340" s="7">
        <v>1</v>
      </c>
      <c r="AM340" s="7">
        <v>0</v>
      </c>
      <c r="AN340" s="7">
        <v>0</v>
      </c>
      <c r="AO340" s="7">
        <v>1</v>
      </c>
      <c r="AP340" s="7">
        <v>1</v>
      </c>
      <c r="AQ340" s="7">
        <v>1</v>
      </c>
      <c r="AR340" s="7">
        <v>1</v>
      </c>
      <c r="AS340" s="7">
        <v>14</v>
      </c>
      <c r="AT340" s="8">
        <v>0.77777777777777768</v>
      </c>
      <c r="AU340" s="14" t="s">
        <v>1120</v>
      </c>
      <c r="AV340" s="7">
        <v>31</v>
      </c>
      <c r="AW340" s="8">
        <v>0.86111111111111116</v>
      </c>
    </row>
    <row r="341" spans="1:49" ht="15.75" customHeight="1" x14ac:dyDescent="0.25">
      <c r="A341" s="5" t="s">
        <v>250</v>
      </c>
      <c r="B341" s="7" t="s">
        <v>399</v>
      </c>
      <c r="C341" s="7" t="s">
        <v>1103</v>
      </c>
      <c r="D341" s="6" t="s">
        <v>1097</v>
      </c>
      <c r="E341" s="5" t="s">
        <v>629</v>
      </c>
      <c r="F341" s="7">
        <v>1</v>
      </c>
      <c r="G341" s="7">
        <v>1</v>
      </c>
      <c r="H341" s="7">
        <v>1</v>
      </c>
      <c r="I341" s="7">
        <v>1</v>
      </c>
      <c r="J341" s="7">
        <v>1</v>
      </c>
      <c r="K341" s="7">
        <v>0</v>
      </c>
      <c r="L341" s="7">
        <v>1</v>
      </c>
      <c r="M341" s="7">
        <v>0</v>
      </c>
      <c r="N341" s="7">
        <v>0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  <c r="T341" s="7">
        <v>1</v>
      </c>
      <c r="U341" s="7">
        <v>1</v>
      </c>
      <c r="V341" s="7">
        <v>1</v>
      </c>
      <c r="W341" s="7">
        <v>0</v>
      </c>
      <c r="X341" s="7">
        <v>14</v>
      </c>
      <c r="Y341" s="8">
        <v>0.77777777777777768</v>
      </c>
      <c r="Z341" s="14" t="s">
        <v>1120</v>
      </c>
      <c r="AA341" s="7">
        <v>1</v>
      </c>
      <c r="AB341" s="7">
        <v>1</v>
      </c>
      <c r="AC341" s="7">
        <v>1</v>
      </c>
      <c r="AD341" s="7">
        <v>1</v>
      </c>
      <c r="AE341" s="7">
        <v>1</v>
      </c>
      <c r="AF341" s="7">
        <v>0</v>
      </c>
      <c r="AG341" s="7">
        <v>1</v>
      </c>
      <c r="AH341" s="7">
        <v>1</v>
      </c>
      <c r="AI341" s="7">
        <v>0</v>
      </c>
      <c r="AJ341" s="7">
        <v>1</v>
      </c>
      <c r="AK341" s="7">
        <v>1</v>
      </c>
      <c r="AL341" s="7">
        <v>0</v>
      </c>
      <c r="AM341" s="7">
        <v>0</v>
      </c>
      <c r="AN341" s="7">
        <v>0</v>
      </c>
      <c r="AO341" s="7">
        <v>1</v>
      </c>
      <c r="AP341" s="7">
        <v>1</v>
      </c>
      <c r="AQ341" s="7">
        <v>1</v>
      </c>
      <c r="AR341" s="7">
        <v>1</v>
      </c>
      <c r="AS341" s="7">
        <v>13</v>
      </c>
      <c r="AT341" s="8">
        <v>0.72222222222222232</v>
      </c>
      <c r="AU341" s="14" t="s">
        <v>1120</v>
      </c>
      <c r="AV341" s="7">
        <v>27</v>
      </c>
      <c r="AW341" s="8">
        <v>0.75</v>
      </c>
    </row>
    <row r="342" spans="1:49" ht="15.75" customHeight="1" x14ac:dyDescent="0.25">
      <c r="A342" s="5" t="s">
        <v>250</v>
      </c>
      <c r="B342" s="7" t="s">
        <v>442</v>
      </c>
      <c r="C342" s="7" t="s">
        <v>1096</v>
      </c>
      <c r="D342" s="6" t="s">
        <v>1097</v>
      </c>
      <c r="E342" s="5" t="s">
        <v>630</v>
      </c>
      <c r="F342" s="7">
        <v>1</v>
      </c>
      <c r="G342" s="7">
        <v>1</v>
      </c>
      <c r="H342" s="7">
        <v>0</v>
      </c>
      <c r="I342" s="7">
        <v>1</v>
      </c>
      <c r="J342" s="7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  <c r="T342" s="7">
        <v>0</v>
      </c>
      <c r="U342" s="7">
        <v>1</v>
      </c>
      <c r="V342" s="7">
        <v>1</v>
      </c>
      <c r="W342" s="7">
        <v>1</v>
      </c>
      <c r="X342" s="7">
        <v>16</v>
      </c>
      <c r="Y342" s="8">
        <v>0.88888888888888884</v>
      </c>
      <c r="Z342" s="14" t="s">
        <v>1120</v>
      </c>
      <c r="AA342" s="7">
        <v>1</v>
      </c>
      <c r="AB342" s="7">
        <v>1</v>
      </c>
      <c r="AC342" s="7">
        <v>1</v>
      </c>
      <c r="AD342" s="7">
        <v>1</v>
      </c>
      <c r="AE342" s="7">
        <v>0</v>
      </c>
      <c r="AF342" s="7">
        <v>0</v>
      </c>
      <c r="AG342" s="7">
        <v>1</v>
      </c>
      <c r="AH342" s="7">
        <v>0</v>
      </c>
      <c r="AI342" s="7">
        <v>0</v>
      </c>
      <c r="AJ342" s="7">
        <v>1</v>
      </c>
      <c r="AK342" s="7">
        <v>1</v>
      </c>
      <c r="AL342" s="7">
        <v>0</v>
      </c>
      <c r="AM342" s="7">
        <v>0</v>
      </c>
      <c r="AN342" s="7">
        <v>0</v>
      </c>
      <c r="AO342" s="7">
        <v>1</v>
      </c>
      <c r="AP342" s="7">
        <v>0</v>
      </c>
      <c r="AQ342" s="7">
        <v>1</v>
      </c>
      <c r="AR342" s="7">
        <v>1</v>
      </c>
      <c r="AS342" s="7">
        <v>10</v>
      </c>
      <c r="AT342" s="8">
        <v>0.55555555555555558</v>
      </c>
      <c r="AU342" s="14" t="s">
        <v>1119</v>
      </c>
      <c r="AV342" s="7">
        <v>26</v>
      </c>
      <c r="AW342" s="8">
        <v>0.72222222222222232</v>
      </c>
    </row>
    <row r="343" spans="1:49" ht="15.75" customHeight="1" x14ac:dyDescent="0.25">
      <c r="A343" s="5" t="s">
        <v>250</v>
      </c>
      <c r="B343" s="7" t="s">
        <v>442</v>
      </c>
      <c r="C343" s="7" t="s">
        <v>1103</v>
      </c>
      <c r="D343" s="6" t="s">
        <v>1097</v>
      </c>
      <c r="E343" s="5" t="s">
        <v>631</v>
      </c>
      <c r="F343" s="7">
        <v>1</v>
      </c>
      <c r="G343" s="7">
        <v>1</v>
      </c>
      <c r="H343" s="7">
        <v>0</v>
      </c>
      <c r="I343" s="7">
        <v>1</v>
      </c>
      <c r="J343" s="7">
        <v>1</v>
      </c>
      <c r="K343" s="7">
        <v>1</v>
      </c>
      <c r="L343" s="7">
        <v>0</v>
      </c>
      <c r="M343" s="7">
        <v>0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  <c r="T343" s="7">
        <v>1</v>
      </c>
      <c r="U343" s="7">
        <v>0</v>
      </c>
      <c r="V343" s="7">
        <v>1</v>
      </c>
      <c r="W343" s="7">
        <v>1</v>
      </c>
      <c r="X343" s="7">
        <v>14</v>
      </c>
      <c r="Y343" s="8">
        <v>0.77777777777777768</v>
      </c>
      <c r="Z343" s="14" t="s">
        <v>1120</v>
      </c>
      <c r="AA343" s="7">
        <v>1</v>
      </c>
      <c r="AB343" s="7">
        <v>1</v>
      </c>
      <c r="AC343" s="7">
        <v>0</v>
      </c>
      <c r="AD343" s="7">
        <v>1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1</v>
      </c>
      <c r="AK343" s="7">
        <v>1</v>
      </c>
      <c r="AL343" s="7">
        <v>1</v>
      </c>
      <c r="AM343" s="7">
        <v>0</v>
      </c>
      <c r="AN343" s="7">
        <v>0</v>
      </c>
      <c r="AO343" s="7">
        <v>1</v>
      </c>
      <c r="AP343" s="7">
        <v>1</v>
      </c>
      <c r="AQ343" s="7">
        <v>1</v>
      </c>
      <c r="AR343" s="7">
        <v>1</v>
      </c>
      <c r="AS343" s="7">
        <v>10</v>
      </c>
      <c r="AT343" s="8">
        <v>0.55555555555555558</v>
      </c>
      <c r="AU343" s="14" t="s">
        <v>1119</v>
      </c>
      <c r="AV343" s="7">
        <v>24</v>
      </c>
      <c r="AW343" s="8">
        <v>0.66666666666666674</v>
      </c>
    </row>
    <row r="344" spans="1:49" ht="15.75" customHeight="1" x14ac:dyDescent="0.25">
      <c r="A344" s="5" t="s">
        <v>250</v>
      </c>
      <c r="B344" s="7" t="s">
        <v>442</v>
      </c>
      <c r="C344" s="7" t="s">
        <v>1168</v>
      </c>
      <c r="D344" s="6" t="s">
        <v>1097</v>
      </c>
      <c r="E344" s="5" t="s">
        <v>632</v>
      </c>
      <c r="F344" s="7">
        <v>1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  <c r="T344" s="7">
        <v>1</v>
      </c>
      <c r="U344" s="7">
        <v>1</v>
      </c>
      <c r="V344" s="7">
        <v>1</v>
      </c>
      <c r="W344" s="7">
        <v>1</v>
      </c>
      <c r="X344" s="7">
        <v>18</v>
      </c>
      <c r="Y344" s="8">
        <v>1</v>
      </c>
      <c r="Z344" s="14" t="s">
        <v>1120</v>
      </c>
      <c r="AA344" s="7">
        <v>1</v>
      </c>
      <c r="AB344" s="7">
        <v>1</v>
      </c>
      <c r="AC344" s="7">
        <v>0</v>
      </c>
      <c r="AD344" s="7">
        <v>1</v>
      </c>
      <c r="AE344" s="7">
        <v>0</v>
      </c>
      <c r="AF344" s="7">
        <v>0</v>
      </c>
      <c r="AG344" s="7">
        <v>1</v>
      </c>
      <c r="AH344" s="7">
        <v>1</v>
      </c>
      <c r="AI344" s="7">
        <v>1</v>
      </c>
      <c r="AJ344" s="7">
        <v>1</v>
      </c>
      <c r="AK344" s="7">
        <v>1</v>
      </c>
      <c r="AL344" s="7">
        <v>0</v>
      </c>
      <c r="AM344" s="7">
        <v>0</v>
      </c>
      <c r="AN344" s="7">
        <v>1</v>
      </c>
      <c r="AO344" s="7">
        <v>1</v>
      </c>
      <c r="AP344" s="7">
        <v>1</v>
      </c>
      <c r="AQ344" s="7">
        <v>1</v>
      </c>
      <c r="AR344" s="7">
        <v>1</v>
      </c>
      <c r="AS344" s="7">
        <v>13</v>
      </c>
      <c r="AT344" s="8">
        <v>0.72222222222222232</v>
      </c>
      <c r="AU344" s="14" t="s">
        <v>1120</v>
      </c>
      <c r="AV344" s="7">
        <v>31</v>
      </c>
      <c r="AW344" s="8">
        <v>0.86111111111111116</v>
      </c>
    </row>
    <row r="345" spans="1:49" ht="15.75" customHeight="1" x14ac:dyDescent="0.25">
      <c r="A345" s="5" t="s">
        <v>250</v>
      </c>
      <c r="B345" s="7" t="s">
        <v>442</v>
      </c>
      <c r="C345" s="7" t="s">
        <v>1096</v>
      </c>
      <c r="D345" s="6" t="s">
        <v>1097</v>
      </c>
      <c r="E345" s="5" t="s">
        <v>633</v>
      </c>
      <c r="F345" s="7">
        <v>1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18</v>
      </c>
      <c r="Y345" s="8">
        <v>1</v>
      </c>
      <c r="Z345" s="14" t="s">
        <v>1120</v>
      </c>
      <c r="AA345" s="7">
        <v>1</v>
      </c>
      <c r="AB345" s="7">
        <v>1</v>
      </c>
      <c r="AC345" s="7">
        <v>0</v>
      </c>
      <c r="AD345" s="7">
        <v>1</v>
      </c>
      <c r="AE345" s="7">
        <v>0</v>
      </c>
      <c r="AF345" s="7">
        <v>1</v>
      </c>
      <c r="AG345" s="7">
        <v>1</v>
      </c>
      <c r="AH345" s="7">
        <v>1</v>
      </c>
      <c r="AI345" s="7">
        <v>1</v>
      </c>
      <c r="AJ345" s="7">
        <v>1</v>
      </c>
      <c r="AK345" s="7">
        <v>1</v>
      </c>
      <c r="AL345" s="7">
        <v>0</v>
      </c>
      <c r="AM345" s="7">
        <v>1</v>
      </c>
      <c r="AN345" s="7">
        <v>0</v>
      </c>
      <c r="AO345" s="7">
        <v>1</v>
      </c>
      <c r="AP345" s="7">
        <v>1</v>
      </c>
      <c r="AQ345" s="7">
        <v>1</v>
      </c>
      <c r="AR345" s="7">
        <v>1</v>
      </c>
      <c r="AS345" s="7">
        <v>14</v>
      </c>
      <c r="AT345" s="8">
        <v>0.77777777777777768</v>
      </c>
      <c r="AU345" s="14" t="s">
        <v>1120</v>
      </c>
      <c r="AV345" s="7">
        <v>32</v>
      </c>
      <c r="AW345" s="8">
        <v>0.88888888888888884</v>
      </c>
    </row>
    <row r="346" spans="1:49" ht="15.75" customHeight="1" x14ac:dyDescent="0.25">
      <c r="A346" s="5" t="s">
        <v>250</v>
      </c>
      <c r="B346" s="7" t="s">
        <v>442</v>
      </c>
      <c r="C346" s="7" t="s">
        <v>1103</v>
      </c>
      <c r="D346" s="6" t="s">
        <v>1097</v>
      </c>
      <c r="E346" s="5" t="s">
        <v>634</v>
      </c>
      <c r="F346" s="7">
        <v>1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0</v>
      </c>
      <c r="N346" s="7">
        <v>0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  <c r="T346" s="7">
        <v>1</v>
      </c>
      <c r="U346" s="7">
        <v>1</v>
      </c>
      <c r="V346" s="7">
        <v>1</v>
      </c>
      <c r="W346" s="7">
        <v>1</v>
      </c>
      <c r="X346" s="7">
        <v>18</v>
      </c>
      <c r="Y346" s="8">
        <v>1</v>
      </c>
      <c r="Z346" s="14" t="s">
        <v>1120</v>
      </c>
      <c r="AA346" s="7">
        <v>1</v>
      </c>
      <c r="AB346" s="7">
        <v>1</v>
      </c>
      <c r="AC346" s="7">
        <v>1</v>
      </c>
      <c r="AD346" s="7">
        <v>1</v>
      </c>
      <c r="AE346" s="7">
        <v>1</v>
      </c>
      <c r="AF346" s="7">
        <v>0</v>
      </c>
      <c r="AG346" s="7">
        <v>1</v>
      </c>
      <c r="AH346" s="7">
        <v>1</v>
      </c>
      <c r="AI346" s="7">
        <v>1</v>
      </c>
      <c r="AJ346" s="7">
        <v>1</v>
      </c>
      <c r="AK346" s="7">
        <v>1</v>
      </c>
      <c r="AL346" s="7">
        <v>1</v>
      </c>
      <c r="AM346" s="7">
        <v>0</v>
      </c>
      <c r="AN346" s="7">
        <v>0</v>
      </c>
      <c r="AO346" s="7">
        <v>1</v>
      </c>
      <c r="AP346" s="7">
        <v>1</v>
      </c>
      <c r="AQ346" s="7">
        <v>1</v>
      </c>
      <c r="AR346" s="7">
        <v>1</v>
      </c>
      <c r="AS346" s="7">
        <v>15</v>
      </c>
      <c r="AT346" s="8">
        <v>0.83333333333333326</v>
      </c>
      <c r="AU346" s="14" t="s">
        <v>1120</v>
      </c>
      <c r="AV346" s="7">
        <v>31</v>
      </c>
      <c r="AW346" s="8">
        <v>0.86111111111111116</v>
      </c>
    </row>
    <row r="347" spans="1:49" ht="15.75" customHeight="1" x14ac:dyDescent="0.25">
      <c r="A347" s="5" t="s">
        <v>250</v>
      </c>
      <c r="B347" s="7" t="s">
        <v>442</v>
      </c>
      <c r="C347" s="7" t="s">
        <v>1103</v>
      </c>
      <c r="D347" s="6" t="s">
        <v>1097</v>
      </c>
      <c r="E347" s="5" t="s">
        <v>635</v>
      </c>
      <c r="F347" s="7">
        <v>1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0</v>
      </c>
      <c r="N347" s="7">
        <v>1</v>
      </c>
      <c r="O347" s="7">
        <v>1</v>
      </c>
      <c r="P347" s="7">
        <v>1</v>
      </c>
      <c r="Q347" s="7">
        <v>1</v>
      </c>
      <c r="R347" s="7">
        <v>0</v>
      </c>
      <c r="S347" s="7">
        <v>1</v>
      </c>
      <c r="T347" s="7">
        <v>1</v>
      </c>
      <c r="U347" s="7">
        <v>1</v>
      </c>
      <c r="V347" s="7">
        <v>1</v>
      </c>
      <c r="W347" s="7">
        <v>0</v>
      </c>
      <c r="X347" s="7">
        <v>15</v>
      </c>
      <c r="Y347" s="8">
        <v>0.83333333333333326</v>
      </c>
      <c r="Z347" s="14" t="s">
        <v>1120</v>
      </c>
      <c r="AA347" s="7">
        <v>1</v>
      </c>
      <c r="AB347" s="7">
        <v>1</v>
      </c>
      <c r="AC347" s="7">
        <v>1</v>
      </c>
      <c r="AD347" s="7">
        <v>1</v>
      </c>
      <c r="AE347" s="7">
        <v>0</v>
      </c>
      <c r="AF347" s="7">
        <v>0</v>
      </c>
      <c r="AG347" s="7">
        <v>1</v>
      </c>
      <c r="AH347" s="7">
        <v>1</v>
      </c>
      <c r="AI347" s="7">
        <v>1</v>
      </c>
      <c r="AJ347" s="7">
        <v>1</v>
      </c>
      <c r="AK347" s="7">
        <v>1</v>
      </c>
      <c r="AL347" s="7">
        <v>1</v>
      </c>
      <c r="AM347" s="7">
        <v>0</v>
      </c>
      <c r="AN347" s="7">
        <v>1</v>
      </c>
      <c r="AO347" s="7">
        <v>1</v>
      </c>
      <c r="AP347" s="7">
        <v>1</v>
      </c>
      <c r="AQ347" s="7">
        <v>1</v>
      </c>
      <c r="AR347" s="7">
        <v>1</v>
      </c>
      <c r="AS347" s="7">
        <v>15</v>
      </c>
      <c r="AT347" s="8">
        <v>0.83333333333333326</v>
      </c>
      <c r="AU347" s="14" t="s">
        <v>1120</v>
      </c>
      <c r="AV347" s="7">
        <v>30</v>
      </c>
      <c r="AW347" s="8">
        <v>0.83333333333333326</v>
      </c>
    </row>
    <row r="348" spans="1:49" ht="15.75" customHeight="1" x14ac:dyDescent="0.25">
      <c r="A348" s="5" t="s">
        <v>250</v>
      </c>
      <c r="B348" s="7" t="s">
        <v>442</v>
      </c>
      <c r="C348" s="7" t="s">
        <v>1096</v>
      </c>
      <c r="D348" s="6" t="s">
        <v>1097</v>
      </c>
      <c r="E348" s="5" t="s">
        <v>636</v>
      </c>
      <c r="F348" s="7">
        <v>1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0</v>
      </c>
      <c r="N348" s="7">
        <v>0</v>
      </c>
      <c r="O348" s="7">
        <v>1</v>
      </c>
      <c r="P348" s="7">
        <v>1</v>
      </c>
      <c r="Q348" s="7">
        <v>1</v>
      </c>
      <c r="R348" s="7">
        <v>0</v>
      </c>
      <c r="S348" s="7">
        <v>0</v>
      </c>
      <c r="T348" s="7">
        <v>1</v>
      </c>
      <c r="U348" s="7">
        <v>0</v>
      </c>
      <c r="V348" s="7">
        <v>1</v>
      </c>
      <c r="W348" s="7">
        <v>1</v>
      </c>
      <c r="X348" s="7">
        <v>13</v>
      </c>
      <c r="Y348" s="8">
        <v>0.72222222222222232</v>
      </c>
      <c r="Z348" s="14" t="s">
        <v>1120</v>
      </c>
      <c r="AA348" s="7">
        <v>1</v>
      </c>
      <c r="AB348" s="7">
        <v>0</v>
      </c>
      <c r="AC348" s="7">
        <v>1</v>
      </c>
      <c r="AD348" s="7">
        <v>1</v>
      </c>
      <c r="AE348" s="7">
        <v>1</v>
      </c>
      <c r="AF348" s="7">
        <v>1</v>
      </c>
      <c r="AG348" s="7">
        <v>1</v>
      </c>
      <c r="AH348" s="7">
        <v>1</v>
      </c>
      <c r="AI348" s="7">
        <v>1</v>
      </c>
      <c r="AJ348" s="7">
        <v>1</v>
      </c>
      <c r="AK348" s="7">
        <v>1</v>
      </c>
      <c r="AL348" s="7">
        <v>1</v>
      </c>
      <c r="AM348" s="7">
        <v>1</v>
      </c>
      <c r="AN348" s="7">
        <v>0</v>
      </c>
      <c r="AO348" s="7">
        <v>1</v>
      </c>
      <c r="AP348" s="7">
        <v>1</v>
      </c>
      <c r="AQ348" s="7">
        <v>1</v>
      </c>
      <c r="AR348" s="7">
        <v>1</v>
      </c>
      <c r="AS348" s="7">
        <v>16</v>
      </c>
      <c r="AT348" s="8">
        <v>0.88888888888888884</v>
      </c>
      <c r="AU348" s="14" t="s">
        <v>1120</v>
      </c>
      <c r="AV348" s="7">
        <v>29</v>
      </c>
      <c r="AW348" s="8">
        <v>0.80555555555555558</v>
      </c>
    </row>
    <row r="349" spans="1:49" ht="15.75" customHeight="1" x14ac:dyDescent="0.25">
      <c r="A349" s="5" t="s">
        <v>250</v>
      </c>
      <c r="B349" s="7" t="s">
        <v>442</v>
      </c>
      <c r="C349" s="7" t="s">
        <v>1096</v>
      </c>
      <c r="D349" s="6" t="s">
        <v>1097</v>
      </c>
      <c r="E349" s="5" t="s">
        <v>637</v>
      </c>
      <c r="F349" s="7">
        <v>1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0</v>
      </c>
      <c r="N349" s="7">
        <v>1</v>
      </c>
      <c r="O349" s="7">
        <v>1</v>
      </c>
      <c r="P349" s="7">
        <v>1</v>
      </c>
      <c r="Q349" s="7">
        <v>1</v>
      </c>
      <c r="R349" s="7">
        <v>0</v>
      </c>
      <c r="S349" s="7">
        <v>1</v>
      </c>
      <c r="T349" s="7">
        <v>1</v>
      </c>
      <c r="U349" s="7">
        <v>1</v>
      </c>
      <c r="V349" s="7">
        <v>1</v>
      </c>
      <c r="W349" s="7">
        <v>1</v>
      </c>
      <c r="X349" s="7">
        <v>16</v>
      </c>
      <c r="Y349" s="8">
        <v>0.88888888888888884</v>
      </c>
      <c r="Z349" s="14" t="s">
        <v>1120</v>
      </c>
      <c r="AA349" s="7">
        <v>1</v>
      </c>
      <c r="AB349" s="7">
        <v>1</v>
      </c>
      <c r="AC349" s="7">
        <v>0</v>
      </c>
      <c r="AD349" s="7">
        <v>1</v>
      </c>
      <c r="AE349" s="7">
        <v>0</v>
      </c>
      <c r="AF349" s="7">
        <v>0</v>
      </c>
      <c r="AG349" s="7">
        <v>1</v>
      </c>
      <c r="AH349" s="7">
        <v>0</v>
      </c>
      <c r="AI349" s="7">
        <v>1</v>
      </c>
      <c r="AJ349" s="7">
        <v>1</v>
      </c>
      <c r="AK349" s="7">
        <v>1</v>
      </c>
      <c r="AL349" s="7">
        <v>1</v>
      </c>
      <c r="AM349" s="7">
        <v>1</v>
      </c>
      <c r="AN349" s="7">
        <v>0</v>
      </c>
      <c r="AO349" s="7">
        <v>0</v>
      </c>
      <c r="AP349" s="7">
        <v>1</v>
      </c>
      <c r="AQ349" s="7">
        <v>1</v>
      </c>
      <c r="AR349" s="7">
        <v>0</v>
      </c>
      <c r="AS349" s="7">
        <v>18</v>
      </c>
      <c r="AT349" s="8">
        <v>1</v>
      </c>
      <c r="AU349" s="14" t="s">
        <v>1120</v>
      </c>
      <c r="AV349" s="7">
        <v>27</v>
      </c>
      <c r="AW349" s="8">
        <v>0.75</v>
      </c>
    </row>
    <row r="350" spans="1:49" ht="15.75" customHeight="1" x14ac:dyDescent="0.25">
      <c r="A350" s="5" t="s">
        <v>250</v>
      </c>
      <c r="B350" s="7" t="s">
        <v>442</v>
      </c>
      <c r="C350" s="7" t="s">
        <v>1103</v>
      </c>
      <c r="D350" s="6" t="s">
        <v>1097</v>
      </c>
      <c r="E350" s="5" t="s">
        <v>638</v>
      </c>
      <c r="F350" s="7">
        <v>1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0</v>
      </c>
      <c r="N350" s="7">
        <v>0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  <c r="T350" s="7">
        <v>1</v>
      </c>
      <c r="U350" s="7">
        <v>1</v>
      </c>
      <c r="V350" s="7">
        <v>1</v>
      </c>
      <c r="W350" s="7">
        <v>1</v>
      </c>
      <c r="X350" s="7">
        <v>16</v>
      </c>
      <c r="Y350" s="8">
        <v>0.88888888888888884</v>
      </c>
      <c r="Z350" s="14" t="s">
        <v>1120</v>
      </c>
      <c r="AA350" s="7">
        <v>1</v>
      </c>
      <c r="AB350" s="7">
        <v>1</v>
      </c>
      <c r="AC350" s="7">
        <v>1</v>
      </c>
      <c r="AD350" s="7">
        <v>0</v>
      </c>
      <c r="AE350" s="7">
        <v>1</v>
      </c>
      <c r="AF350" s="7">
        <v>1</v>
      </c>
      <c r="AG350" s="7">
        <v>1</v>
      </c>
      <c r="AH350" s="7">
        <v>1</v>
      </c>
      <c r="AI350" s="7">
        <v>1</v>
      </c>
      <c r="AJ350" s="7">
        <v>1</v>
      </c>
      <c r="AK350" s="7">
        <v>1</v>
      </c>
      <c r="AL350" s="7">
        <v>1</v>
      </c>
      <c r="AM350" s="7">
        <v>1</v>
      </c>
      <c r="AN350" s="7">
        <v>1</v>
      </c>
      <c r="AO350" s="7">
        <v>1</v>
      </c>
      <c r="AP350" s="7">
        <v>1</v>
      </c>
      <c r="AQ350" s="7">
        <v>1</v>
      </c>
      <c r="AR350" s="7">
        <v>1</v>
      </c>
      <c r="AS350" s="7">
        <v>17</v>
      </c>
      <c r="AT350" s="8">
        <v>0.94444444444444442</v>
      </c>
      <c r="AU350" s="14" t="s">
        <v>1120</v>
      </c>
      <c r="AV350" s="7">
        <v>33</v>
      </c>
      <c r="AW350" s="8">
        <v>0.91666666666666674</v>
      </c>
    </row>
    <row r="351" spans="1:49" ht="15.75" customHeight="1" x14ac:dyDescent="0.25">
      <c r="A351" s="5" t="s">
        <v>250</v>
      </c>
      <c r="B351" s="7" t="s">
        <v>442</v>
      </c>
      <c r="C351" s="7" t="s">
        <v>1103</v>
      </c>
      <c r="D351" s="6" t="s">
        <v>1097</v>
      </c>
      <c r="E351" s="5" t="s">
        <v>639</v>
      </c>
      <c r="F351" s="7">
        <v>0</v>
      </c>
      <c r="G351" s="7">
        <v>1</v>
      </c>
      <c r="H351" s="7">
        <v>0</v>
      </c>
      <c r="I351" s="7">
        <v>1</v>
      </c>
      <c r="J351" s="7">
        <v>1</v>
      </c>
      <c r="K351" s="7">
        <v>0</v>
      </c>
      <c r="L351" s="7">
        <v>0</v>
      </c>
      <c r="M351" s="7">
        <v>1</v>
      </c>
      <c r="N351" s="7">
        <v>1</v>
      </c>
      <c r="O351" s="7">
        <v>0</v>
      </c>
      <c r="P351" s="7">
        <v>0</v>
      </c>
      <c r="Q351" s="7">
        <v>0</v>
      </c>
      <c r="R351" s="7">
        <v>1</v>
      </c>
      <c r="S351" s="7">
        <v>0</v>
      </c>
      <c r="T351" s="7">
        <v>0</v>
      </c>
      <c r="U351" s="7">
        <v>0</v>
      </c>
      <c r="V351" s="7">
        <v>1</v>
      </c>
      <c r="W351" s="7">
        <v>1</v>
      </c>
      <c r="X351" s="7">
        <v>8</v>
      </c>
      <c r="Y351" s="8">
        <v>0.44444444444444442</v>
      </c>
      <c r="Z351" s="14" t="s">
        <v>1119</v>
      </c>
      <c r="AA351" s="7">
        <v>1</v>
      </c>
      <c r="AB351" s="7">
        <v>0</v>
      </c>
      <c r="AC351" s="7">
        <v>1</v>
      </c>
      <c r="AD351" s="7">
        <v>0</v>
      </c>
      <c r="AE351" s="7">
        <v>0</v>
      </c>
      <c r="AF351" s="7">
        <v>1</v>
      </c>
      <c r="AG351" s="7">
        <v>0</v>
      </c>
      <c r="AH351" s="7">
        <v>1</v>
      </c>
      <c r="AI351" s="7">
        <v>0</v>
      </c>
      <c r="AJ351" s="7">
        <v>0</v>
      </c>
      <c r="AK351" s="7">
        <v>0</v>
      </c>
      <c r="AL351" s="7">
        <v>1</v>
      </c>
      <c r="AM351" s="7">
        <v>0</v>
      </c>
      <c r="AN351" s="7">
        <v>1</v>
      </c>
      <c r="AO351" s="7">
        <v>0</v>
      </c>
      <c r="AP351" s="7">
        <v>0</v>
      </c>
      <c r="AQ351" s="7">
        <v>1</v>
      </c>
      <c r="AR351" s="7">
        <v>0</v>
      </c>
      <c r="AS351" s="7">
        <v>7</v>
      </c>
      <c r="AT351" s="8">
        <v>0.38888888888888884</v>
      </c>
      <c r="AU351" s="14" t="s">
        <v>1102</v>
      </c>
      <c r="AV351" s="7">
        <v>15</v>
      </c>
      <c r="AW351" s="8">
        <v>0.41666666666666663</v>
      </c>
    </row>
    <row r="352" spans="1:49" ht="15.75" customHeight="1" x14ac:dyDescent="0.25">
      <c r="A352" s="5" t="s">
        <v>250</v>
      </c>
      <c r="B352" s="7" t="s">
        <v>442</v>
      </c>
      <c r="C352" s="6" t="s">
        <v>1099</v>
      </c>
      <c r="D352" s="6" t="s">
        <v>1100</v>
      </c>
      <c r="E352" s="5" t="s">
        <v>1179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8">
        <v>0</v>
      </c>
      <c r="Z352" s="14" t="s">
        <v>1102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8">
        <v>0</v>
      </c>
      <c r="AU352" s="14" t="s">
        <v>1102</v>
      </c>
      <c r="AV352" s="7">
        <v>0</v>
      </c>
      <c r="AW352" s="8">
        <v>0</v>
      </c>
    </row>
    <row r="353" spans="1:49" ht="15.75" customHeight="1" x14ac:dyDescent="0.25">
      <c r="A353" s="5" t="s">
        <v>250</v>
      </c>
      <c r="B353" s="7" t="s">
        <v>442</v>
      </c>
      <c r="C353" s="7" t="s">
        <v>1103</v>
      </c>
      <c r="D353" s="6" t="s">
        <v>1097</v>
      </c>
      <c r="E353" s="5" t="s">
        <v>640</v>
      </c>
      <c r="F353" s="7">
        <v>1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0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  <c r="T353" s="7">
        <v>1</v>
      </c>
      <c r="U353" s="7">
        <v>1</v>
      </c>
      <c r="V353" s="7">
        <v>1</v>
      </c>
      <c r="W353" s="7">
        <v>1</v>
      </c>
      <c r="X353" s="7">
        <v>17</v>
      </c>
      <c r="Y353" s="8">
        <v>0.94444444444444442</v>
      </c>
      <c r="Z353" s="14" t="s">
        <v>1120</v>
      </c>
      <c r="AA353" s="7">
        <v>1</v>
      </c>
      <c r="AB353" s="7">
        <v>1</v>
      </c>
      <c r="AC353" s="7">
        <v>1</v>
      </c>
      <c r="AD353" s="7">
        <v>1</v>
      </c>
      <c r="AE353" s="7">
        <v>0</v>
      </c>
      <c r="AF353" s="7">
        <v>0</v>
      </c>
      <c r="AG353" s="7">
        <v>1</v>
      </c>
      <c r="AH353" s="7">
        <v>1</v>
      </c>
      <c r="AI353" s="7">
        <v>0</v>
      </c>
      <c r="AJ353" s="7">
        <v>1</v>
      </c>
      <c r="AK353" s="7">
        <v>0</v>
      </c>
      <c r="AL353" s="7">
        <v>1</v>
      </c>
      <c r="AM353" s="7">
        <v>0</v>
      </c>
      <c r="AN353" s="7">
        <v>1</v>
      </c>
      <c r="AO353" s="7">
        <v>1</v>
      </c>
      <c r="AP353" s="7">
        <v>1</v>
      </c>
      <c r="AQ353" s="7">
        <v>1</v>
      </c>
      <c r="AR353" s="7">
        <v>1</v>
      </c>
      <c r="AS353" s="7">
        <v>13</v>
      </c>
      <c r="AT353" s="8">
        <v>0.72222222222222232</v>
      </c>
      <c r="AU353" s="14" t="s">
        <v>1120</v>
      </c>
      <c r="AV353" s="7">
        <v>30</v>
      </c>
      <c r="AW353" s="8">
        <v>0.83333333333333326</v>
      </c>
    </row>
    <row r="354" spans="1:49" ht="15.75" customHeight="1" x14ac:dyDescent="0.25">
      <c r="A354" s="5" t="s">
        <v>250</v>
      </c>
      <c r="B354" s="7" t="s">
        <v>442</v>
      </c>
      <c r="C354" s="7" t="s">
        <v>1103</v>
      </c>
      <c r="D354" s="6" t="s">
        <v>1097</v>
      </c>
      <c r="E354" s="5" t="s">
        <v>641</v>
      </c>
      <c r="F354" s="7">
        <v>1</v>
      </c>
      <c r="G354" s="7">
        <v>1</v>
      </c>
      <c r="H354" s="7">
        <v>0</v>
      </c>
      <c r="I354" s="7">
        <v>1</v>
      </c>
      <c r="J354" s="7">
        <v>1</v>
      </c>
      <c r="K354" s="7">
        <v>1</v>
      </c>
      <c r="L354" s="7">
        <v>1</v>
      </c>
      <c r="M354" s="7">
        <v>0</v>
      </c>
      <c r="N354" s="7">
        <v>0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  <c r="T354" s="7">
        <v>1</v>
      </c>
      <c r="U354" s="7">
        <v>1</v>
      </c>
      <c r="V354" s="7">
        <v>1</v>
      </c>
      <c r="W354" s="7">
        <v>1</v>
      </c>
      <c r="X354" s="7">
        <v>15</v>
      </c>
      <c r="Y354" s="8">
        <v>0.83333333333333326</v>
      </c>
      <c r="Z354" s="14" t="s">
        <v>1120</v>
      </c>
      <c r="AA354" s="7">
        <v>1</v>
      </c>
      <c r="AB354" s="7">
        <v>1</v>
      </c>
      <c r="AC354" s="7">
        <v>0</v>
      </c>
      <c r="AD354" s="7">
        <v>1</v>
      </c>
      <c r="AE354" s="7">
        <v>0</v>
      </c>
      <c r="AF354" s="7">
        <v>0</v>
      </c>
      <c r="AG354" s="7">
        <v>1</v>
      </c>
      <c r="AH354" s="7">
        <v>1</v>
      </c>
      <c r="AI354" s="7">
        <v>0</v>
      </c>
      <c r="AJ354" s="7">
        <v>1</v>
      </c>
      <c r="AK354" s="7">
        <v>1</v>
      </c>
      <c r="AL354" s="7">
        <v>0</v>
      </c>
      <c r="AM354" s="7">
        <v>0</v>
      </c>
      <c r="AN354" s="7">
        <v>0</v>
      </c>
      <c r="AO354" s="7">
        <v>1</v>
      </c>
      <c r="AP354" s="7">
        <v>1</v>
      </c>
      <c r="AQ354" s="7">
        <v>1</v>
      </c>
      <c r="AR354" s="7">
        <v>1</v>
      </c>
      <c r="AS354" s="7">
        <v>11</v>
      </c>
      <c r="AT354" s="8">
        <v>0.61111111111111116</v>
      </c>
      <c r="AU354" s="14" t="s">
        <v>1119</v>
      </c>
      <c r="AV354" s="7">
        <v>26</v>
      </c>
      <c r="AW354" s="8">
        <v>0.72222222222222232</v>
      </c>
    </row>
    <row r="355" spans="1:49" ht="15.75" customHeight="1" x14ac:dyDescent="0.25">
      <c r="A355" s="5" t="s">
        <v>250</v>
      </c>
      <c r="B355" s="7" t="s">
        <v>442</v>
      </c>
      <c r="C355" s="7" t="s">
        <v>1096</v>
      </c>
      <c r="D355" s="6" t="s">
        <v>1097</v>
      </c>
      <c r="E355" s="5" t="s">
        <v>642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18</v>
      </c>
      <c r="Y355" s="8">
        <v>1</v>
      </c>
      <c r="Z355" s="14" t="s">
        <v>1120</v>
      </c>
      <c r="AA355" s="7">
        <v>1</v>
      </c>
      <c r="AB355" s="7">
        <v>1</v>
      </c>
      <c r="AC355" s="7">
        <v>1</v>
      </c>
      <c r="AD355" s="7">
        <v>1</v>
      </c>
      <c r="AE355" s="7">
        <v>1</v>
      </c>
      <c r="AF355" s="7">
        <v>1</v>
      </c>
      <c r="AG355" s="7">
        <v>1</v>
      </c>
      <c r="AH355" s="7">
        <v>1</v>
      </c>
      <c r="AI355" s="7">
        <v>1</v>
      </c>
      <c r="AJ355" s="7">
        <v>1</v>
      </c>
      <c r="AK355" s="7">
        <v>1</v>
      </c>
      <c r="AL355" s="7">
        <v>1</v>
      </c>
      <c r="AM355" s="7">
        <v>0</v>
      </c>
      <c r="AN355" s="7">
        <v>1</v>
      </c>
      <c r="AO355" s="7">
        <v>1</v>
      </c>
      <c r="AP355" s="7">
        <v>1</v>
      </c>
      <c r="AQ355" s="7">
        <v>1</v>
      </c>
      <c r="AR355" s="7">
        <v>1</v>
      </c>
      <c r="AS355" s="7">
        <v>17</v>
      </c>
      <c r="AT355" s="8">
        <v>0.94444444444444442</v>
      </c>
      <c r="AU355" s="14" t="s">
        <v>1120</v>
      </c>
      <c r="AV355" s="7">
        <v>35</v>
      </c>
      <c r="AW355" s="8">
        <v>0.97222222222222232</v>
      </c>
    </row>
    <row r="356" spans="1:49" ht="15.75" customHeight="1" x14ac:dyDescent="0.25">
      <c r="A356" s="5" t="s">
        <v>250</v>
      </c>
      <c r="B356" s="7" t="s">
        <v>442</v>
      </c>
      <c r="C356" s="7" t="s">
        <v>1096</v>
      </c>
      <c r="D356" s="6" t="s">
        <v>1097</v>
      </c>
      <c r="E356" s="5" t="s">
        <v>643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  <c r="T356" s="7">
        <v>1</v>
      </c>
      <c r="U356" s="7">
        <v>1</v>
      </c>
      <c r="V356" s="7">
        <v>1</v>
      </c>
      <c r="W356" s="7">
        <v>1</v>
      </c>
      <c r="X356" s="7">
        <v>18</v>
      </c>
      <c r="Y356" s="8">
        <v>1</v>
      </c>
      <c r="Z356" s="14" t="s">
        <v>1120</v>
      </c>
      <c r="AA356" s="7">
        <v>1</v>
      </c>
      <c r="AB356" s="7">
        <v>1</v>
      </c>
      <c r="AC356" s="7">
        <v>1</v>
      </c>
      <c r="AD356" s="7">
        <v>0</v>
      </c>
      <c r="AE356" s="7">
        <v>1</v>
      </c>
      <c r="AF356" s="7">
        <v>1</v>
      </c>
      <c r="AG356" s="7">
        <v>1</v>
      </c>
      <c r="AH356" s="7">
        <v>1</v>
      </c>
      <c r="AI356" s="7">
        <v>1</v>
      </c>
      <c r="AJ356" s="7">
        <v>1</v>
      </c>
      <c r="AK356" s="7">
        <v>1</v>
      </c>
      <c r="AL356" s="7">
        <v>1</v>
      </c>
      <c r="AM356" s="7">
        <v>0</v>
      </c>
      <c r="AN356" s="7">
        <v>1</v>
      </c>
      <c r="AO356" s="7">
        <v>1</v>
      </c>
      <c r="AP356" s="7">
        <v>1</v>
      </c>
      <c r="AQ356" s="7">
        <v>1</v>
      </c>
      <c r="AR356" s="7">
        <v>1</v>
      </c>
      <c r="AS356" s="7">
        <v>16</v>
      </c>
      <c r="AT356" s="8">
        <v>0.88888888888888884</v>
      </c>
      <c r="AU356" s="14" t="s">
        <v>1120</v>
      </c>
      <c r="AV356" s="7">
        <v>34</v>
      </c>
      <c r="AW356" s="8">
        <v>0.94444444444444442</v>
      </c>
    </row>
    <row r="357" spans="1:49" ht="15.75" customHeight="1" x14ac:dyDescent="0.25">
      <c r="A357" s="5" t="s">
        <v>250</v>
      </c>
      <c r="B357" s="7" t="s">
        <v>442</v>
      </c>
      <c r="C357" s="7" t="s">
        <v>1096</v>
      </c>
      <c r="D357" s="6" t="s">
        <v>1097</v>
      </c>
      <c r="E357" s="5" t="s">
        <v>644</v>
      </c>
      <c r="F357" s="7">
        <v>1</v>
      </c>
      <c r="G357" s="7">
        <v>1</v>
      </c>
      <c r="H357" s="7">
        <v>1</v>
      </c>
      <c r="I357" s="7">
        <v>1</v>
      </c>
      <c r="J357" s="7">
        <v>1</v>
      </c>
      <c r="K357" s="7">
        <v>1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</v>
      </c>
      <c r="T357" s="7">
        <v>1</v>
      </c>
      <c r="U357" s="7">
        <v>0</v>
      </c>
      <c r="V357" s="7">
        <v>1</v>
      </c>
      <c r="W357" s="7">
        <v>1</v>
      </c>
      <c r="X357" s="7">
        <v>17</v>
      </c>
      <c r="Y357" s="8">
        <v>0.94444444444444442</v>
      </c>
      <c r="Z357" s="14" t="s">
        <v>1120</v>
      </c>
      <c r="AA357" s="7">
        <v>1</v>
      </c>
      <c r="AB357" s="7">
        <v>1</v>
      </c>
      <c r="AC357" s="7">
        <v>1</v>
      </c>
      <c r="AD357" s="7">
        <v>0</v>
      </c>
      <c r="AE357" s="7">
        <v>1</v>
      </c>
      <c r="AF357" s="7">
        <v>0</v>
      </c>
      <c r="AG357" s="7">
        <v>1</v>
      </c>
      <c r="AH357" s="7">
        <v>1</v>
      </c>
      <c r="AI357" s="7">
        <v>1</v>
      </c>
      <c r="AJ357" s="7">
        <v>1</v>
      </c>
      <c r="AK357" s="7">
        <v>1</v>
      </c>
      <c r="AL357" s="7">
        <v>1</v>
      </c>
      <c r="AM357" s="7">
        <v>0</v>
      </c>
      <c r="AN357" s="7">
        <v>0</v>
      </c>
      <c r="AO357" s="7">
        <v>1</v>
      </c>
      <c r="AP357" s="7">
        <v>0</v>
      </c>
      <c r="AQ357" s="7">
        <v>1</v>
      </c>
      <c r="AR357" s="7">
        <v>1</v>
      </c>
      <c r="AS357" s="7">
        <v>13</v>
      </c>
      <c r="AT357" s="8">
        <v>0.72222222222222232</v>
      </c>
      <c r="AU357" s="14" t="s">
        <v>1120</v>
      </c>
      <c r="AV357" s="7">
        <v>30</v>
      </c>
      <c r="AW357" s="8">
        <v>0.83333333333333326</v>
      </c>
    </row>
    <row r="358" spans="1:49" ht="15.75" customHeight="1" x14ac:dyDescent="0.25">
      <c r="A358" s="5" t="s">
        <v>250</v>
      </c>
      <c r="B358" s="7" t="s">
        <v>442</v>
      </c>
      <c r="C358" s="7" t="s">
        <v>1103</v>
      </c>
      <c r="D358" s="6" t="s">
        <v>1097</v>
      </c>
      <c r="E358" s="5" t="s">
        <v>645</v>
      </c>
      <c r="F358" s="7">
        <v>1</v>
      </c>
      <c r="G358" s="7">
        <v>1</v>
      </c>
      <c r="H358" s="7">
        <v>1</v>
      </c>
      <c r="I358" s="7">
        <v>1</v>
      </c>
      <c r="J358" s="7">
        <v>1</v>
      </c>
      <c r="K358" s="7">
        <v>1</v>
      </c>
      <c r="L358" s="7">
        <v>1</v>
      </c>
      <c r="M358" s="7">
        <v>1</v>
      </c>
      <c r="N358" s="7">
        <v>1</v>
      </c>
      <c r="O358" s="7">
        <v>1</v>
      </c>
      <c r="P358" s="7">
        <v>1</v>
      </c>
      <c r="Q358" s="7">
        <v>1</v>
      </c>
      <c r="R358" s="7">
        <v>1</v>
      </c>
      <c r="S358" s="7">
        <v>0</v>
      </c>
      <c r="T358" s="7">
        <v>1</v>
      </c>
      <c r="U358" s="7">
        <v>1</v>
      </c>
      <c r="V358" s="7">
        <v>1</v>
      </c>
      <c r="W358" s="7">
        <v>1</v>
      </c>
      <c r="X358" s="7">
        <v>18</v>
      </c>
      <c r="Y358" s="8">
        <v>1</v>
      </c>
      <c r="Z358" s="14" t="s">
        <v>1120</v>
      </c>
      <c r="AA358" s="7">
        <v>0</v>
      </c>
      <c r="AB358" s="7">
        <v>1</v>
      </c>
      <c r="AC358" s="7">
        <v>1</v>
      </c>
      <c r="AD358" s="7">
        <v>1</v>
      </c>
      <c r="AE358" s="7">
        <v>0</v>
      </c>
      <c r="AF358" s="7">
        <v>0</v>
      </c>
      <c r="AG358" s="7">
        <v>1</v>
      </c>
      <c r="AH358" s="7">
        <v>0</v>
      </c>
      <c r="AI358" s="7">
        <v>0</v>
      </c>
      <c r="AJ358" s="7">
        <v>1</v>
      </c>
      <c r="AK358" s="7">
        <v>0</v>
      </c>
      <c r="AL358" s="7">
        <v>1</v>
      </c>
      <c r="AM358" s="7">
        <v>0</v>
      </c>
      <c r="AN358" s="7">
        <v>0</v>
      </c>
      <c r="AO358" s="7">
        <v>1</v>
      </c>
      <c r="AP358" s="7">
        <v>1</v>
      </c>
      <c r="AQ358" s="7">
        <v>1</v>
      </c>
      <c r="AR358" s="7">
        <v>1</v>
      </c>
      <c r="AS358" s="7">
        <v>18</v>
      </c>
      <c r="AT358" s="8">
        <v>1</v>
      </c>
      <c r="AU358" s="14" t="s">
        <v>1120</v>
      </c>
      <c r="AV358" s="7">
        <v>27</v>
      </c>
      <c r="AW358" s="8">
        <v>0.75</v>
      </c>
    </row>
    <row r="359" spans="1:49" ht="15.75" customHeight="1" x14ac:dyDescent="0.25">
      <c r="A359" s="5" t="s">
        <v>250</v>
      </c>
      <c r="B359" s="7" t="s">
        <v>442</v>
      </c>
      <c r="C359" s="7" t="s">
        <v>1103</v>
      </c>
      <c r="D359" s="6" t="s">
        <v>1097</v>
      </c>
      <c r="E359" s="5" t="s">
        <v>646</v>
      </c>
      <c r="F359" s="7">
        <v>1</v>
      </c>
      <c r="G359" s="7">
        <v>1</v>
      </c>
      <c r="H359" s="7">
        <v>1</v>
      </c>
      <c r="I359" s="7">
        <v>1</v>
      </c>
      <c r="J359" s="7">
        <v>1</v>
      </c>
      <c r="K359" s="7">
        <v>1</v>
      </c>
      <c r="L359" s="7">
        <v>1</v>
      </c>
      <c r="M359" s="7">
        <v>1</v>
      </c>
      <c r="N359" s="7">
        <v>0</v>
      </c>
      <c r="O359" s="7">
        <v>1</v>
      </c>
      <c r="P359" s="7">
        <v>1</v>
      </c>
      <c r="Q359" s="7">
        <v>1</v>
      </c>
      <c r="R359" s="7">
        <v>0</v>
      </c>
      <c r="S359" s="7">
        <v>1</v>
      </c>
      <c r="T359" s="7">
        <v>1</v>
      </c>
      <c r="U359" s="7">
        <v>1</v>
      </c>
      <c r="V359" s="7">
        <v>1</v>
      </c>
      <c r="W359" s="7">
        <v>1</v>
      </c>
      <c r="X359" s="7">
        <v>16</v>
      </c>
      <c r="Y359" s="8">
        <v>0.88888888888888884</v>
      </c>
      <c r="Z359" s="14" t="s">
        <v>1120</v>
      </c>
      <c r="AA359" s="7">
        <v>1</v>
      </c>
      <c r="AB359" s="7">
        <v>1</v>
      </c>
      <c r="AC359" s="7">
        <v>1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1</v>
      </c>
      <c r="AJ359" s="7">
        <v>1</v>
      </c>
      <c r="AK359" s="7">
        <v>1</v>
      </c>
      <c r="AL359" s="7">
        <v>0</v>
      </c>
      <c r="AM359" s="7">
        <v>0</v>
      </c>
      <c r="AN359" s="7">
        <v>1</v>
      </c>
      <c r="AO359" s="7">
        <v>1</v>
      </c>
      <c r="AP359" s="7">
        <v>1</v>
      </c>
      <c r="AQ359" s="7">
        <v>1</v>
      </c>
      <c r="AR359" s="7">
        <v>1</v>
      </c>
      <c r="AS359" s="7">
        <v>11</v>
      </c>
      <c r="AT359" s="8">
        <v>0.61111111111111116</v>
      </c>
      <c r="AU359" s="14" t="s">
        <v>1119</v>
      </c>
      <c r="AV359" s="7">
        <v>27</v>
      </c>
      <c r="AW359" s="8">
        <v>0.75</v>
      </c>
    </row>
    <row r="360" spans="1:49" ht="15.75" customHeight="1" x14ac:dyDescent="0.25">
      <c r="A360" s="5" t="s">
        <v>250</v>
      </c>
      <c r="B360" s="7" t="s">
        <v>442</v>
      </c>
      <c r="C360" s="7" t="s">
        <v>1103</v>
      </c>
      <c r="D360" s="6" t="s">
        <v>1097</v>
      </c>
      <c r="E360" s="5" t="s">
        <v>647</v>
      </c>
      <c r="F360" s="7">
        <v>1</v>
      </c>
      <c r="G360" s="7">
        <v>1</v>
      </c>
      <c r="H360" s="7">
        <v>1</v>
      </c>
      <c r="I360" s="7">
        <v>1</v>
      </c>
      <c r="J360" s="7">
        <v>1</v>
      </c>
      <c r="K360" s="7">
        <v>1</v>
      </c>
      <c r="L360" s="7">
        <v>1</v>
      </c>
      <c r="M360" s="7">
        <v>1</v>
      </c>
      <c r="N360" s="7">
        <v>1</v>
      </c>
      <c r="O360" s="7">
        <v>1</v>
      </c>
      <c r="P360" s="7">
        <v>1</v>
      </c>
      <c r="Q360" s="7">
        <v>1</v>
      </c>
      <c r="R360" s="7">
        <v>1</v>
      </c>
      <c r="S360" s="7">
        <v>1</v>
      </c>
      <c r="T360" s="7">
        <v>1</v>
      </c>
      <c r="U360" s="7">
        <v>1</v>
      </c>
      <c r="V360" s="7">
        <v>1</v>
      </c>
      <c r="W360" s="7">
        <v>1</v>
      </c>
      <c r="X360" s="7">
        <v>18</v>
      </c>
      <c r="Y360" s="8">
        <v>1</v>
      </c>
      <c r="Z360" s="14" t="s">
        <v>1120</v>
      </c>
      <c r="AA360" s="7">
        <v>1</v>
      </c>
      <c r="AB360" s="7">
        <v>1</v>
      </c>
      <c r="AC360" s="7">
        <v>1</v>
      </c>
      <c r="AD360" s="7">
        <v>1</v>
      </c>
      <c r="AE360" s="7">
        <v>1</v>
      </c>
      <c r="AF360" s="7">
        <v>1</v>
      </c>
      <c r="AG360" s="7">
        <v>1</v>
      </c>
      <c r="AH360" s="7">
        <v>1</v>
      </c>
      <c r="AI360" s="7">
        <v>1</v>
      </c>
      <c r="AJ360" s="7">
        <v>1</v>
      </c>
      <c r="AK360" s="7">
        <v>1</v>
      </c>
      <c r="AL360" s="7">
        <v>0</v>
      </c>
      <c r="AM360" s="7">
        <v>0</v>
      </c>
      <c r="AN360" s="7">
        <v>1</v>
      </c>
      <c r="AO360" s="7">
        <v>1</v>
      </c>
      <c r="AP360" s="7">
        <v>1</v>
      </c>
      <c r="AQ360" s="7">
        <v>1</v>
      </c>
      <c r="AR360" s="7">
        <v>1</v>
      </c>
      <c r="AS360" s="7">
        <v>16</v>
      </c>
      <c r="AT360" s="8">
        <v>0.88888888888888884</v>
      </c>
      <c r="AU360" s="14" t="s">
        <v>1120</v>
      </c>
      <c r="AV360" s="7">
        <v>34</v>
      </c>
      <c r="AW360" s="8">
        <v>0.94444444444444442</v>
      </c>
    </row>
    <row r="361" spans="1:49" ht="15.75" customHeight="1" x14ac:dyDescent="0.25">
      <c r="A361" s="5" t="s">
        <v>250</v>
      </c>
      <c r="B361" s="7" t="s">
        <v>442</v>
      </c>
      <c r="C361" s="7" t="s">
        <v>1103</v>
      </c>
      <c r="D361" s="6" t="s">
        <v>1097</v>
      </c>
      <c r="E361" s="5" t="s">
        <v>648</v>
      </c>
      <c r="F361" s="7">
        <v>1</v>
      </c>
      <c r="G361" s="7">
        <v>1</v>
      </c>
      <c r="H361" s="7">
        <v>1</v>
      </c>
      <c r="I361" s="7">
        <v>1</v>
      </c>
      <c r="J361" s="7">
        <v>1</v>
      </c>
      <c r="K361" s="7">
        <v>1</v>
      </c>
      <c r="L361" s="7">
        <v>1</v>
      </c>
      <c r="M361" s="7">
        <v>1</v>
      </c>
      <c r="N361" s="7">
        <v>0</v>
      </c>
      <c r="O361" s="7">
        <v>1</v>
      </c>
      <c r="P361" s="7">
        <v>1</v>
      </c>
      <c r="Q361" s="7">
        <v>1</v>
      </c>
      <c r="R361" s="7">
        <v>0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18</v>
      </c>
      <c r="Y361" s="8">
        <v>1</v>
      </c>
      <c r="Z361" s="14" t="s">
        <v>1120</v>
      </c>
      <c r="AA361" s="7">
        <v>1</v>
      </c>
      <c r="AB361" s="7">
        <v>1</v>
      </c>
      <c r="AC361" s="7">
        <v>1</v>
      </c>
      <c r="AD361" s="7">
        <v>0</v>
      </c>
      <c r="AE361" s="7">
        <v>1</v>
      </c>
      <c r="AF361" s="7">
        <v>0</v>
      </c>
      <c r="AG361" s="7">
        <v>1</v>
      </c>
      <c r="AH361" s="7">
        <v>0</v>
      </c>
      <c r="AI361" s="7">
        <v>1</v>
      </c>
      <c r="AJ361" s="7">
        <v>1</v>
      </c>
      <c r="AK361" s="7">
        <v>1</v>
      </c>
      <c r="AL361" s="7">
        <v>1</v>
      </c>
      <c r="AM361" s="7">
        <v>1</v>
      </c>
      <c r="AN361" s="7">
        <v>1</v>
      </c>
      <c r="AO361" s="7">
        <v>1</v>
      </c>
      <c r="AP361" s="7">
        <v>1</v>
      </c>
      <c r="AQ361" s="7">
        <v>1</v>
      </c>
      <c r="AR361" s="7">
        <v>1</v>
      </c>
      <c r="AS361" s="7">
        <v>15</v>
      </c>
      <c r="AT361" s="8">
        <v>0.83333333333333326</v>
      </c>
      <c r="AU361" s="14" t="s">
        <v>1120</v>
      </c>
      <c r="AV361" s="7">
        <v>31</v>
      </c>
      <c r="AW361" s="8">
        <v>0.86111111111111116</v>
      </c>
    </row>
    <row r="362" spans="1:49" ht="15.75" customHeight="1" x14ac:dyDescent="0.25">
      <c r="A362" s="5" t="s">
        <v>250</v>
      </c>
      <c r="B362" s="7" t="s">
        <v>465</v>
      </c>
      <c r="C362" s="7" t="s">
        <v>1103</v>
      </c>
      <c r="D362" s="6" t="s">
        <v>1097</v>
      </c>
      <c r="E362" s="5" t="s">
        <v>649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  <c r="M362" s="7">
        <v>1</v>
      </c>
      <c r="N362" s="7">
        <v>0</v>
      </c>
      <c r="O362" s="7">
        <v>1</v>
      </c>
      <c r="P362" s="7">
        <v>1</v>
      </c>
      <c r="Q362" s="7">
        <v>1</v>
      </c>
      <c r="R362" s="7">
        <v>1</v>
      </c>
      <c r="S362" s="7">
        <v>0</v>
      </c>
      <c r="T362" s="7">
        <v>1</v>
      </c>
      <c r="U362" s="7">
        <v>1</v>
      </c>
      <c r="V362" s="7">
        <v>1</v>
      </c>
      <c r="W362" s="7">
        <v>1</v>
      </c>
      <c r="X362" s="7">
        <v>16</v>
      </c>
      <c r="Y362" s="8">
        <v>0.88888888888888884</v>
      </c>
      <c r="Z362" s="14" t="s">
        <v>1120</v>
      </c>
      <c r="AA362" s="7">
        <v>1</v>
      </c>
      <c r="AB362" s="7">
        <v>1</v>
      </c>
      <c r="AC362" s="7">
        <v>1</v>
      </c>
      <c r="AD362" s="7">
        <v>0</v>
      </c>
      <c r="AE362" s="7">
        <v>1</v>
      </c>
      <c r="AF362" s="7">
        <v>1</v>
      </c>
      <c r="AG362" s="7">
        <v>1</v>
      </c>
      <c r="AH362" s="7">
        <v>0</v>
      </c>
      <c r="AI362" s="7">
        <v>0</v>
      </c>
      <c r="AJ362" s="7">
        <v>1</v>
      </c>
      <c r="AK362" s="7">
        <v>1</v>
      </c>
      <c r="AL362" s="7">
        <v>1</v>
      </c>
      <c r="AM362" s="7">
        <v>0</v>
      </c>
      <c r="AN362" s="7">
        <v>0</v>
      </c>
      <c r="AO362" s="7">
        <v>1</v>
      </c>
      <c r="AP362" s="7">
        <v>1</v>
      </c>
      <c r="AQ362" s="7">
        <v>1</v>
      </c>
      <c r="AR362" s="7">
        <v>0</v>
      </c>
      <c r="AS362" s="7">
        <v>12</v>
      </c>
      <c r="AT362" s="8">
        <v>0.66666666666666674</v>
      </c>
      <c r="AU362" s="14" t="s">
        <v>1119</v>
      </c>
      <c r="AV362" s="7">
        <v>28</v>
      </c>
      <c r="AW362" s="8">
        <v>0.77777777777777768</v>
      </c>
    </row>
    <row r="363" spans="1:49" ht="15.75" customHeight="1" x14ac:dyDescent="0.25">
      <c r="A363" s="5" t="s">
        <v>250</v>
      </c>
      <c r="B363" s="7" t="s">
        <v>465</v>
      </c>
      <c r="C363" s="7" t="s">
        <v>1096</v>
      </c>
      <c r="D363" s="6" t="s">
        <v>1097</v>
      </c>
      <c r="E363" s="5" t="s">
        <v>650</v>
      </c>
      <c r="F363" s="7">
        <v>1</v>
      </c>
      <c r="G363" s="7">
        <v>1</v>
      </c>
      <c r="H363" s="7">
        <v>0</v>
      </c>
      <c r="I363" s="7">
        <v>1</v>
      </c>
      <c r="J363" s="7">
        <v>1</v>
      </c>
      <c r="K363" s="7">
        <v>1</v>
      </c>
      <c r="L363" s="7">
        <v>1</v>
      </c>
      <c r="M363" s="7">
        <v>1</v>
      </c>
      <c r="N363" s="7">
        <v>0</v>
      </c>
      <c r="O363" s="7">
        <v>1</v>
      </c>
      <c r="P363" s="7">
        <v>1</v>
      </c>
      <c r="Q363" s="7">
        <v>1</v>
      </c>
      <c r="R363" s="7">
        <v>0</v>
      </c>
      <c r="S363" s="7">
        <v>1</v>
      </c>
      <c r="T363" s="7">
        <v>1</v>
      </c>
      <c r="U363" s="7">
        <v>1</v>
      </c>
      <c r="V363" s="7">
        <v>1</v>
      </c>
      <c r="W363" s="7">
        <v>0</v>
      </c>
      <c r="X363" s="7">
        <v>14</v>
      </c>
      <c r="Y363" s="8">
        <v>0.77777777777777768</v>
      </c>
      <c r="Z363" s="14" t="s">
        <v>1120</v>
      </c>
      <c r="AA363" s="7">
        <v>1</v>
      </c>
      <c r="AB363" s="7">
        <v>1</v>
      </c>
      <c r="AC363" s="7">
        <v>1</v>
      </c>
      <c r="AD363" s="25">
        <v>0</v>
      </c>
      <c r="AE363" s="7">
        <v>1</v>
      </c>
      <c r="AF363" s="7">
        <v>0</v>
      </c>
      <c r="AG363" s="7">
        <v>1</v>
      </c>
      <c r="AH363" s="7">
        <v>1</v>
      </c>
      <c r="AI363" s="7">
        <v>0</v>
      </c>
      <c r="AJ363" s="7">
        <v>1</v>
      </c>
      <c r="AK363" s="7">
        <v>1</v>
      </c>
      <c r="AL363" s="7">
        <v>0</v>
      </c>
      <c r="AM363" s="7">
        <v>0</v>
      </c>
      <c r="AN363" s="7">
        <v>0</v>
      </c>
      <c r="AO363" s="7">
        <v>0</v>
      </c>
      <c r="AP363" s="7">
        <v>1</v>
      </c>
      <c r="AQ363" s="7">
        <v>1</v>
      </c>
      <c r="AR363" s="7">
        <v>1</v>
      </c>
      <c r="AS363" s="7">
        <v>11</v>
      </c>
      <c r="AT363" s="8">
        <v>0.61111111111111116</v>
      </c>
      <c r="AU363" s="14" t="s">
        <v>1119</v>
      </c>
      <c r="AV363" s="7">
        <v>25</v>
      </c>
      <c r="AW363" s="8">
        <v>0.69444444444444442</v>
      </c>
    </row>
    <row r="364" spans="1:49" ht="15.75" customHeight="1" x14ac:dyDescent="0.25">
      <c r="A364" s="5" t="s">
        <v>250</v>
      </c>
      <c r="B364" s="7" t="s">
        <v>465</v>
      </c>
      <c r="C364" s="7" t="s">
        <v>1103</v>
      </c>
      <c r="D364" s="6" t="s">
        <v>1097</v>
      </c>
      <c r="E364" s="5" t="s">
        <v>1180</v>
      </c>
      <c r="F364" s="7">
        <v>1</v>
      </c>
      <c r="G364" s="7">
        <v>1</v>
      </c>
      <c r="H364" s="7">
        <v>1</v>
      </c>
      <c r="I364" s="7">
        <v>1</v>
      </c>
      <c r="J364" s="7">
        <v>1</v>
      </c>
      <c r="K364" s="7">
        <v>1</v>
      </c>
      <c r="L364" s="7">
        <v>1</v>
      </c>
      <c r="M364" s="7">
        <v>1</v>
      </c>
      <c r="N364" s="7">
        <v>0</v>
      </c>
      <c r="O364" s="7">
        <v>1</v>
      </c>
      <c r="P364" s="7">
        <v>1</v>
      </c>
      <c r="Q364" s="7">
        <v>0</v>
      </c>
      <c r="R364" s="7">
        <v>1</v>
      </c>
      <c r="S364" s="7">
        <v>1</v>
      </c>
      <c r="T364" s="7">
        <v>0</v>
      </c>
      <c r="U364" s="7">
        <v>1</v>
      </c>
      <c r="V364" s="7">
        <v>1</v>
      </c>
      <c r="W364" s="7">
        <v>1</v>
      </c>
      <c r="X364" s="7">
        <v>15</v>
      </c>
      <c r="Y364" s="8">
        <v>0.83333333333333326</v>
      </c>
      <c r="Z364" s="14" t="s">
        <v>1120</v>
      </c>
      <c r="AA364" s="7">
        <v>1</v>
      </c>
      <c r="AB364" s="7">
        <v>1</v>
      </c>
      <c r="AC364" s="7">
        <v>0</v>
      </c>
      <c r="AD364" s="7">
        <v>0</v>
      </c>
      <c r="AE364" s="7">
        <v>0</v>
      </c>
      <c r="AF364" s="7">
        <v>0</v>
      </c>
      <c r="AG364" s="7">
        <v>1</v>
      </c>
      <c r="AH364" s="7">
        <v>1</v>
      </c>
      <c r="AI364" s="7">
        <v>0</v>
      </c>
      <c r="AJ364" s="7">
        <v>1</v>
      </c>
      <c r="AK364" s="7">
        <v>0</v>
      </c>
      <c r="AL364" s="7">
        <v>1</v>
      </c>
      <c r="AM364" s="7">
        <v>0</v>
      </c>
      <c r="AN364" s="7">
        <v>1</v>
      </c>
      <c r="AO364" s="7">
        <v>0</v>
      </c>
      <c r="AP364" s="7">
        <v>1</v>
      </c>
      <c r="AQ364" s="7">
        <v>1</v>
      </c>
      <c r="AR364" s="7">
        <v>1</v>
      </c>
      <c r="AS364" s="7">
        <v>10</v>
      </c>
      <c r="AT364" s="8">
        <v>0.55555555555555558</v>
      </c>
      <c r="AU364" s="14" t="s">
        <v>1119</v>
      </c>
      <c r="AV364" s="7">
        <v>25</v>
      </c>
      <c r="AW364" s="8">
        <v>0.69444444444444442</v>
      </c>
    </row>
    <row r="365" spans="1:49" ht="15.75" customHeight="1" x14ac:dyDescent="0.25">
      <c r="A365" s="5" t="s">
        <v>250</v>
      </c>
      <c r="B365" s="7" t="s">
        <v>465</v>
      </c>
      <c r="C365" s="7" t="s">
        <v>1103</v>
      </c>
      <c r="D365" s="6" t="s">
        <v>1097</v>
      </c>
      <c r="E365" s="5" t="s">
        <v>651</v>
      </c>
      <c r="F365" s="7">
        <v>1</v>
      </c>
      <c r="G365" s="7">
        <v>1</v>
      </c>
      <c r="H365" s="7">
        <v>1</v>
      </c>
      <c r="I365" s="7">
        <v>1</v>
      </c>
      <c r="J365" s="7">
        <v>1</v>
      </c>
      <c r="K365" s="7">
        <v>0</v>
      </c>
      <c r="L365" s="7">
        <v>1</v>
      </c>
      <c r="M365" s="7">
        <v>1</v>
      </c>
      <c r="N365" s="7">
        <v>0</v>
      </c>
      <c r="O365" s="7">
        <v>1</v>
      </c>
      <c r="P365" s="7">
        <v>1</v>
      </c>
      <c r="Q365" s="7">
        <v>0</v>
      </c>
      <c r="R365" s="7">
        <v>0</v>
      </c>
      <c r="S365" s="7">
        <v>0</v>
      </c>
      <c r="T365" s="7">
        <v>1</v>
      </c>
      <c r="U365" s="7">
        <v>1</v>
      </c>
      <c r="V365" s="7">
        <v>0</v>
      </c>
      <c r="W365" s="7">
        <v>1</v>
      </c>
      <c r="X365" s="7">
        <v>12</v>
      </c>
      <c r="Y365" s="8">
        <v>0.66666666666666674</v>
      </c>
      <c r="Z365" s="14" t="s">
        <v>1119</v>
      </c>
      <c r="AA365" s="7">
        <v>0</v>
      </c>
      <c r="AB365" s="7">
        <v>1</v>
      </c>
      <c r="AC365" s="7">
        <v>1</v>
      </c>
      <c r="AD365" s="7">
        <v>1</v>
      </c>
      <c r="AE365" s="7">
        <v>1</v>
      </c>
      <c r="AF365" s="7">
        <v>1</v>
      </c>
      <c r="AG365" s="7">
        <v>0</v>
      </c>
      <c r="AH365" s="7">
        <v>0</v>
      </c>
      <c r="AI365" s="7">
        <v>1</v>
      </c>
      <c r="AJ365" s="7">
        <v>1</v>
      </c>
      <c r="AK365" s="7">
        <v>1</v>
      </c>
      <c r="AL365" s="7">
        <v>0</v>
      </c>
      <c r="AM365" s="7">
        <v>0</v>
      </c>
      <c r="AN365" s="7">
        <v>1</v>
      </c>
      <c r="AO365" s="7">
        <v>1</v>
      </c>
      <c r="AP365" s="7">
        <v>0</v>
      </c>
      <c r="AQ365" s="7">
        <v>1</v>
      </c>
      <c r="AR365" s="7">
        <v>1</v>
      </c>
      <c r="AS365" s="7">
        <v>12</v>
      </c>
      <c r="AT365" s="8">
        <v>0.66666666666666674</v>
      </c>
      <c r="AU365" s="14" t="s">
        <v>1119</v>
      </c>
      <c r="AV365" s="7">
        <v>24</v>
      </c>
      <c r="AW365" s="8">
        <v>0.66666666666666674</v>
      </c>
    </row>
    <row r="366" spans="1:49" ht="15.75" customHeight="1" x14ac:dyDescent="0.25">
      <c r="A366" s="5" t="s">
        <v>250</v>
      </c>
      <c r="B366" s="7" t="s">
        <v>465</v>
      </c>
      <c r="C366" s="7" t="s">
        <v>1117</v>
      </c>
      <c r="D366" s="6" t="s">
        <v>1097</v>
      </c>
      <c r="E366" s="5" t="s">
        <v>652</v>
      </c>
      <c r="F366" s="7">
        <v>1</v>
      </c>
      <c r="G366" s="7">
        <v>1</v>
      </c>
      <c r="H366" s="7">
        <v>0</v>
      </c>
      <c r="I366" s="7">
        <v>1</v>
      </c>
      <c r="J366" s="7">
        <v>0</v>
      </c>
      <c r="K366" s="7">
        <v>1</v>
      </c>
      <c r="L366" s="7">
        <v>0</v>
      </c>
      <c r="M366" s="7">
        <v>0</v>
      </c>
      <c r="N366" s="7">
        <v>0</v>
      </c>
      <c r="O366" s="7">
        <v>1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1</v>
      </c>
      <c r="V366" s="7">
        <v>0</v>
      </c>
      <c r="W366" s="7">
        <v>0</v>
      </c>
      <c r="X366" s="7">
        <v>6</v>
      </c>
      <c r="Y366" s="8">
        <v>0.33333333333333337</v>
      </c>
      <c r="Z366" s="14" t="s">
        <v>1102</v>
      </c>
      <c r="AA366" s="7">
        <v>0</v>
      </c>
      <c r="AB366" s="7">
        <v>1</v>
      </c>
      <c r="AC366" s="7">
        <v>1</v>
      </c>
      <c r="AD366" s="7">
        <v>0</v>
      </c>
      <c r="AE366" s="7">
        <v>0</v>
      </c>
      <c r="AF366" s="7">
        <v>0</v>
      </c>
      <c r="AG366" s="7">
        <v>1</v>
      </c>
      <c r="AH366" s="7">
        <v>1</v>
      </c>
      <c r="AI366" s="7">
        <v>0</v>
      </c>
      <c r="AJ366" s="7">
        <v>1</v>
      </c>
      <c r="AK366" s="7">
        <v>0</v>
      </c>
      <c r="AL366" s="7">
        <v>0</v>
      </c>
      <c r="AM366" s="7">
        <v>0</v>
      </c>
      <c r="AN366" s="7">
        <v>0</v>
      </c>
      <c r="AO366" s="7">
        <v>1</v>
      </c>
      <c r="AP366" s="7">
        <v>0</v>
      </c>
      <c r="AQ366" s="7">
        <v>1</v>
      </c>
      <c r="AR366" s="7">
        <v>1</v>
      </c>
      <c r="AS366" s="7">
        <v>8</v>
      </c>
      <c r="AT366" s="8">
        <v>0.44444444444444442</v>
      </c>
      <c r="AU366" s="14" t="s">
        <v>1119</v>
      </c>
      <c r="AV366" s="7">
        <v>14</v>
      </c>
      <c r="AW366" s="8">
        <v>0.38888888888888884</v>
      </c>
    </row>
    <row r="367" spans="1:49" ht="15.75" customHeight="1" x14ac:dyDescent="0.25">
      <c r="A367" s="5" t="s">
        <v>250</v>
      </c>
      <c r="B367" s="7" t="s">
        <v>465</v>
      </c>
      <c r="C367" s="7" t="s">
        <v>1103</v>
      </c>
      <c r="D367" s="6" t="s">
        <v>1097</v>
      </c>
      <c r="E367" s="5" t="s">
        <v>653</v>
      </c>
      <c r="F367" s="7">
        <v>1</v>
      </c>
      <c r="G367" s="7">
        <v>1</v>
      </c>
      <c r="H367" s="7">
        <v>1</v>
      </c>
      <c r="I367" s="7">
        <v>1</v>
      </c>
      <c r="J367" s="7">
        <v>1</v>
      </c>
      <c r="K367" s="7">
        <v>1</v>
      </c>
      <c r="L367" s="7">
        <v>1</v>
      </c>
      <c r="M367" s="7">
        <v>1</v>
      </c>
      <c r="N367" s="7">
        <v>1</v>
      </c>
      <c r="O367" s="7">
        <v>1</v>
      </c>
      <c r="P367" s="7">
        <v>1</v>
      </c>
      <c r="Q367" s="7">
        <v>0</v>
      </c>
      <c r="R367" s="7">
        <v>1</v>
      </c>
      <c r="S367" s="7">
        <v>0</v>
      </c>
      <c r="T367" s="7">
        <v>1</v>
      </c>
      <c r="U367" s="7">
        <v>0</v>
      </c>
      <c r="V367" s="7">
        <v>1</v>
      </c>
      <c r="W367" s="7">
        <v>1</v>
      </c>
      <c r="X367" s="7">
        <v>15</v>
      </c>
      <c r="Y367" s="8">
        <v>0.83333333333333326</v>
      </c>
      <c r="Z367" s="14" t="s">
        <v>1120</v>
      </c>
      <c r="AA367" s="7">
        <v>1</v>
      </c>
      <c r="AB367" s="7">
        <v>1</v>
      </c>
      <c r="AC367" s="7">
        <v>1</v>
      </c>
      <c r="AD367" s="7">
        <v>1</v>
      </c>
      <c r="AE367" s="7">
        <v>1</v>
      </c>
      <c r="AF367" s="7">
        <v>0</v>
      </c>
      <c r="AG367" s="7">
        <v>1</v>
      </c>
      <c r="AH367" s="7">
        <v>1</v>
      </c>
      <c r="AI367" s="7">
        <v>1</v>
      </c>
      <c r="AJ367" s="7">
        <v>1</v>
      </c>
      <c r="AK367" s="7">
        <v>1</v>
      </c>
      <c r="AL367" s="7">
        <v>0</v>
      </c>
      <c r="AM367" s="7">
        <v>0</v>
      </c>
      <c r="AN367" s="7">
        <v>0</v>
      </c>
      <c r="AO367" s="7">
        <v>1</v>
      </c>
      <c r="AP367" s="7">
        <v>0</v>
      </c>
      <c r="AQ367" s="7">
        <v>1</v>
      </c>
      <c r="AR367" s="7">
        <v>1</v>
      </c>
      <c r="AS367" s="7">
        <v>13</v>
      </c>
      <c r="AT367" s="8">
        <v>0.72222222222222232</v>
      </c>
      <c r="AU367" s="14" t="s">
        <v>1120</v>
      </c>
      <c r="AV367" s="7">
        <v>28</v>
      </c>
      <c r="AW367" s="8">
        <v>0.77777777777777768</v>
      </c>
    </row>
    <row r="368" spans="1:49" ht="15.75" customHeight="1" x14ac:dyDescent="0.25">
      <c r="A368" s="5" t="s">
        <v>250</v>
      </c>
      <c r="B368" s="7" t="s">
        <v>465</v>
      </c>
      <c r="C368" s="7" t="s">
        <v>1103</v>
      </c>
      <c r="D368" s="6" t="s">
        <v>1097</v>
      </c>
      <c r="E368" s="5" t="s">
        <v>654</v>
      </c>
      <c r="F368" s="7">
        <v>1</v>
      </c>
      <c r="G368" s="7">
        <v>1</v>
      </c>
      <c r="H368" s="7">
        <v>1</v>
      </c>
      <c r="I368" s="7">
        <v>1</v>
      </c>
      <c r="J368" s="7">
        <v>1</v>
      </c>
      <c r="K368" s="7">
        <v>1</v>
      </c>
      <c r="L368" s="7">
        <v>1</v>
      </c>
      <c r="M368" s="7">
        <v>1</v>
      </c>
      <c r="N368" s="7">
        <v>0</v>
      </c>
      <c r="O368" s="7">
        <v>1</v>
      </c>
      <c r="P368" s="7">
        <v>1</v>
      </c>
      <c r="Q368" s="7">
        <v>1</v>
      </c>
      <c r="R368" s="7">
        <v>1</v>
      </c>
      <c r="S368" s="7">
        <v>1</v>
      </c>
      <c r="T368" s="7">
        <v>1</v>
      </c>
      <c r="U368" s="7">
        <v>1</v>
      </c>
      <c r="V368" s="7">
        <v>1</v>
      </c>
      <c r="W368" s="7">
        <v>1</v>
      </c>
      <c r="X368" s="7">
        <v>17</v>
      </c>
      <c r="Y368" s="8">
        <v>0.94444444444444442</v>
      </c>
      <c r="Z368" s="14" t="s">
        <v>1120</v>
      </c>
      <c r="AA368" s="7">
        <v>1</v>
      </c>
      <c r="AB368" s="7">
        <v>1</v>
      </c>
      <c r="AC368" s="7">
        <v>0</v>
      </c>
      <c r="AD368" s="7">
        <v>0</v>
      </c>
      <c r="AE368" s="7">
        <v>1</v>
      </c>
      <c r="AF368" s="7">
        <v>1</v>
      </c>
      <c r="AG368" s="7">
        <v>1</v>
      </c>
      <c r="AH368" s="7">
        <v>1</v>
      </c>
      <c r="AI368" s="7">
        <v>1</v>
      </c>
      <c r="AJ368" s="7">
        <v>1</v>
      </c>
      <c r="AK368" s="7">
        <v>1</v>
      </c>
      <c r="AL368" s="7">
        <v>0</v>
      </c>
      <c r="AM368" s="7">
        <v>0</v>
      </c>
      <c r="AN368" s="7">
        <v>1</v>
      </c>
      <c r="AO368" s="7">
        <v>1</v>
      </c>
      <c r="AP368" s="7">
        <v>1</v>
      </c>
      <c r="AQ368" s="7">
        <v>1</v>
      </c>
      <c r="AR368" s="7">
        <v>1</v>
      </c>
      <c r="AS368" s="7">
        <v>14</v>
      </c>
      <c r="AT368" s="8">
        <v>0.77777777777777768</v>
      </c>
      <c r="AU368" s="14" t="s">
        <v>1120</v>
      </c>
      <c r="AV368" s="7">
        <v>31</v>
      </c>
      <c r="AW368" s="8">
        <v>0.86111111111111116</v>
      </c>
    </row>
    <row r="369" spans="1:49" ht="15.75" customHeight="1" x14ac:dyDescent="0.25">
      <c r="A369" s="5" t="s">
        <v>250</v>
      </c>
      <c r="B369" s="7" t="s">
        <v>465</v>
      </c>
      <c r="C369" s="7" t="s">
        <v>1117</v>
      </c>
      <c r="D369" s="6" t="s">
        <v>1097</v>
      </c>
      <c r="E369" s="5" t="s">
        <v>655</v>
      </c>
      <c r="F369" s="7">
        <v>1</v>
      </c>
      <c r="G369" s="7">
        <v>1</v>
      </c>
      <c r="H369" s="7">
        <v>1</v>
      </c>
      <c r="I369" s="7">
        <v>1</v>
      </c>
      <c r="J369" s="7">
        <v>0</v>
      </c>
      <c r="K369" s="7">
        <v>1</v>
      </c>
      <c r="L369" s="7">
        <v>1</v>
      </c>
      <c r="M369" s="7">
        <v>0</v>
      </c>
      <c r="N369" s="7">
        <v>0</v>
      </c>
      <c r="O369" s="7">
        <v>1</v>
      </c>
      <c r="P369" s="7">
        <v>1</v>
      </c>
      <c r="Q369" s="7">
        <v>0</v>
      </c>
      <c r="R369" s="7">
        <v>0</v>
      </c>
      <c r="S369" s="7">
        <v>1</v>
      </c>
      <c r="T369" s="7">
        <v>1</v>
      </c>
      <c r="U369" s="7">
        <v>0</v>
      </c>
      <c r="V369" s="7">
        <v>0</v>
      </c>
      <c r="W369" s="7">
        <v>1</v>
      </c>
      <c r="X369" s="7">
        <v>11</v>
      </c>
      <c r="Y369" s="8">
        <v>0.61111111111111116</v>
      </c>
      <c r="Z369" s="14" t="s">
        <v>1119</v>
      </c>
      <c r="AA369" s="7">
        <v>1</v>
      </c>
      <c r="AB369" s="7">
        <v>1</v>
      </c>
      <c r="AC369" s="7">
        <v>0</v>
      </c>
      <c r="AD369" s="7">
        <v>1</v>
      </c>
      <c r="AE369" s="7">
        <v>1</v>
      </c>
      <c r="AF369" s="7">
        <v>0</v>
      </c>
      <c r="AG369" s="7">
        <v>1</v>
      </c>
      <c r="AH369" s="7">
        <v>1</v>
      </c>
      <c r="AI369" s="7">
        <v>1</v>
      </c>
      <c r="AJ369" s="7">
        <v>1</v>
      </c>
      <c r="AK369" s="7">
        <v>1</v>
      </c>
      <c r="AL369" s="7">
        <v>0</v>
      </c>
      <c r="AM369" s="7">
        <v>0</v>
      </c>
      <c r="AN369" s="7">
        <v>1</v>
      </c>
      <c r="AO369" s="7">
        <v>1</v>
      </c>
      <c r="AP369" s="7">
        <v>0</v>
      </c>
      <c r="AQ369" s="7">
        <v>1</v>
      </c>
      <c r="AR369" s="7">
        <v>1</v>
      </c>
      <c r="AS369" s="7">
        <v>13</v>
      </c>
      <c r="AT369" s="8">
        <v>0.72222222222222232</v>
      </c>
      <c r="AU369" s="14" t="s">
        <v>1120</v>
      </c>
      <c r="AV369" s="7">
        <v>24</v>
      </c>
      <c r="AW369" s="8">
        <v>0.66666666666666674</v>
      </c>
    </row>
    <row r="370" spans="1:49" ht="15.75" customHeight="1" x14ac:dyDescent="0.25">
      <c r="A370" s="5" t="s">
        <v>250</v>
      </c>
      <c r="B370" s="7" t="s">
        <v>465</v>
      </c>
      <c r="C370" s="7" t="s">
        <v>1103</v>
      </c>
      <c r="D370" s="6" t="s">
        <v>1097</v>
      </c>
      <c r="E370" s="5" t="s">
        <v>656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  <c r="M370" s="7">
        <v>1</v>
      </c>
      <c r="N370" s="7">
        <v>0</v>
      </c>
      <c r="O370" s="7">
        <v>1</v>
      </c>
      <c r="P370" s="7">
        <v>1</v>
      </c>
      <c r="Q370" s="7">
        <v>1</v>
      </c>
      <c r="R370" s="7">
        <v>1</v>
      </c>
      <c r="S370" s="7">
        <v>1</v>
      </c>
      <c r="T370" s="7">
        <v>1</v>
      </c>
      <c r="U370" s="7">
        <v>1</v>
      </c>
      <c r="V370" s="7">
        <v>1</v>
      </c>
      <c r="W370" s="7">
        <v>1</v>
      </c>
      <c r="X370" s="7">
        <v>17</v>
      </c>
      <c r="Y370" s="8">
        <v>0.94444444444444442</v>
      </c>
      <c r="Z370" s="14" t="s">
        <v>1120</v>
      </c>
      <c r="AA370" s="7">
        <v>1</v>
      </c>
      <c r="AB370" s="7">
        <v>1</v>
      </c>
      <c r="AC370" s="7">
        <v>1</v>
      </c>
      <c r="AD370" s="7">
        <v>1</v>
      </c>
      <c r="AE370" s="7">
        <v>0</v>
      </c>
      <c r="AF370" s="7">
        <v>1</v>
      </c>
      <c r="AG370" s="7">
        <v>1</v>
      </c>
      <c r="AH370" s="7">
        <v>1</v>
      </c>
      <c r="AI370" s="7">
        <v>0</v>
      </c>
      <c r="AJ370" s="7">
        <v>1</v>
      </c>
      <c r="AK370" s="7">
        <v>1</v>
      </c>
      <c r="AL370" s="7">
        <v>0</v>
      </c>
      <c r="AM370" s="7">
        <v>0</v>
      </c>
      <c r="AN370" s="7">
        <v>1</v>
      </c>
      <c r="AO370" s="7">
        <v>1</v>
      </c>
      <c r="AP370" s="7">
        <v>1</v>
      </c>
      <c r="AQ370" s="7">
        <v>1</v>
      </c>
      <c r="AR370" s="7">
        <v>1</v>
      </c>
      <c r="AS370" s="7">
        <v>14</v>
      </c>
      <c r="AT370" s="8">
        <v>0.77777777777777768</v>
      </c>
      <c r="AU370" s="14" t="s">
        <v>1120</v>
      </c>
      <c r="AV370" s="7">
        <v>31</v>
      </c>
      <c r="AW370" s="8">
        <v>0.86111111111111116</v>
      </c>
    </row>
    <row r="371" spans="1:49" ht="15.75" customHeight="1" x14ac:dyDescent="0.25">
      <c r="A371" s="5" t="s">
        <v>250</v>
      </c>
      <c r="B371" s="7" t="s">
        <v>465</v>
      </c>
      <c r="C371" s="7" t="s">
        <v>1096</v>
      </c>
      <c r="D371" s="6" t="s">
        <v>1097</v>
      </c>
      <c r="E371" s="5" t="s">
        <v>657</v>
      </c>
      <c r="F371" s="7">
        <v>1</v>
      </c>
      <c r="G371" s="7">
        <v>1</v>
      </c>
      <c r="H371" s="7">
        <v>1</v>
      </c>
      <c r="I371" s="7">
        <v>1</v>
      </c>
      <c r="J371" s="7">
        <v>1</v>
      </c>
      <c r="K371" s="7">
        <v>1</v>
      </c>
      <c r="L371" s="7">
        <v>1</v>
      </c>
      <c r="M371" s="7">
        <v>0</v>
      </c>
      <c r="N371" s="7">
        <v>1</v>
      </c>
      <c r="O371" s="7">
        <v>1</v>
      </c>
      <c r="P371" s="7">
        <v>1</v>
      </c>
      <c r="Q371" s="7">
        <v>1</v>
      </c>
      <c r="R371" s="7">
        <v>0</v>
      </c>
      <c r="S371" s="7">
        <v>1</v>
      </c>
      <c r="T371" s="7">
        <v>1</v>
      </c>
      <c r="U371" s="7">
        <v>1</v>
      </c>
      <c r="V371" s="7">
        <v>1</v>
      </c>
      <c r="W371" s="7">
        <v>1</v>
      </c>
      <c r="X371" s="7">
        <v>16</v>
      </c>
      <c r="Y371" s="8">
        <v>0.88888888888888884</v>
      </c>
      <c r="Z371" s="14" t="s">
        <v>1120</v>
      </c>
      <c r="AA371" s="7">
        <v>1</v>
      </c>
      <c r="AB371" s="7">
        <v>1</v>
      </c>
      <c r="AC371" s="7">
        <v>1</v>
      </c>
      <c r="AD371" s="7">
        <v>1</v>
      </c>
      <c r="AE371" s="7">
        <v>0</v>
      </c>
      <c r="AF371" s="7">
        <v>0</v>
      </c>
      <c r="AG371" s="7">
        <v>1</v>
      </c>
      <c r="AH371" s="7">
        <v>1</v>
      </c>
      <c r="AI371" s="7">
        <v>1</v>
      </c>
      <c r="AJ371" s="7">
        <v>1</v>
      </c>
      <c r="AK371" s="7">
        <v>1</v>
      </c>
      <c r="AL371" s="7">
        <v>0</v>
      </c>
      <c r="AM371" s="7">
        <v>0</v>
      </c>
      <c r="AN371" s="7">
        <v>1</v>
      </c>
      <c r="AO371" s="7">
        <v>1</v>
      </c>
      <c r="AP371" s="7">
        <v>1</v>
      </c>
      <c r="AQ371" s="7">
        <v>1</v>
      </c>
      <c r="AR371" s="7">
        <v>1</v>
      </c>
      <c r="AS371" s="7">
        <v>14</v>
      </c>
      <c r="AT371" s="8">
        <v>0.77777777777777768</v>
      </c>
      <c r="AU371" s="14" t="s">
        <v>1120</v>
      </c>
      <c r="AV371" s="7">
        <v>30</v>
      </c>
      <c r="AW371" s="8">
        <v>0.83333333333333326</v>
      </c>
    </row>
    <row r="372" spans="1:49" ht="15.75" customHeight="1" x14ac:dyDescent="0.25">
      <c r="A372" s="5" t="s">
        <v>250</v>
      </c>
      <c r="B372" s="7" t="s">
        <v>465</v>
      </c>
      <c r="C372" s="7" t="s">
        <v>1096</v>
      </c>
      <c r="D372" s="6" t="s">
        <v>1097</v>
      </c>
      <c r="E372" s="5" t="s">
        <v>658</v>
      </c>
      <c r="F372" s="7">
        <v>1</v>
      </c>
      <c r="G372" s="7">
        <v>1</v>
      </c>
      <c r="H372" s="7">
        <v>0</v>
      </c>
      <c r="I372" s="7">
        <v>1</v>
      </c>
      <c r="J372" s="7">
        <v>1</v>
      </c>
      <c r="K372" s="7">
        <v>1</v>
      </c>
      <c r="L372" s="7">
        <v>1</v>
      </c>
      <c r="M372" s="7">
        <v>1</v>
      </c>
      <c r="N372" s="7">
        <v>0</v>
      </c>
      <c r="O372" s="7">
        <v>1</v>
      </c>
      <c r="P372" s="7">
        <v>1</v>
      </c>
      <c r="Q372" s="7">
        <v>1</v>
      </c>
      <c r="R372" s="7">
        <v>1</v>
      </c>
      <c r="S372" s="7">
        <v>1</v>
      </c>
      <c r="T372" s="7">
        <v>1</v>
      </c>
      <c r="U372" s="7">
        <v>1</v>
      </c>
      <c r="V372" s="7">
        <v>1</v>
      </c>
      <c r="W372" s="7">
        <v>1</v>
      </c>
      <c r="X372" s="7">
        <v>16</v>
      </c>
      <c r="Y372" s="8">
        <v>0.88888888888888884</v>
      </c>
      <c r="Z372" s="14" t="s">
        <v>1120</v>
      </c>
      <c r="AA372" s="7">
        <v>1</v>
      </c>
      <c r="AB372" s="7">
        <v>1</v>
      </c>
      <c r="AC372" s="7">
        <v>1</v>
      </c>
      <c r="AD372" s="7">
        <v>1</v>
      </c>
      <c r="AE372" s="7">
        <v>0</v>
      </c>
      <c r="AF372" s="7">
        <v>0</v>
      </c>
      <c r="AG372" s="7">
        <v>1</v>
      </c>
      <c r="AH372" s="7">
        <v>0</v>
      </c>
      <c r="AI372" s="7">
        <v>1</v>
      </c>
      <c r="AJ372" s="7">
        <v>1</v>
      </c>
      <c r="AK372" s="7">
        <v>1</v>
      </c>
      <c r="AL372" s="7">
        <v>1</v>
      </c>
      <c r="AM372" s="7">
        <v>0</v>
      </c>
      <c r="AN372" s="7">
        <v>0</v>
      </c>
      <c r="AO372" s="7">
        <v>1</v>
      </c>
      <c r="AP372" s="7">
        <v>1</v>
      </c>
      <c r="AQ372" s="7">
        <v>1</v>
      </c>
      <c r="AR372" s="7">
        <v>1</v>
      </c>
      <c r="AS372" s="7">
        <v>13</v>
      </c>
      <c r="AT372" s="8">
        <v>0.72222222222222232</v>
      </c>
      <c r="AU372" s="14" t="s">
        <v>1120</v>
      </c>
      <c r="AV372" s="7">
        <v>29</v>
      </c>
      <c r="AW372" s="8">
        <v>0.80555555555555558</v>
      </c>
    </row>
    <row r="373" spans="1:49" ht="15.75" customHeight="1" x14ac:dyDescent="0.25">
      <c r="A373" s="5" t="s">
        <v>250</v>
      </c>
      <c r="B373" s="7" t="s">
        <v>465</v>
      </c>
      <c r="C373" s="7" t="s">
        <v>1104</v>
      </c>
      <c r="D373" s="6" t="s">
        <v>1097</v>
      </c>
      <c r="E373" s="5" t="s">
        <v>1181</v>
      </c>
      <c r="F373" s="7">
        <v>0</v>
      </c>
      <c r="G373" s="7">
        <v>1</v>
      </c>
      <c r="H373" s="7">
        <v>0</v>
      </c>
      <c r="I373" s="7">
        <v>0</v>
      </c>
      <c r="J373" s="7">
        <v>1</v>
      </c>
      <c r="K373" s="7">
        <v>1</v>
      </c>
      <c r="L373" s="7">
        <v>1</v>
      </c>
      <c r="M373" s="7">
        <v>0</v>
      </c>
      <c r="N373" s="7">
        <v>0</v>
      </c>
      <c r="O373" s="7">
        <v>1</v>
      </c>
      <c r="P373" s="7">
        <v>0</v>
      </c>
      <c r="Q373" s="7">
        <v>0</v>
      </c>
      <c r="R373" s="7">
        <v>0</v>
      </c>
      <c r="S373" s="7">
        <v>0</v>
      </c>
      <c r="T373" s="7">
        <v>1</v>
      </c>
      <c r="U373" s="7">
        <v>0</v>
      </c>
      <c r="V373" s="7">
        <v>0</v>
      </c>
      <c r="W373" s="7">
        <v>0</v>
      </c>
      <c r="X373" s="7">
        <v>6</v>
      </c>
      <c r="Y373" s="8">
        <v>0.33333333333333337</v>
      </c>
      <c r="Z373" s="14" t="s">
        <v>1102</v>
      </c>
      <c r="AA373" s="7">
        <v>0</v>
      </c>
      <c r="AB373" s="7">
        <v>0</v>
      </c>
      <c r="AC373" s="7">
        <v>1</v>
      </c>
      <c r="AD373" s="7">
        <v>0</v>
      </c>
      <c r="AE373" s="7">
        <v>1</v>
      </c>
      <c r="AF373" s="7">
        <v>0</v>
      </c>
      <c r="AG373" s="7">
        <v>1</v>
      </c>
      <c r="AH373" s="7">
        <v>1</v>
      </c>
      <c r="AI373" s="7">
        <v>1</v>
      </c>
      <c r="AJ373" s="7">
        <v>1</v>
      </c>
      <c r="AK373" s="7">
        <v>1</v>
      </c>
      <c r="AL373" s="7">
        <v>0</v>
      </c>
      <c r="AM373" s="7">
        <v>0</v>
      </c>
      <c r="AN373" s="7">
        <v>0</v>
      </c>
      <c r="AO373" s="7">
        <v>0</v>
      </c>
      <c r="AP373" s="7">
        <v>1</v>
      </c>
      <c r="AQ373" s="7">
        <v>1</v>
      </c>
      <c r="AR373" s="7">
        <v>0</v>
      </c>
      <c r="AS373" s="7">
        <v>9</v>
      </c>
      <c r="AT373" s="8">
        <v>0.5</v>
      </c>
      <c r="AU373" s="14" t="s">
        <v>1119</v>
      </c>
      <c r="AV373" s="7">
        <v>15</v>
      </c>
      <c r="AW373" s="8">
        <v>0.41666666666666663</v>
      </c>
    </row>
    <row r="374" spans="1:49" ht="15.75" customHeight="1" x14ac:dyDescent="0.25">
      <c r="A374" s="5" t="s">
        <v>250</v>
      </c>
      <c r="B374" s="7" t="s">
        <v>465</v>
      </c>
      <c r="C374" s="7" t="s">
        <v>1096</v>
      </c>
      <c r="D374" s="6" t="s">
        <v>1097</v>
      </c>
      <c r="E374" s="5" t="s">
        <v>659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  <c r="M374" s="7">
        <v>0</v>
      </c>
      <c r="N374" s="7">
        <v>0</v>
      </c>
      <c r="O374" s="7">
        <v>1</v>
      </c>
      <c r="P374" s="7">
        <v>1</v>
      </c>
      <c r="Q374" s="7">
        <v>1</v>
      </c>
      <c r="R374" s="7">
        <v>1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17</v>
      </c>
      <c r="Y374" s="8">
        <v>0.94444444444444442</v>
      </c>
      <c r="Z374" s="14" t="s">
        <v>1120</v>
      </c>
      <c r="AA374" s="7">
        <v>1</v>
      </c>
      <c r="AB374" s="7">
        <v>1</v>
      </c>
      <c r="AC374" s="7">
        <v>1</v>
      </c>
      <c r="AD374" s="7">
        <v>1</v>
      </c>
      <c r="AE374" s="7">
        <v>1</v>
      </c>
      <c r="AF374" s="7">
        <v>0</v>
      </c>
      <c r="AG374" s="7">
        <v>1</v>
      </c>
      <c r="AH374" s="7">
        <v>1</v>
      </c>
      <c r="AI374" s="7">
        <v>1</v>
      </c>
      <c r="AJ374" s="7">
        <v>1</v>
      </c>
      <c r="AK374" s="7">
        <v>1</v>
      </c>
      <c r="AL374" s="7">
        <v>0</v>
      </c>
      <c r="AM374" s="7">
        <v>1</v>
      </c>
      <c r="AN374" s="7">
        <v>1</v>
      </c>
      <c r="AO374" s="7">
        <v>1</v>
      </c>
      <c r="AP374" s="7">
        <v>1</v>
      </c>
      <c r="AQ374" s="7">
        <v>1</v>
      </c>
      <c r="AR374" s="7">
        <v>1</v>
      </c>
      <c r="AS374" s="7">
        <v>18</v>
      </c>
      <c r="AT374" s="8">
        <v>1</v>
      </c>
      <c r="AU374" s="14" t="s">
        <v>1120</v>
      </c>
      <c r="AV374" s="7">
        <v>32</v>
      </c>
      <c r="AW374" s="8">
        <v>0.88888888888888884</v>
      </c>
    </row>
    <row r="375" spans="1:49" ht="15.75" customHeight="1" x14ac:dyDescent="0.25">
      <c r="A375" s="5" t="s">
        <v>250</v>
      </c>
      <c r="B375" s="7" t="s">
        <v>465</v>
      </c>
      <c r="C375" s="7" t="s">
        <v>1103</v>
      </c>
      <c r="D375" s="6" t="s">
        <v>1097</v>
      </c>
      <c r="E375" s="5" t="s">
        <v>660</v>
      </c>
      <c r="F375" s="7">
        <v>1</v>
      </c>
      <c r="G375" s="7">
        <v>1</v>
      </c>
      <c r="H375" s="7">
        <v>1</v>
      </c>
      <c r="I375" s="7">
        <v>1</v>
      </c>
      <c r="J375" s="7">
        <v>1</v>
      </c>
      <c r="K375" s="7">
        <v>1</v>
      </c>
      <c r="L375" s="7">
        <v>1</v>
      </c>
      <c r="M375" s="7">
        <v>1</v>
      </c>
      <c r="N375" s="7">
        <v>0</v>
      </c>
      <c r="O375" s="7">
        <v>1</v>
      </c>
      <c r="P375" s="7">
        <v>1</v>
      </c>
      <c r="Q375" s="7">
        <v>1</v>
      </c>
      <c r="R375" s="7">
        <v>1</v>
      </c>
      <c r="S375" s="7">
        <v>1</v>
      </c>
      <c r="T375" s="7">
        <v>1</v>
      </c>
      <c r="U375" s="7">
        <v>1</v>
      </c>
      <c r="V375" s="7">
        <v>1</v>
      </c>
      <c r="W375" s="7">
        <v>1</v>
      </c>
      <c r="X375" s="7">
        <v>17</v>
      </c>
      <c r="Y375" s="8">
        <v>0.94444444444444442</v>
      </c>
      <c r="Z375" s="14" t="s">
        <v>1120</v>
      </c>
      <c r="AA375" s="7">
        <v>1</v>
      </c>
      <c r="AB375" s="7">
        <v>1</v>
      </c>
      <c r="AC375" s="7">
        <v>1</v>
      </c>
      <c r="AD375" s="7">
        <v>1</v>
      </c>
      <c r="AE375" s="7">
        <v>1</v>
      </c>
      <c r="AF375" s="7">
        <v>1</v>
      </c>
      <c r="AG375" s="7">
        <v>1</v>
      </c>
      <c r="AH375" s="7">
        <v>1</v>
      </c>
      <c r="AI375" s="7">
        <v>1</v>
      </c>
      <c r="AJ375" s="7">
        <v>1</v>
      </c>
      <c r="AK375" s="7">
        <v>1</v>
      </c>
      <c r="AL375" s="7">
        <v>1</v>
      </c>
      <c r="AM375" s="7">
        <v>0</v>
      </c>
      <c r="AN375" s="7">
        <v>0</v>
      </c>
      <c r="AO375" s="7">
        <v>1</v>
      </c>
      <c r="AP375" s="7">
        <v>1</v>
      </c>
      <c r="AQ375" s="7">
        <v>1</v>
      </c>
      <c r="AR375" s="7">
        <v>0</v>
      </c>
      <c r="AS375" s="7">
        <v>15</v>
      </c>
      <c r="AT375" s="8">
        <v>0.83333333333333326</v>
      </c>
      <c r="AU375" s="14" t="s">
        <v>1120</v>
      </c>
      <c r="AV375" s="7">
        <v>32</v>
      </c>
      <c r="AW375" s="8">
        <v>0.88888888888888884</v>
      </c>
    </row>
    <row r="376" spans="1:49" ht="15.75" customHeight="1" x14ac:dyDescent="0.25">
      <c r="A376" s="5" t="s">
        <v>250</v>
      </c>
      <c r="B376" s="7" t="s">
        <v>465</v>
      </c>
      <c r="C376" s="7" t="s">
        <v>1103</v>
      </c>
      <c r="D376" s="6" t="s">
        <v>1097</v>
      </c>
      <c r="E376" s="5" t="s">
        <v>661</v>
      </c>
      <c r="F376" s="7">
        <v>1</v>
      </c>
      <c r="G376" s="7">
        <v>1</v>
      </c>
      <c r="H376" s="7">
        <v>0</v>
      </c>
      <c r="I376" s="7">
        <v>1</v>
      </c>
      <c r="J376" s="7">
        <v>1</v>
      </c>
      <c r="K376" s="7">
        <v>1</v>
      </c>
      <c r="L376" s="7">
        <v>0</v>
      </c>
      <c r="M376" s="7">
        <v>0</v>
      </c>
      <c r="N376" s="7">
        <v>0</v>
      </c>
      <c r="O376" s="7">
        <v>1</v>
      </c>
      <c r="P376" s="7">
        <v>1</v>
      </c>
      <c r="Q376" s="7">
        <v>0</v>
      </c>
      <c r="R376" s="7">
        <v>0</v>
      </c>
      <c r="S376" s="7">
        <v>1</v>
      </c>
      <c r="T376" s="7">
        <v>1</v>
      </c>
      <c r="U376" s="7">
        <v>0</v>
      </c>
      <c r="V376" s="7">
        <v>0</v>
      </c>
      <c r="W376" s="7">
        <v>0</v>
      </c>
      <c r="X376" s="7">
        <v>9</v>
      </c>
      <c r="Y376" s="8">
        <v>0.5</v>
      </c>
      <c r="Z376" s="14" t="s">
        <v>1119</v>
      </c>
      <c r="AA376" s="7">
        <v>1</v>
      </c>
      <c r="AB376" s="7">
        <v>1</v>
      </c>
      <c r="AC376" s="7">
        <v>1</v>
      </c>
      <c r="AD376" s="7">
        <v>0</v>
      </c>
      <c r="AE376" s="7">
        <v>0</v>
      </c>
      <c r="AF376" s="7">
        <v>0</v>
      </c>
      <c r="AG376" s="7">
        <v>1</v>
      </c>
      <c r="AH376" s="7">
        <v>0</v>
      </c>
      <c r="AI376" s="7">
        <v>0</v>
      </c>
      <c r="AJ376" s="7">
        <v>1</v>
      </c>
      <c r="AK376" s="7">
        <v>1</v>
      </c>
      <c r="AL376" s="7">
        <v>0</v>
      </c>
      <c r="AM376" s="7">
        <v>0</v>
      </c>
      <c r="AN376" s="7">
        <v>1</v>
      </c>
      <c r="AO376" s="7">
        <v>1</v>
      </c>
      <c r="AP376" s="7">
        <v>0</v>
      </c>
      <c r="AQ376" s="7">
        <v>1</v>
      </c>
      <c r="AR376" s="7">
        <v>1</v>
      </c>
      <c r="AS376" s="7">
        <v>10</v>
      </c>
      <c r="AT376" s="8">
        <v>0.55555555555555558</v>
      </c>
      <c r="AU376" s="14" t="s">
        <v>1119</v>
      </c>
      <c r="AV376" s="7">
        <v>19</v>
      </c>
      <c r="AW376" s="8">
        <v>0.52777777777777779</v>
      </c>
    </row>
    <row r="377" spans="1:49" ht="15.75" customHeight="1" x14ac:dyDescent="0.25">
      <c r="A377" s="5" t="s">
        <v>250</v>
      </c>
      <c r="B377" s="7" t="s">
        <v>465</v>
      </c>
      <c r="C377" s="7" t="s">
        <v>1103</v>
      </c>
      <c r="D377" s="6" t="s">
        <v>1097</v>
      </c>
      <c r="E377" s="5" t="s">
        <v>662</v>
      </c>
      <c r="F377" s="7">
        <v>0</v>
      </c>
      <c r="G377" s="7">
        <v>1</v>
      </c>
      <c r="H377" s="7">
        <v>1</v>
      </c>
      <c r="I377" s="7">
        <v>1</v>
      </c>
      <c r="J377" s="7">
        <v>1</v>
      </c>
      <c r="K377" s="7">
        <v>1</v>
      </c>
      <c r="L377" s="7">
        <v>0</v>
      </c>
      <c r="M377" s="7">
        <v>0</v>
      </c>
      <c r="N377" s="7">
        <v>0</v>
      </c>
      <c r="O377" s="7">
        <v>1</v>
      </c>
      <c r="P377" s="7">
        <v>1</v>
      </c>
      <c r="Q377" s="7">
        <v>0</v>
      </c>
      <c r="R377" s="7">
        <v>1</v>
      </c>
      <c r="S377" s="7">
        <v>0</v>
      </c>
      <c r="T377" s="7">
        <v>1</v>
      </c>
      <c r="U377" s="7">
        <v>1</v>
      </c>
      <c r="V377" s="7">
        <v>1</v>
      </c>
      <c r="W377" s="7">
        <v>1</v>
      </c>
      <c r="X377" s="7">
        <v>18</v>
      </c>
      <c r="Y377" s="8">
        <v>1</v>
      </c>
      <c r="Z377" s="14" t="s">
        <v>1120</v>
      </c>
      <c r="AA377" s="7">
        <v>1</v>
      </c>
      <c r="AB377" s="7">
        <v>1</v>
      </c>
      <c r="AC377" s="7">
        <v>1</v>
      </c>
      <c r="AD377" s="7">
        <v>0</v>
      </c>
      <c r="AE377" s="7">
        <v>0</v>
      </c>
      <c r="AF377" s="7">
        <v>0</v>
      </c>
      <c r="AG377" s="7">
        <v>1</v>
      </c>
      <c r="AH377" s="7">
        <v>0</v>
      </c>
      <c r="AI377" s="7">
        <v>1</v>
      </c>
      <c r="AJ377" s="7">
        <v>1</v>
      </c>
      <c r="AK377" s="7">
        <v>1</v>
      </c>
      <c r="AL377" s="7">
        <v>1</v>
      </c>
      <c r="AM377" s="7">
        <v>0</v>
      </c>
      <c r="AN377" s="7">
        <v>1</v>
      </c>
      <c r="AO377" s="7">
        <v>0</v>
      </c>
      <c r="AP377" s="7">
        <v>0</v>
      </c>
      <c r="AQ377" s="7">
        <v>1</v>
      </c>
      <c r="AR377" s="7">
        <v>1</v>
      </c>
      <c r="AS377" s="7">
        <v>11</v>
      </c>
      <c r="AT377" s="8">
        <v>0.61111111111111116</v>
      </c>
      <c r="AU377" s="14" t="s">
        <v>1119</v>
      </c>
      <c r="AV377" s="7">
        <v>23</v>
      </c>
      <c r="AW377" s="8">
        <v>0.63888888888888884</v>
      </c>
    </row>
    <row r="378" spans="1:49" ht="15.75" customHeight="1" x14ac:dyDescent="0.25">
      <c r="A378" s="5" t="s">
        <v>250</v>
      </c>
      <c r="B378" s="7" t="s">
        <v>465</v>
      </c>
      <c r="C378" s="7" t="s">
        <v>1096</v>
      </c>
      <c r="D378" s="6" t="s">
        <v>1097</v>
      </c>
      <c r="E378" s="5" t="s">
        <v>663</v>
      </c>
      <c r="F378" s="7">
        <v>1</v>
      </c>
      <c r="G378" s="7">
        <v>1</v>
      </c>
      <c r="H378" s="7">
        <v>1</v>
      </c>
      <c r="I378" s="7">
        <v>1</v>
      </c>
      <c r="J378" s="7">
        <v>1</v>
      </c>
      <c r="K378" s="7">
        <v>1</v>
      </c>
      <c r="L378" s="7">
        <v>1</v>
      </c>
      <c r="M378" s="7">
        <v>1</v>
      </c>
      <c r="N378" s="7">
        <v>0</v>
      </c>
      <c r="O378" s="7">
        <v>1</v>
      </c>
      <c r="P378" s="7">
        <v>1</v>
      </c>
      <c r="Q378" s="7">
        <v>0</v>
      </c>
      <c r="R378" s="7">
        <v>1</v>
      </c>
      <c r="S378" s="7">
        <v>0</v>
      </c>
      <c r="T378" s="7">
        <v>1</v>
      </c>
      <c r="U378" s="7">
        <v>0</v>
      </c>
      <c r="V378" s="7">
        <v>0</v>
      </c>
      <c r="W378" s="7">
        <v>1</v>
      </c>
      <c r="X378" s="7">
        <v>13</v>
      </c>
      <c r="Y378" s="8">
        <v>0.72222222222222232</v>
      </c>
      <c r="Z378" s="14" t="s">
        <v>1120</v>
      </c>
      <c r="AA378" s="7">
        <v>1</v>
      </c>
      <c r="AB378" s="7">
        <v>1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1</v>
      </c>
      <c r="AM378" s="7">
        <v>0</v>
      </c>
      <c r="AN378" s="7">
        <v>0</v>
      </c>
      <c r="AO378" s="7">
        <v>1</v>
      </c>
      <c r="AP378" s="7">
        <v>0</v>
      </c>
      <c r="AQ378" s="7">
        <v>1</v>
      </c>
      <c r="AR378" s="7">
        <v>1</v>
      </c>
      <c r="AS378" s="7">
        <v>6</v>
      </c>
      <c r="AT378" s="8">
        <v>0.33333333333333337</v>
      </c>
      <c r="AU378" s="14" t="s">
        <v>1102</v>
      </c>
      <c r="AV378" s="7">
        <v>19</v>
      </c>
      <c r="AW378" s="8">
        <v>0.52777777777777779</v>
      </c>
    </row>
    <row r="379" spans="1:49" ht="15.75" customHeight="1" x14ac:dyDescent="0.25">
      <c r="A379" s="5" t="s">
        <v>250</v>
      </c>
      <c r="B379" s="7" t="s">
        <v>465</v>
      </c>
      <c r="C379" s="7" t="s">
        <v>1104</v>
      </c>
      <c r="D379" s="6" t="s">
        <v>1097</v>
      </c>
      <c r="E379" s="5" t="s">
        <v>664</v>
      </c>
      <c r="F379" s="7">
        <v>1</v>
      </c>
      <c r="G379" s="7">
        <v>1</v>
      </c>
      <c r="H379" s="7">
        <v>0</v>
      </c>
      <c r="I379" s="7">
        <v>1</v>
      </c>
      <c r="J379" s="7">
        <v>1</v>
      </c>
      <c r="K379" s="7">
        <v>0</v>
      </c>
      <c r="L379" s="7">
        <v>1</v>
      </c>
      <c r="M379" s="7">
        <v>1</v>
      </c>
      <c r="N379" s="7">
        <v>0</v>
      </c>
      <c r="O379" s="7">
        <v>1</v>
      </c>
      <c r="P379" s="7">
        <v>1</v>
      </c>
      <c r="Q379" s="7">
        <v>1</v>
      </c>
      <c r="R379" s="7">
        <v>0</v>
      </c>
      <c r="S379" s="7">
        <v>1</v>
      </c>
      <c r="T379" s="7">
        <v>1</v>
      </c>
      <c r="U379" s="7">
        <v>1</v>
      </c>
      <c r="V379" s="7">
        <v>0</v>
      </c>
      <c r="W379" s="7">
        <v>1</v>
      </c>
      <c r="X379" s="7">
        <v>13</v>
      </c>
      <c r="Y379" s="8">
        <v>0.72222222222222232</v>
      </c>
      <c r="Z379" s="14" t="s">
        <v>1120</v>
      </c>
      <c r="AA379" s="7">
        <v>0</v>
      </c>
      <c r="AB379" s="7">
        <v>1</v>
      </c>
      <c r="AC379" s="7">
        <v>1</v>
      </c>
      <c r="AD379" s="7">
        <v>1</v>
      </c>
      <c r="AE379" s="7">
        <v>1</v>
      </c>
      <c r="AF379" s="7">
        <v>0</v>
      </c>
      <c r="AG379" s="7">
        <v>0</v>
      </c>
      <c r="AH379" s="7">
        <v>0</v>
      </c>
      <c r="AI379" s="7">
        <v>0</v>
      </c>
      <c r="AJ379" s="7">
        <v>1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1</v>
      </c>
      <c r="AQ379" s="7">
        <v>1</v>
      </c>
      <c r="AR379" s="7">
        <v>1</v>
      </c>
      <c r="AS379" s="7">
        <v>9</v>
      </c>
      <c r="AT379" s="8">
        <v>0.5</v>
      </c>
      <c r="AU379" s="14" t="s">
        <v>1119</v>
      </c>
      <c r="AV379" s="7">
        <v>22</v>
      </c>
      <c r="AW379" s="8">
        <v>0.61111111111111116</v>
      </c>
    </row>
    <row r="380" spans="1:49" ht="15.75" customHeight="1" x14ac:dyDescent="0.25">
      <c r="A380" s="5" t="s">
        <v>250</v>
      </c>
      <c r="B380" s="7" t="s">
        <v>465</v>
      </c>
      <c r="C380" s="7" t="s">
        <v>1096</v>
      </c>
      <c r="D380" s="6" t="s">
        <v>1097</v>
      </c>
      <c r="E380" s="5" t="s">
        <v>665</v>
      </c>
      <c r="F380" s="7">
        <v>1</v>
      </c>
      <c r="G380" s="7">
        <v>1</v>
      </c>
      <c r="H380" s="7">
        <v>0</v>
      </c>
      <c r="I380" s="7">
        <v>1</v>
      </c>
      <c r="J380" s="7">
        <v>1</v>
      </c>
      <c r="K380" s="7">
        <v>1</v>
      </c>
      <c r="L380" s="7">
        <v>1</v>
      </c>
      <c r="M380" s="7">
        <v>1</v>
      </c>
      <c r="N380" s="7">
        <v>1</v>
      </c>
      <c r="O380" s="7">
        <v>1</v>
      </c>
      <c r="P380" s="7">
        <v>1</v>
      </c>
      <c r="Q380" s="7">
        <v>0</v>
      </c>
      <c r="R380" s="7">
        <v>0</v>
      </c>
      <c r="S380" s="7">
        <v>1</v>
      </c>
      <c r="T380" s="7">
        <v>1</v>
      </c>
      <c r="U380" s="7">
        <v>1</v>
      </c>
      <c r="V380" s="7">
        <v>1</v>
      </c>
      <c r="W380" s="7">
        <v>1</v>
      </c>
      <c r="X380" s="7">
        <v>15</v>
      </c>
      <c r="Y380" s="8">
        <v>0.83333333333333326</v>
      </c>
      <c r="Z380" s="14" t="s">
        <v>1120</v>
      </c>
      <c r="AA380" s="7">
        <v>1</v>
      </c>
      <c r="AB380" s="7">
        <v>1</v>
      </c>
      <c r="AC380" s="7">
        <v>1</v>
      </c>
      <c r="AD380" s="7">
        <v>0</v>
      </c>
      <c r="AE380" s="7">
        <v>0</v>
      </c>
      <c r="AF380" s="7">
        <v>0</v>
      </c>
      <c r="AG380" s="7">
        <v>1</v>
      </c>
      <c r="AH380" s="7">
        <v>0</v>
      </c>
      <c r="AI380" s="7">
        <v>1</v>
      </c>
      <c r="AJ380" s="7">
        <v>1</v>
      </c>
      <c r="AK380" s="7">
        <v>1</v>
      </c>
      <c r="AL380" s="7">
        <v>1</v>
      </c>
      <c r="AM380" s="7">
        <v>1</v>
      </c>
      <c r="AN380" s="7">
        <v>1</v>
      </c>
      <c r="AO380" s="7">
        <v>1</v>
      </c>
      <c r="AP380" s="7">
        <v>1</v>
      </c>
      <c r="AQ380" s="7">
        <v>1</v>
      </c>
      <c r="AR380" s="7">
        <v>1</v>
      </c>
      <c r="AS380" s="7">
        <v>14</v>
      </c>
      <c r="AT380" s="8">
        <v>0.77777777777777768</v>
      </c>
      <c r="AU380" s="14" t="s">
        <v>1120</v>
      </c>
      <c r="AV380" s="7">
        <v>29</v>
      </c>
      <c r="AW380" s="8">
        <v>0.80555555555555558</v>
      </c>
    </row>
    <row r="381" spans="1:49" ht="15.75" customHeight="1" x14ac:dyDescent="0.25">
      <c r="A381" s="5" t="s">
        <v>250</v>
      </c>
      <c r="B381" s="7" t="s">
        <v>465</v>
      </c>
      <c r="C381" s="7" t="s">
        <v>1096</v>
      </c>
      <c r="D381" s="6" t="s">
        <v>1097</v>
      </c>
      <c r="E381" s="5" t="s">
        <v>666</v>
      </c>
      <c r="F381" s="7">
        <v>1</v>
      </c>
      <c r="G381" s="7">
        <v>1</v>
      </c>
      <c r="H381" s="7">
        <v>1</v>
      </c>
      <c r="I381" s="7">
        <v>1</v>
      </c>
      <c r="J381" s="7">
        <v>1</v>
      </c>
      <c r="K381" s="7">
        <v>1</v>
      </c>
      <c r="L381" s="7">
        <v>1</v>
      </c>
      <c r="M381" s="7">
        <v>1</v>
      </c>
      <c r="N381" s="7">
        <v>1</v>
      </c>
      <c r="O381" s="7">
        <v>1</v>
      </c>
      <c r="P381" s="7">
        <v>1</v>
      </c>
      <c r="Q381" s="7">
        <v>0</v>
      </c>
      <c r="R381" s="7">
        <v>0</v>
      </c>
      <c r="S381" s="7">
        <v>1</v>
      </c>
      <c r="T381" s="7">
        <v>1</v>
      </c>
      <c r="U381" s="7">
        <v>1</v>
      </c>
      <c r="V381" s="7">
        <v>1</v>
      </c>
      <c r="W381" s="7">
        <v>1</v>
      </c>
      <c r="X381" s="7">
        <v>16</v>
      </c>
      <c r="Y381" s="8">
        <v>0.88888888888888884</v>
      </c>
      <c r="Z381" s="14" t="s">
        <v>1120</v>
      </c>
      <c r="AA381" s="7">
        <v>0</v>
      </c>
      <c r="AB381" s="7">
        <v>1</v>
      </c>
      <c r="AC381" s="7">
        <v>0</v>
      </c>
      <c r="AD381" s="7">
        <v>0</v>
      </c>
      <c r="AE381" s="7">
        <v>1</v>
      </c>
      <c r="AF381" s="7">
        <v>1</v>
      </c>
      <c r="AG381" s="7">
        <v>1</v>
      </c>
      <c r="AH381" s="7">
        <v>1</v>
      </c>
      <c r="AI381" s="7">
        <v>1</v>
      </c>
      <c r="AJ381" s="7">
        <v>1</v>
      </c>
      <c r="AK381" s="7">
        <v>0</v>
      </c>
      <c r="AL381" s="7">
        <v>1</v>
      </c>
      <c r="AM381" s="7">
        <v>0</v>
      </c>
      <c r="AN381" s="7">
        <v>1</v>
      </c>
      <c r="AO381" s="7">
        <v>1</v>
      </c>
      <c r="AP381" s="7">
        <v>1</v>
      </c>
      <c r="AQ381" s="7">
        <v>1</v>
      </c>
      <c r="AR381" s="7">
        <v>1</v>
      </c>
      <c r="AS381" s="7">
        <v>13</v>
      </c>
      <c r="AT381" s="8">
        <v>0.72222222222222232</v>
      </c>
      <c r="AU381" s="14" t="s">
        <v>1120</v>
      </c>
      <c r="AV381" s="7">
        <v>29</v>
      </c>
      <c r="AW381" s="8">
        <v>0.80555555555555558</v>
      </c>
    </row>
    <row r="382" spans="1:49" ht="15.75" customHeight="1" x14ac:dyDescent="0.25">
      <c r="A382" s="5" t="s">
        <v>250</v>
      </c>
      <c r="B382" s="7" t="s">
        <v>667</v>
      </c>
      <c r="C382" s="7" t="s">
        <v>1103</v>
      </c>
      <c r="D382" s="6" t="s">
        <v>1097</v>
      </c>
      <c r="E382" s="5" t="s">
        <v>668</v>
      </c>
      <c r="F382" s="7">
        <v>1</v>
      </c>
      <c r="G382" s="7">
        <v>1</v>
      </c>
      <c r="H382" s="7">
        <v>0</v>
      </c>
      <c r="I382" s="7">
        <v>1</v>
      </c>
      <c r="J382" s="7">
        <v>1</v>
      </c>
      <c r="K382" s="7">
        <v>1</v>
      </c>
      <c r="L382" s="7">
        <v>1</v>
      </c>
      <c r="M382" s="7">
        <v>0</v>
      </c>
      <c r="N382" s="7">
        <v>1</v>
      </c>
      <c r="O382" s="7">
        <v>1</v>
      </c>
      <c r="P382" s="7">
        <v>1</v>
      </c>
      <c r="Q382" s="7">
        <v>1</v>
      </c>
      <c r="R382" s="7">
        <v>1</v>
      </c>
      <c r="S382" s="7">
        <v>1</v>
      </c>
      <c r="T382" s="7">
        <v>1</v>
      </c>
      <c r="U382" s="7">
        <v>1</v>
      </c>
      <c r="V382" s="7">
        <v>1</v>
      </c>
      <c r="W382" s="7">
        <v>0</v>
      </c>
      <c r="X382" s="7">
        <v>1</v>
      </c>
      <c r="Y382" s="8">
        <v>5.5555555555555552E-2</v>
      </c>
      <c r="Z382" s="14" t="s">
        <v>1102</v>
      </c>
      <c r="AA382" s="7">
        <v>1</v>
      </c>
      <c r="AB382" s="7">
        <v>1</v>
      </c>
      <c r="AC382" s="7">
        <v>1</v>
      </c>
      <c r="AD382" s="7">
        <v>1</v>
      </c>
      <c r="AE382" s="7">
        <v>1</v>
      </c>
      <c r="AF382" s="7">
        <v>0</v>
      </c>
      <c r="AG382" s="7">
        <v>1</v>
      </c>
      <c r="AH382" s="7">
        <v>1</v>
      </c>
      <c r="AI382" s="7">
        <v>1</v>
      </c>
      <c r="AJ382" s="7">
        <v>1</v>
      </c>
      <c r="AK382" s="7">
        <v>1</v>
      </c>
      <c r="AL382" s="7">
        <v>1</v>
      </c>
      <c r="AM382" s="7">
        <v>0</v>
      </c>
      <c r="AN382" s="7">
        <v>1</v>
      </c>
      <c r="AO382" s="7">
        <v>0</v>
      </c>
      <c r="AP382" s="7">
        <v>1</v>
      </c>
      <c r="AQ382" s="7">
        <v>1</v>
      </c>
      <c r="AR382" s="7">
        <v>1</v>
      </c>
      <c r="AS382" s="7">
        <v>15</v>
      </c>
      <c r="AT382" s="8">
        <v>0.83333333333333326</v>
      </c>
      <c r="AU382" s="14" t="s">
        <v>1120</v>
      </c>
      <c r="AV382" s="7">
        <v>30</v>
      </c>
      <c r="AW382" s="8">
        <v>0.83333333333333326</v>
      </c>
    </row>
    <row r="383" spans="1:49" ht="15.75" customHeight="1" x14ac:dyDescent="0.25">
      <c r="A383" s="5" t="s">
        <v>250</v>
      </c>
      <c r="B383" s="7" t="s">
        <v>667</v>
      </c>
      <c r="C383" s="7" t="s">
        <v>1103</v>
      </c>
      <c r="D383" s="6" t="s">
        <v>1097</v>
      </c>
      <c r="E383" s="5" t="s">
        <v>669</v>
      </c>
      <c r="F383" s="7">
        <v>1</v>
      </c>
      <c r="G383" s="7">
        <v>1</v>
      </c>
      <c r="H383" s="7">
        <v>1</v>
      </c>
      <c r="I383" s="7">
        <v>1</v>
      </c>
      <c r="J383" s="7">
        <v>0</v>
      </c>
      <c r="K383" s="7">
        <v>1</v>
      </c>
      <c r="L383" s="7">
        <v>1</v>
      </c>
      <c r="M383" s="7">
        <v>0</v>
      </c>
      <c r="N383" s="7">
        <v>0</v>
      </c>
      <c r="O383" s="7">
        <v>1</v>
      </c>
      <c r="P383" s="7">
        <v>1</v>
      </c>
      <c r="Q383" s="7">
        <v>1</v>
      </c>
      <c r="R383" s="7">
        <v>0</v>
      </c>
      <c r="S383" s="7">
        <v>0</v>
      </c>
      <c r="T383" s="7">
        <v>1</v>
      </c>
      <c r="U383" s="7">
        <v>0</v>
      </c>
      <c r="V383" s="7">
        <v>1</v>
      </c>
      <c r="W383" s="7">
        <v>1</v>
      </c>
      <c r="X383" s="7">
        <v>12</v>
      </c>
      <c r="Y383" s="8">
        <v>0.66666666666666674</v>
      </c>
      <c r="Z383" s="14" t="s">
        <v>1119</v>
      </c>
      <c r="AA383" s="7">
        <v>1</v>
      </c>
      <c r="AB383" s="7">
        <v>1</v>
      </c>
      <c r="AC383" s="7">
        <v>1</v>
      </c>
      <c r="AD383" s="7">
        <v>0</v>
      </c>
      <c r="AE383" s="7">
        <v>0</v>
      </c>
      <c r="AF383" s="7">
        <v>1</v>
      </c>
      <c r="AG383" s="7">
        <v>1</v>
      </c>
      <c r="AH383" s="7">
        <v>0</v>
      </c>
      <c r="AI383" s="7">
        <v>1</v>
      </c>
      <c r="AJ383" s="7">
        <v>1</v>
      </c>
      <c r="AK383" s="7">
        <v>1</v>
      </c>
      <c r="AL383" s="7">
        <v>1</v>
      </c>
      <c r="AM383" s="7">
        <v>0</v>
      </c>
      <c r="AN383" s="7">
        <v>0</v>
      </c>
      <c r="AO383" s="7">
        <v>1</v>
      </c>
      <c r="AP383" s="7">
        <v>0</v>
      </c>
      <c r="AQ383" s="7">
        <v>1</v>
      </c>
      <c r="AR383" s="7">
        <v>1</v>
      </c>
      <c r="AS383" s="7">
        <v>12</v>
      </c>
      <c r="AT383" s="8">
        <v>0.66666666666666674</v>
      </c>
      <c r="AU383" s="14" t="s">
        <v>1119</v>
      </c>
      <c r="AV383" s="7">
        <v>24</v>
      </c>
      <c r="AW383" s="8">
        <v>0.66666666666666674</v>
      </c>
    </row>
    <row r="384" spans="1:49" ht="15.75" customHeight="1" x14ac:dyDescent="0.25">
      <c r="A384" s="5" t="s">
        <v>250</v>
      </c>
      <c r="B384" s="7" t="s">
        <v>667</v>
      </c>
      <c r="C384" s="7" t="s">
        <v>1103</v>
      </c>
      <c r="D384" s="6" t="s">
        <v>1097</v>
      </c>
      <c r="E384" s="5" t="s">
        <v>670</v>
      </c>
      <c r="F384" s="7">
        <v>1</v>
      </c>
      <c r="G384" s="7">
        <v>1</v>
      </c>
      <c r="H384" s="7">
        <v>1</v>
      </c>
      <c r="I384" s="7">
        <v>1</v>
      </c>
      <c r="J384" s="7">
        <v>0</v>
      </c>
      <c r="K384" s="7">
        <v>1</v>
      </c>
      <c r="L384" s="7">
        <v>1</v>
      </c>
      <c r="M384" s="7">
        <v>1</v>
      </c>
      <c r="N384" s="7">
        <v>1</v>
      </c>
      <c r="O384" s="7">
        <v>1</v>
      </c>
      <c r="P384" s="7">
        <v>1</v>
      </c>
      <c r="Q384" s="7">
        <v>1</v>
      </c>
      <c r="R384" s="7">
        <v>1</v>
      </c>
      <c r="S384" s="7">
        <v>1</v>
      </c>
      <c r="T384" s="7">
        <v>1</v>
      </c>
      <c r="U384" s="7">
        <v>1</v>
      </c>
      <c r="V384" s="7">
        <v>1</v>
      </c>
      <c r="W384" s="7">
        <v>1</v>
      </c>
      <c r="X384" s="7">
        <v>18</v>
      </c>
      <c r="Y384" s="8">
        <v>1</v>
      </c>
      <c r="Z384" s="14" t="s">
        <v>1120</v>
      </c>
      <c r="AA384" s="7">
        <v>1</v>
      </c>
      <c r="AB384" s="7">
        <v>1</v>
      </c>
      <c r="AC384" s="7">
        <v>0</v>
      </c>
      <c r="AD384" s="7">
        <v>1</v>
      </c>
      <c r="AE384" s="7">
        <v>0</v>
      </c>
      <c r="AF384" s="7">
        <v>1</v>
      </c>
      <c r="AG384" s="7">
        <v>1</v>
      </c>
      <c r="AH384" s="7">
        <v>1</v>
      </c>
      <c r="AI384" s="7">
        <v>1</v>
      </c>
      <c r="AJ384" s="7">
        <v>1</v>
      </c>
      <c r="AK384" s="7">
        <v>1</v>
      </c>
      <c r="AL384" s="7">
        <v>1</v>
      </c>
      <c r="AM384" s="7">
        <v>0</v>
      </c>
      <c r="AN384" s="7">
        <v>0</v>
      </c>
      <c r="AO384" s="7">
        <v>0</v>
      </c>
      <c r="AP384" s="7">
        <v>1</v>
      </c>
      <c r="AQ384" s="7">
        <v>1</v>
      </c>
      <c r="AR384" s="7">
        <v>1</v>
      </c>
      <c r="AS384" s="7">
        <v>13</v>
      </c>
      <c r="AT384" s="8">
        <v>0.72222222222222232</v>
      </c>
      <c r="AU384" s="14" t="s">
        <v>1120</v>
      </c>
      <c r="AV384" s="7">
        <v>30</v>
      </c>
      <c r="AW384" s="8">
        <v>0.83333333333333326</v>
      </c>
    </row>
    <row r="385" spans="1:49" ht="15.75" customHeight="1" x14ac:dyDescent="0.25">
      <c r="A385" s="5" t="s">
        <v>250</v>
      </c>
      <c r="B385" s="7" t="s">
        <v>667</v>
      </c>
      <c r="C385" s="6" t="s">
        <v>1099</v>
      </c>
      <c r="D385" s="6" t="s">
        <v>1097</v>
      </c>
      <c r="E385" s="5" t="s">
        <v>671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18</v>
      </c>
      <c r="Y385" s="8">
        <v>1</v>
      </c>
      <c r="Z385" s="14" t="s">
        <v>1120</v>
      </c>
      <c r="AA385" s="7">
        <v>1</v>
      </c>
      <c r="AB385" s="7">
        <v>1</v>
      </c>
      <c r="AC385" s="7">
        <v>1</v>
      </c>
      <c r="AD385" s="7">
        <v>1</v>
      </c>
      <c r="AE385" s="7">
        <v>1</v>
      </c>
      <c r="AF385" s="7">
        <v>1</v>
      </c>
      <c r="AG385" s="7">
        <v>1</v>
      </c>
      <c r="AH385" s="7">
        <v>1</v>
      </c>
      <c r="AI385" s="7">
        <v>1</v>
      </c>
      <c r="AJ385" s="7">
        <v>1</v>
      </c>
      <c r="AK385" s="7">
        <v>1</v>
      </c>
      <c r="AL385" s="7">
        <v>1</v>
      </c>
      <c r="AM385" s="7">
        <v>1</v>
      </c>
      <c r="AN385" s="7">
        <v>1</v>
      </c>
      <c r="AO385" s="7">
        <v>1</v>
      </c>
      <c r="AP385" s="7">
        <v>1</v>
      </c>
      <c r="AQ385" s="7">
        <v>1</v>
      </c>
      <c r="AR385" s="7">
        <v>1</v>
      </c>
      <c r="AS385" s="7">
        <v>18</v>
      </c>
      <c r="AT385" s="8">
        <v>1</v>
      </c>
      <c r="AU385" s="14" t="s">
        <v>1120</v>
      </c>
      <c r="AV385" s="7">
        <v>18</v>
      </c>
      <c r="AW385" s="8">
        <v>0.5</v>
      </c>
    </row>
    <row r="386" spans="1:49" ht="15.75" customHeight="1" x14ac:dyDescent="0.25">
      <c r="A386" s="5" t="s">
        <v>250</v>
      </c>
      <c r="B386" s="7" t="s">
        <v>667</v>
      </c>
      <c r="C386" s="7" t="s">
        <v>1096</v>
      </c>
      <c r="D386" s="6" t="s">
        <v>1097</v>
      </c>
      <c r="E386" s="5" t="s">
        <v>672</v>
      </c>
      <c r="F386" s="7">
        <v>1</v>
      </c>
      <c r="G386" s="7">
        <v>1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0</v>
      </c>
      <c r="N386" s="7">
        <v>1</v>
      </c>
      <c r="O386" s="7">
        <v>1</v>
      </c>
      <c r="P386" s="7">
        <v>1</v>
      </c>
      <c r="Q386" s="7">
        <v>1</v>
      </c>
      <c r="R386" s="7">
        <v>1</v>
      </c>
      <c r="S386" s="7">
        <v>1</v>
      </c>
      <c r="T386" s="7">
        <v>1</v>
      </c>
      <c r="U386" s="7">
        <v>1</v>
      </c>
      <c r="V386" s="7">
        <v>1</v>
      </c>
      <c r="W386" s="7">
        <v>1</v>
      </c>
      <c r="X386" s="7">
        <v>17</v>
      </c>
      <c r="Y386" s="8">
        <v>0.94444444444444442</v>
      </c>
      <c r="Z386" s="14" t="s">
        <v>1120</v>
      </c>
      <c r="AA386" s="7">
        <v>1</v>
      </c>
      <c r="AB386" s="7">
        <v>1</v>
      </c>
      <c r="AC386" s="7">
        <v>1</v>
      </c>
      <c r="AD386" s="7">
        <v>1</v>
      </c>
      <c r="AE386" s="7">
        <v>1</v>
      </c>
      <c r="AF386" s="7">
        <v>1</v>
      </c>
      <c r="AG386" s="7">
        <v>1</v>
      </c>
      <c r="AH386" s="7">
        <v>1</v>
      </c>
      <c r="AI386" s="7">
        <v>1</v>
      </c>
      <c r="AJ386" s="7">
        <v>1</v>
      </c>
      <c r="AK386" s="7">
        <v>1</v>
      </c>
      <c r="AL386" s="7">
        <v>1</v>
      </c>
      <c r="AM386" s="7">
        <v>0</v>
      </c>
      <c r="AN386" s="7">
        <v>0</v>
      </c>
      <c r="AO386" s="7">
        <v>1</v>
      </c>
      <c r="AP386" s="7">
        <v>1</v>
      </c>
      <c r="AQ386" s="7">
        <v>1</v>
      </c>
      <c r="AR386" s="7">
        <v>0</v>
      </c>
      <c r="AS386" s="7">
        <v>15</v>
      </c>
      <c r="AT386" s="8">
        <v>0.83333333333333326</v>
      </c>
      <c r="AU386" s="14" t="s">
        <v>1120</v>
      </c>
      <c r="AV386" s="7">
        <v>32</v>
      </c>
      <c r="AW386" s="8">
        <v>0.88888888888888884</v>
      </c>
    </row>
    <row r="387" spans="1:49" ht="15.75" customHeight="1" x14ac:dyDescent="0.25">
      <c r="A387" s="5" t="s">
        <v>250</v>
      </c>
      <c r="B387" s="7" t="s">
        <v>667</v>
      </c>
      <c r="C387" s="7" t="s">
        <v>1103</v>
      </c>
      <c r="D387" s="6" t="s">
        <v>1097</v>
      </c>
      <c r="E387" s="5" t="s">
        <v>673</v>
      </c>
      <c r="F387" s="7">
        <v>1</v>
      </c>
      <c r="G387" s="7">
        <v>1</v>
      </c>
      <c r="H387" s="7">
        <v>1</v>
      </c>
      <c r="I387" s="7">
        <v>1</v>
      </c>
      <c r="J387" s="7">
        <v>0</v>
      </c>
      <c r="K387" s="7">
        <v>1</v>
      </c>
      <c r="L387" s="7">
        <v>0</v>
      </c>
      <c r="M387" s="7">
        <v>0</v>
      </c>
      <c r="N387" s="7">
        <v>1</v>
      </c>
      <c r="O387" s="7">
        <v>1</v>
      </c>
      <c r="P387" s="7">
        <v>0</v>
      </c>
      <c r="Q387" s="7">
        <v>1</v>
      </c>
      <c r="R387" s="7">
        <v>0</v>
      </c>
      <c r="S387" s="7">
        <v>1</v>
      </c>
      <c r="T387" s="7">
        <v>1</v>
      </c>
      <c r="U387" s="7">
        <v>1</v>
      </c>
      <c r="V387" s="7">
        <v>1</v>
      </c>
      <c r="W387" s="7">
        <v>0</v>
      </c>
      <c r="X387" s="7">
        <v>12</v>
      </c>
      <c r="Y387" s="8">
        <v>0.66666666666666674</v>
      </c>
      <c r="Z387" s="14" t="s">
        <v>1119</v>
      </c>
      <c r="AA387" s="7">
        <v>1</v>
      </c>
      <c r="AB387" s="7">
        <v>1</v>
      </c>
      <c r="AC387" s="7">
        <v>1</v>
      </c>
      <c r="AD387" s="7">
        <v>1</v>
      </c>
      <c r="AE387" s="7">
        <v>1</v>
      </c>
      <c r="AF387" s="7">
        <v>1</v>
      </c>
      <c r="AG387" s="7">
        <v>1</v>
      </c>
      <c r="AH387" s="7">
        <v>1</v>
      </c>
      <c r="AI387" s="7">
        <v>1</v>
      </c>
      <c r="AJ387" s="7">
        <v>1</v>
      </c>
      <c r="AK387" s="7">
        <v>1</v>
      </c>
      <c r="AL387" s="7">
        <v>0</v>
      </c>
      <c r="AM387" s="7">
        <v>0</v>
      </c>
      <c r="AN387" s="7">
        <v>1</v>
      </c>
      <c r="AO387" s="7">
        <v>1</v>
      </c>
      <c r="AP387" s="7">
        <v>1</v>
      </c>
      <c r="AQ387" s="7">
        <v>1</v>
      </c>
      <c r="AR387" s="7">
        <v>1</v>
      </c>
      <c r="AS387" s="7">
        <v>16</v>
      </c>
      <c r="AT387" s="8">
        <v>0.88888888888888884</v>
      </c>
      <c r="AU387" s="14" t="s">
        <v>1120</v>
      </c>
      <c r="AV387" s="7">
        <v>28</v>
      </c>
      <c r="AW387" s="8">
        <v>0.77777777777777768</v>
      </c>
    </row>
    <row r="388" spans="1:49" ht="15.75" customHeight="1" x14ac:dyDescent="0.25">
      <c r="A388" s="5" t="s">
        <v>250</v>
      </c>
      <c r="B388" s="7" t="s">
        <v>667</v>
      </c>
      <c r="C388" s="7" t="s">
        <v>1103</v>
      </c>
      <c r="D388" s="6" t="s">
        <v>1097</v>
      </c>
      <c r="E388" s="5" t="s">
        <v>674</v>
      </c>
      <c r="F388" s="7">
        <v>1</v>
      </c>
      <c r="G388" s="7">
        <v>1</v>
      </c>
      <c r="H388" s="7">
        <v>0</v>
      </c>
      <c r="I388" s="7">
        <v>1</v>
      </c>
      <c r="J388" s="7">
        <v>1</v>
      </c>
      <c r="K388" s="7">
        <v>1</v>
      </c>
      <c r="L388" s="7">
        <v>0</v>
      </c>
      <c r="M388" s="7">
        <v>1</v>
      </c>
      <c r="N388" s="7">
        <v>0</v>
      </c>
      <c r="O388" s="7">
        <v>1</v>
      </c>
      <c r="P388" s="7">
        <v>1</v>
      </c>
      <c r="Q388" s="7">
        <v>1</v>
      </c>
      <c r="R388" s="7">
        <v>1</v>
      </c>
      <c r="S388" s="7">
        <v>1</v>
      </c>
      <c r="T388" s="7">
        <v>1</v>
      </c>
      <c r="U388" s="7">
        <v>1</v>
      </c>
      <c r="V388" s="7">
        <v>1</v>
      </c>
      <c r="W388" s="7">
        <v>1</v>
      </c>
      <c r="X388" s="7">
        <v>15</v>
      </c>
      <c r="Y388" s="8">
        <v>0.83333333333333326</v>
      </c>
      <c r="Z388" s="14" t="s">
        <v>1120</v>
      </c>
      <c r="AA388" s="7">
        <v>1</v>
      </c>
      <c r="AB388" s="7">
        <v>1</v>
      </c>
      <c r="AC388" s="7">
        <v>1</v>
      </c>
      <c r="AD388" s="7">
        <v>1</v>
      </c>
      <c r="AE388" s="7">
        <v>0</v>
      </c>
      <c r="AF388" s="7">
        <v>1</v>
      </c>
      <c r="AG388" s="7">
        <v>1</v>
      </c>
      <c r="AH388" s="7">
        <v>1</v>
      </c>
      <c r="AI388" s="7">
        <v>0</v>
      </c>
      <c r="AJ388" s="7">
        <v>1</v>
      </c>
      <c r="AK388" s="7">
        <v>1</v>
      </c>
      <c r="AL388" s="7">
        <v>0</v>
      </c>
      <c r="AM388" s="7">
        <v>0</v>
      </c>
      <c r="AN388" s="7">
        <v>1</v>
      </c>
      <c r="AO388" s="7">
        <v>1</v>
      </c>
      <c r="AP388" s="7">
        <v>1</v>
      </c>
      <c r="AQ388" s="7">
        <v>1</v>
      </c>
      <c r="AR388" s="7">
        <v>1</v>
      </c>
      <c r="AS388" s="7">
        <v>14</v>
      </c>
      <c r="AT388" s="8">
        <v>0.77777777777777768</v>
      </c>
      <c r="AU388" s="14" t="s">
        <v>1120</v>
      </c>
      <c r="AV388" s="7">
        <v>29</v>
      </c>
      <c r="AW388" s="8">
        <v>0.80555555555555558</v>
      </c>
    </row>
    <row r="389" spans="1:49" ht="15.75" customHeight="1" x14ac:dyDescent="0.25">
      <c r="A389" s="5" t="s">
        <v>250</v>
      </c>
      <c r="B389" s="7" t="s">
        <v>667</v>
      </c>
      <c r="C389" s="7" t="s">
        <v>1103</v>
      </c>
      <c r="D389" s="6" t="s">
        <v>1097</v>
      </c>
      <c r="E389" s="5" t="s">
        <v>675</v>
      </c>
      <c r="F389" s="7">
        <v>1</v>
      </c>
      <c r="G389" s="7">
        <v>1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  <c r="M389" s="7">
        <v>1</v>
      </c>
      <c r="N389" s="7">
        <v>1</v>
      </c>
      <c r="O389" s="7">
        <v>1</v>
      </c>
      <c r="P389" s="7">
        <v>1</v>
      </c>
      <c r="Q389" s="7">
        <v>1</v>
      </c>
      <c r="R389" s="7">
        <v>1</v>
      </c>
      <c r="S389" s="7">
        <v>1</v>
      </c>
      <c r="T389" s="7">
        <v>1</v>
      </c>
      <c r="U389" s="7">
        <v>1</v>
      </c>
      <c r="V389" s="7">
        <v>1</v>
      </c>
      <c r="W389" s="7">
        <v>1</v>
      </c>
      <c r="X389" s="7">
        <v>18</v>
      </c>
      <c r="Y389" s="8">
        <v>1</v>
      </c>
      <c r="Z389" s="14" t="s">
        <v>1120</v>
      </c>
      <c r="AA389" s="7">
        <v>1</v>
      </c>
      <c r="AB389" s="7">
        <v>1</v>
      </c>
      <c r="AC389" s="7">
        <v>1</v>
      </c>
      <c r="AD389" s="7">
        <v>1</v>
      </c>
      <c r="AE389" s="7">
        <v>1</v>
      </c>
      <c r="AF389" s="7">
        <v>0</v>
      </c>
      <c r="AG389" s="7">
        <v>1</v>
      </c>
      <c r="AH389" s="7">
        <v>1</v>
      </c>
      <c r="AI389" s="7">
        <v>1</v>
      </c>
      <c r="AJ389" s="7">
        <v>1</v>
      </c>
      <c r="AK389" s="7">
        <v>1</v>
      </c>
      <c r="AL389" s="7">
        <v>0</v>
      </c>
      <c r="AM389" s="7">
        <v>0</v>
      </c>
      <c r="AN389" s="7">
        <v>1</v>
      </c>
      <c r="AO389" s="7">
        <v>0</v>
      </c>
      <c r="AP389" s="7">
        <v>1</v>
      </c>
      <c r="AQ389" s="7">
        <v>1</v>
      </c>
      <c r="AR389" s="7">
        <v>1</v>
      </c>
      <c r="AS389" s="7">
        <v>14</v>
      </c>
      <c r="AT389" s="8">
        <v>0.77777777777777768</v>
      </c>
      <c r="AU389" s="14" t="s">
        <v>1120</v>
      </c>
      <c r="AV389" s="7">
        <v>32</v>
      </c>
      <c r="AW389" s="8">
        <v>0.88888888888888884</v>
      </c>
    </row>
    <row r="390" spans="1:49" ht="15.75" customHeight="1" x14ac:dyDescent="0.25">
      <c r="A390" s="5" t="s">
        <v>250</v>
      </c>
      <c r="B390" s="7" t="s">
        <v>667</v>
      </c>
      <c r="C390" s="7" t="s">
        <v>1103</v>
      </c>
      <c r="D390" s="6" t="s">
        <v>1097</v>
      </c>
      <c r="E390" s="5" t="s">
        <v>676</v>
      </c>
      <c r="F390" s="7">
        <v>1</v>
      </c>
      <c r="G390" s="7">
        <v>1</v>
      </c>
      <c r="H390" s="7">
        <v>0</v>
      </c>
      <c r="I390" s="7">
        <v>1</v>
      </c>
      <c r="J390" s="7">
        <v>1</v>
      </c>
      <c r="K390" s="7">
        <v>1</v>
      </c>
      <c r="L390" s="7">
        <v>1</v>
      </c>
      <c r="M390" s="7">
        <v>1</v>
      </c>
      <c r="N390" s="7">
        <v>1</v>
      </c>
      <c r="O390" s="7">
        <v>1</v>
      </c>
      <c r="P390" s="7">
        <v>1</v>
      </c>
      <c r="Q390" s="7">
        <v>1</v>
      </c>
      <c r="R390" s="7">
        <v>1</v>
      </c>
      <c r="S390" s="7">
        <v>1</v>
      </c>
      <c r="T390" s="7">
        <v>1</v>
      </c>
      <c r="U390" s="7">
        <v>1</v>
      </c>
      <c r="V390" s="7">
        <v>0</v>
      </c>
      <c r="W390" s="7">
        <v>1</v>
      </c>
      <c r="X390" s="7">
        <v>16</v>
      </c>
      <c r="Y390" s="8">
        <v>0.88888888888888884</v>
      </c>
      <c r="Z390" s="14" t="s">
        <v>1120</v>
      </c>
      <c r="AA390" s="7">
        <v>1</v>
      </c>
      <c r="AB390" s="7">
        <v>1</v>
      </c>
      <c r="AC390" s="7">
        <v>1</v>
      </c>
      <c r="AD390" s="7">
        <v>1</v>
      </c>
      <c r="AE390" s="7">
        <v>0</v>
      </c>
      <c r="AF390" s="7">
        <v>1</v>
      </c>
      <c r="AG390" s="7">
        <v>1</v>
      </c>
      <c r="AH390" s="7">
        <v>1</v>
      </c>
      <c r="AI390" s="7">
        <v>1</v>
      </c>
      <c r="AJ390" s="7">
        <v>1</v>
      </c>
      <c r="AK390" s="7">
        <v>1</v>
      </c>
      <c r="AL390" s="7">
        <v>1</v>
      </c>
      <c r="AM390" s="7">
        <v>0</v>
      </c>
      <c r="AN390" s="7">
        <v>1</v>
      </c>
      <c r="AO390" s="7">
        <v>1</v>
      </c>
      <c r="AP390" s="7">
        <v>1</v>
      </c>
      <c r="AQ390" s="7">
        <v>1</v>
      </c>
      <c r="AR390" s="7">
        <v>1</v>
      </c>
      <c r="AS390" s="7">
        <v>16</v>
      </c>
      <c r="AT390" s="8">
        <v>0.88888888888888884</v>
      </c>
      <c r="AU390" s="14" t="s">
        <v>1120</v>
      </c>
      <c r="AV390" s="7">
        <v>32</v>
      </c>
      <c r="AW390" s="8">
        <v>0.88888888888888884</v>
      </c>
    </row>
    <row r="391" spans="1:49" ht="15.75" customHeight="1" x14ac:dyDescent="0.25">
      <c r="A391" s="5" t="s">
        <v>250</v>
      </c>
      <c r="B391" s="7" t="s">
        <v>667</v>
      </c>
      <c r="C391" s="7" t="s">
        <v>1103</v>
      </c>
      <c r="D391" s="6" t="s">
        <v>1097</v>
      </c>
      <c r="E391" s="5" t="s">
        <v>677</v>
      </c>
      <c r="F391" s="7">
        <v>0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  <c r="M391" s="7">
        <v>1</v>
      </c>
      <c r="N391" s="7">
        <v>0</v>
      </c>
      <c r="O391" s="7">
        <v>1</v>
      </c>
      <c r="P391" s="7">
        <v>1</v>
      </c>
      <c r="Q391" s="7">
        <v>1</v>
      </c>
      <c r="R391" s="7">
        <v>0</v>
      </c>
      <c r="S391" s="7">
        <v>1</v>
      </c>
      <c r="T391" s="7">
        <v>1</v>
      </c>
      <c r="U391" s="7">
        <v>1</v>
      </c>
      <c r="V391" s="7">
        <v>1</v>
      </c>
      <c r="W391" s="7">
        <v>1</v>
      </c>
      <c r="X391" s="7">
        <v>18</v>
      </c>
      <c r="Y391" s="8">
        <v>1</v>
      </c>
      <c r="Z391" s="14" t="s">
        <v>1120</v>
      </c>
      <c r="AA391" s="7">
        <v>1</v>
      </c>
      <c r="AB391" s="7">
        <v>1</v>
      </c>
      <c r="AC391" s="7">
        <v>1</v>
      </c>
      <c r="AD391" s="7">
        <v>1</v>
      </c>
      <c r="AE391" s="7">
        <v>0</v>
      </c>
      <c r="AF391" s="7">
        <v>0</v>
      </c>
      <c r="AG391" s="7">
        <v>1</v>
      </c>
      <c r="AH391" s="7">
        <v>1</v>
      </c>
      <c r="AI391" s="7">
        <v>0</v>
      </c>
      <c r="AJ391" s="7">
        <v>1</v>
      </c>
      <c r="AK391" s="7">
        <v>1</v>
      </c>
      <c r="AL391" s="7">
        <v>1</v>
      </c>
      <c r="AM391" s="7">
        <v>0</v>
      </c>
      <c r="AN391" s="7">
        <v>0</v>
      </c>
      <c r="AO391" s="7">
        <v>1</v>
      </c>
      <c r="AP391" s="7">
        <v>1</v>
      </c>
      <c r="AQ391" s="7">
        <v>1</v>
      </c>
      <c r="AR391" s="7">
        <v>1</v>
      </c>
      <c r="AS391" s="7">
        <v>13</v>
      </c>
      <c r="AT391" s="8">
        <v>0.72222222222222232</v>
      </c>
      <c r="AU391" s="14" t="s">
        <v>1120</v>
      </c>
      <c r="AV391" s="7">
        <v>28</v>
      </c>
      <c r="AW391" s="8">
        <v>0.77777777777777768</v>
      </c>
    </row>
    <row r="392" spans="1:49" ht="15.75" customHeight="1" x14ac:dyDescent="0.25">
      <c r="A392" s="5" t="s">
        <v>250</v>
      </c>
      <c r="B392" s="7" t="s">
        <v>667</v>
      </c>
      <c r="C392" s="7" t="s">
        <v>1117</v>
      </c>
      <c r="D392" s="6" t="s">
        <v>1097</v>
      </c>
      <c r="E392" s="5" t="s">
        <v>1182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7">
        <v>1</v>
      </c>
      <c r="L392" s="7">
        <v>1</v>
      </c>
      <c r="M392" s="7">
        <v>0</v>
      </c>
      <c r="N392" s="7">
        <v>1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1</v>
      </c>
      <c r="W392" s="7">
        <v>0</v>
      </c>
      <c r="X392" s="7">
        <v>18</v>
      </c>
      <c r="Y392" s="8">
        <v>1</v>
      </c>
      <c r="Z392" s="14" t="s">
        <v>1120</v>
      </c>
      <c r="AA392" s="7">
        <v>0</v>
      </c>
      <c r="AB392" s="7">
        <v>0</v>
      </c>
      <c r="AC392" s="7">
        <v>0</v>
      </c>
      <c r="AD392" s="7">
        <v>0</v>
      </c>
      <c r="AE392" s="7">
        <v>1</v>
      </c>
      <c r="AF392" s="7">
        <v>0</v>
      </c>
      <c r="AG392" s="7">
        <v>0</v>
      </c>
      <c r="AH392" s="7">
        <v>0</v>
      </c>
      <c r="AI392" s="7">
        <v>1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1</v>
      </c>
      <c r="AP392" s="7">
        <v>0</v>
      </c>
      <c r="AQ392" s="7">
        <v>0</v>
      </c>
      <c r="AR392" s="7">
        <v>0</v>
      </c>
      <c r="AS392" s="7">
        <v>3</v>
      </c>
      <c r="AT392" s="8">
        <v>0.16666666666666669</v>
      </c>
      <c r="AU392" s="14" t="s">
        <v>1102</v>
      </c>
      <c r="AV392" s="7">
        <v>8</v>
      </c>
      <c r="AW392" s="8">
        <v>0.22222222222222221</v>
      </c>
    </row>
    <row r="393" spans="1:49" ht="15.75" customHeight="1" x14ac:dyDescent="0.25">
      <c r="A393" s="5" t="s">
        <v>250</v>
      </c>
      <c r="B393" s="7" t="s">
        <v>667</v>
      </c>
      <c r="C393" s="7" t="s">
        <v>1103</v>
      </c>
      <c r="D393" s="6" t="s">
        <v>1097</v>
      </c>
      <c r="E393" s="5" t="s">
        <v>678</v>
      </c>
      <c r="F393" s="7">
        <v>1</v>
      </c>
      <c r="G393" s="7">
        <v>1</v>
      </c>
      <c r="H393" s="7">
        <v>1</v>
      </c>
      <c r="I393" s="7">
        <v>1</v>
      </c>
      <c r="J393" s="7">
        <v>1</v>
      </c>
      <c r="K393" s="7">
        <v>1</v>
      </c>
      <c r="L393" s="7">
        <v>1</v>
      </c>
      <c r="M393" s="7">
        <v>1</v>
      </c>
      <c r="N393" s="7">
        <v>1</v>
      </c>
      <c r="O393" s="7">
        <v>1</v>
      </c>
      <c r="P393" s="7">
        <v>1</v>
      </c>
      <c r="Q393" s="7">
        <v>1</v>
      </c>
      <c r="R393" s="7">
        <v>1</v>
      </c>
      <c r="S393" s="7">
        <v>1</v>
      </c>
      <c r="T393" s="7">
        <v>1</v>
      </c>
      <c r="U393" s="7">
        <v>1</v>
      </c>
      <c r="V393" s="7">
        <v>1</v>
      </c>
      <c r="W393" s="7">
        <v>1</v>
      </c>
      <c r="X393" s="7">
        <v>18</v>
      </c>
      <c r="Y393" s="8">
        <v>1</v>
      </c>
      <c r="Z393" s="14" t="s">
        <v>1120</v>
      </c>
      <c r="AA393" s="7">
        <v>0</v>
      </c>
      <c r="AB393" s="7">
        <v>1</v>
      </c>
      <c r="AC393" s="7">
        <v>1</v>
      </c>
      <c r="AD393" s="7">
        <v>0</v>
      </c>
      <c r="AE393" s="7">
        <v>0</v>
      </c>
      <c r="AF393" s="7">
        <v>0</v>
      </c>
      <c r="AG393" s="7">
        <v>1</v>
      </c>
      <c r="AH393" s="7">
        <v>1</v>
      </c>
      <c r="AI393" s="7">
        <v>0</v>
      </c>
      <c r="AJ393" s="7">
        <v>1</v>
      </c>
      <c r="AK393" s="7">
        <v>1</v>
      </c>
      <c r="AL393" s="7">
        <v>1</v>
      </c>
      <c r="AM393" s="7">
        <v>0</v>
      </c>
      <c r="AN393" s="7">
        <v>1</v>
      </c>
      <c r="AO393" s="7">
        <v>1</v>
      </c>
      <c r="AP393" s="7">
        <v>1</v>
      </c>
      <c r="AQ393" s="7">
        <v>1</v>
      </c>
      <c r="AR393" s="7">
        <v>1</v>
      </c>
      <c r="AS393" s="7">
        <v>12</v>
      </c>
      <c r="AT393" s="8">
        <v>0.66666666666666674</v>
      </c>
      <c r="AU393" s="14" t="s">
        <v>1119</v>
      </c>
      <c r="AV393" s="7">
        <v>30</v>
      </c>
      <c r="AW393" s="8">
        <v>0.83333333333333326</v>
      </c>
    </row>
    <row r="394" spans="1:49" ht="15.75" customHeight="1" x14ac:dyDescent="0.25">
      <c r="A394" s="5" t="s">
        <v>250</v>
      </c>
      <c r="B394" s="7" t="s">
        <v>667</v>
      </c>
      <c r="C394" s="7" t="s">
        <v>1103</v>
      </c>
      <c r="D394" s="6" t="s">
        <v>1097</v>
      </c>
      <c r="E394" s="5" t="s">
        <v>679</v>
      </c>
      <c r="F394" s="7">
        <v>1</v>
      </c>
      <c r="G394" s="7">
        <v>1</v>
      </c>
      <c r="H394" s="7">
        <v>0</v>
      </c>
      <c r="I394" s="7">
        <v>1</v>
      </c>
      <c r="J394" s="7">
        <v>0</v>
      </c>
      <c r="K394" s="7">
        <v>1</v>
      </c>
      <c r="L394" s="7">
        <v>1</v>
      </c>
      <c r="M394" s="7">
        <v>1</v>
      </c>
      <c r="N394" s="7">
        <v>0</v>
      </c>
      <c r="O394" s="7">
        <v>1</v>
      </c>
      <c r="P394" s="7">
        <v>1</v>
      </c>
      <c r="Q394" s="7">
        <v>0</v>
      </c>
      <c r="R394" s="7">
        <v>0</v>
      </c>
      <c r="S394" s="7">
        <v>1</v>
      </c>
      <c r="T394" s="7">
        <v>0</v>
      </c>
      <c r="U394" s="7">
        <v>1</v>
      </c>
      <c r="V394" s="7">
        <v>0</v>
      </c>
      <c r="W394" s="7">
        <v>1</v>
      </c>
      <c r="X394" s="7">
        <v>11</v>
      </c>
      <c r="Y394" s="8">
        <v>0.61111111111111116</v>
      </c>
      <c r="Z394" s="14" t="s">
        <v>1119</v>
      </c>
      <c r="AA394" s="7">
        <v>0</v>
      </c>
      <c r="AB394" s="7">
        <v>1</v>
      </c>
      <c r="AC394" s="7">
        <v>1</v>
      </c>
      <c r="AD394" s="7">
        <v>1</v>
      </c>
      <c r="AE394" s="7">
        <v>1</v>
      </c>
      <c r="AF394" s="7">
        <v>0</v>
      </c>
      <c r="AG394" s="7">
        <v>1</v>
      </c>
      <c r="AH394" s="7">
        <v>1</v>
      </c>
      <c r="AI394" s="7">
        <v>0</v>
      </c>
      <c r="AJ394" s="7">
        <v>1</v>
      </c>
      <c r="AK394" s="7">
        <v>1</v>
      </c>
      <c r="AL394" s="7">
        <v>1</v>
      </c>
      <c r="AM394" s="7">
        <v>0</v>
      </c>
      <c r="AN394" s="7">
        <v>0</v>
      </c>
      <c r="AO394" s="7">
        <v>0</v>
      </c>
      <c r="AP394" s="7">
        <v>1</v>
      </c>
      <c r="AQ394" s="7">
        <v>1</v>
      </c>
      <c r="AR394" s="7">
        <v>0</v>
      </c>
      <c r="AS394" s="7">
        <v>11</v>
      </c>
      <c r="AT394" s="8">
        <v>0.61111111111111116</v>
      </c>
      <c r="AU394" s="14" t="s">
        <v>1119</v>
      </c>
      <c r="AV394" s="7">
        <v>22</v>
      </c>
      <c r="AW394" s="8">
        <v>0.61111111111111116</v>
      </c>
    </row>
    <row r="395" spans="1:49" ht="15.75" customHeight="1" x14ac:dyDescent="0.25">
      <c r="A395" s="5" t="s">
        <v>250</v>
      </c>
      <c r="B395" s="7" t="s">
        <v>667</v>
      </c>
      <c r="C395" s="7" t="s">
        <v>1103</v>
      </c>
      <c r="D395" s="6" t="s">
        <v>1097</v>
      </c>
      <c r="E395" s="5" t="s">
        <v>680</v>
      </c>
      <c r="F395" s="7">
        <v>1</v>
      </c>
      <c r="G395" s="7">
        <v>1</v>
      </c>
      <c r="H395" s="7">
        <v>0</v>
      </c>
      <c r="I395" s="7">
        <v>1</v>
      </c>
      <c r="J395" s="7">
        <v>1</v>
      </c>
      <c r="K395" s="7">
        <v>1</v>
      </c>
      <c r="L395" s="7">
        <v>1</v>
      </c>
      <c r="M395" s="7">
        <v>0</v>
      </c>
      <c r="N395" s="7">
        <v>0</v>
      </c>
      <c r="O395" s="7">
        <v>1</v>
      </c>
      <c r="P395" s="7">
        <v>1</v>
      </c>
      <c r="Q395" s="7">
        <v>1</v>
      </c>
      <c r="R395" s="7">
        <v>1</v>
      </c>
      <c r="S395" s="7">
        <v>1</v>
      </c>
      <c r="T395" s="7">
        <v>1</v>
      </c>
      <c r="U395" s="7">
        <v>1</v>
      </c>
      <c r="V395" s="7">
        <v>0</v>
      </c>
      <c r="W395" s="7">
        <v>0</v>
      </c>
      <c r="X395" s="7">
        <v>13</v>
      </c>
      <c r="Y395" s="8">
        <v>0.72222222222222232</v>
      </c>
      <c r="Z395" s="14" t="s">
        <v>1120</v>
      </c>
      <c r="AA395" s="7">
        <v>1</v>
      </c>
      <c r="AB395" s="7">
        <v>1</v>
      </c>
      <c r="AC395" s="7">
        <v>1</v>
      </c>
      <c r="AD395" s="7">
        <v>1</v>
      </c>
      <c r="AE395" s="7">
        <v>1</v>
      </c>
      <c r="AF395" s="7">
        <v>0</v>
      </c>
      <c r="AG395" s="7">
        <v>1</v>
      </c>
      <c r="AH395" s="7">
        <v>1</v>
      </c>
      <c r="AI395" s="7">
        <v>1</v>
      </c>
      <c r="AJ395" s="7">
        <v>1</v>
      </c>
      <c r="AK395" s="7">
        <v>1</v>
      </c>
      <c r="AL395" s="7">
        <v>1</v>
      </c>
      <c r="AM395" s="7">
        <v>0</v>
      </c>
      <c r="AN395" s="7">
        <v>1</v>
      </c>
      <c r="AO395" s="7">
        <v>1</v>
      </c>
      <c r="AP395" s="7">
        <v>1</v>
      </c>
      <c r="AQ395" s="7">
        <v>1</v>
      </c>
      <c r="AR395" s="7">
        <v>0</v>
      </c>
      <c r="AS395" s="7">
        <v>15</v>
      </c>
      <c r="AT395" s="8">
        <v>0.83333333333333326</v>
      </c>
      <c r="AU395" s="14" t="s">
        <v>1120</v>
      </c>
      <c r="AV395" s="7">
        <v>28</v>
      </c>
      <c r="AW395" s="8">
        <v>0.77777777777777768</v>
      </c>
    </row>
    <row r="396" spans="1:49" ht="15.75" customHeight="1" x14ac:dyDescent="0.25">
      <c r="A396" s="5" t="s">
        <v>250</v>
      </c>
      <c r="B396" s="7" t="s">
        <v>667</v>
      </c>
      <c r="C396" s="7" t="s">
        <v>1103</v>
      </c>
      <c r="D396" s="6" t="s">
        <v>1097</v>
      </c>
      <c r="E396" s="5" t="s">
        <v>681</v>
      </c>
      <c r="F396" s="7">
        <v>1</v>
      </c>
      <c r="G396" s="7">
        <v>1</v>
      </c>
      <c r="H396" s="7">
        <v>0</v>
      </c>
      <c r="I396" s="7">
        <v>0</v>
      </c>
      <c r="J396" s="7">
        <v>1</v>
      </c>
      <c r="K396" s="7">
        <v>1</v>
      </c>
      <c r="L396" s="7">
        <v>0</v>
      </c>
      <c r="M396" s="7">
        <v>0</v>
      </c>
      <c r="N396" s="7">
        <v>1</v>
      </c>
      <c r="O396" s="7">
        <v>1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1</v>
      </c>
      <c r="X396" s="7">
        <v>18</v>
      </c>
      <c r="Y396" s="8">
        <v>1</v>
      </c>
      <c r="Z396" s="14" t="s">
        <v>1120</v>
      </c>
      <c r="AA396" s="7">
        <v>1</v>
      </c>
      <c r="AB396" s="7">
        <v>0</v>
      </c>
      <c r="AC396" s="7">
        <v>1</v>
      </c>
      <c r="AD396" s="7">
        <v>0</v>
      </c>
      <c r="AE396" s="7">
        <v>0</v>
      </c>
      <c r="AF396" s="7">
        <v>0</v>
      </c>
      <c r="AG396" s="7">
        <v>1</v>
      </c>
      <c r="AH396" s="7">
        <v>0</v>
      </c>
      <c r="AI396" s="7">
        <v>0</v>
      </c>
      <c r="AJ396" s="7">
        <v>1</v>
      </c>
      <c r="AK396" s="7">
        <v>1</v>
      </c>
      <c r="AL396" s="7">
        <v>0</v>
      </c>
      <c r="AM396" s="7">
        <v>0</v>
      </c>
      <c r="AN396" s="7">
        <v>0</v>
      </c>
      <c r="AO396" s="7">
        <v>0</v>
      </c>
      <c r="AP396" s="7">
        <v>1</v>
      </c>
      <c r="AQ396" s="7">
        <v>1</v>
      </c>
      <c r="AR396" s="7">
        <v>1</v>
      </c>
      <c r="AS396" s="7">
        <v>8</v>
      </c>
      <c r="AT396" s="8">
        <v>0.44444444444444442</v>
      </c>
      <c r="AU396" s="14" t="s">
        <v>1119</v>
      </c>
      <c r="AV396" s="7">
        <v>15</v>
      </c>
      <c r="AW396" s="8">
        <v>0.41666666666666663</v>
      </c>
    </row>
    <row r="397" spans="1:49" ht="15.75" customHeight="1" x14ac:dyDescent="0.25">
      <c r="A397" s="5" t="s">
        <v>250</v>
      </c>
      <c r="B397" s="7" t="s">
        <v>667</v>
      </c>
      <c r="C397" s="7" t="s">
        <v>1096</v>
      </c>
      <c r="D397" s="6" t="s">
        <v>1097</v>
      </c>
      <c r="E397" s="5" t="s">
        <v>682</v>
      </c>
      <c r="F397" s="7">
        <v>1</v>
      </c>
      <c r="G397" s="7">
        <v>1</v>
      </c>
      <c r="H397" s="7">
        <v>0</v>
      </c>
      <c r="I397" s="7">
        <v>1</v>
      </c>
      <c r="J397" s="7">
        <v>0</v>
      </c>
      <c r="K397" s="7">
        <v>1</v>
      </c>
      <c r="L397" s="7">
        <v>0</v>
      </c>
      <c r="M397" s="7">
        <v>1</v>
      </c>
      <c r="N397" s="7">
        <v>1</v>
      </c>
      <c r="O397" s="7">
        <v>1</v>
      </c>
      <c r="P397" s="7">
        <v>1</v>
      </c>
      <c r="Q397" s="7">
        <v>1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9</v>
      </c>
      <c r="Y397" s="8">
        <v>0.5</v>
      </c>
      <c r="Z397" s="14" t="s">
        <v>1119</v>
      </c>
      <c r="AA397" s="7">
        <v>1</v>
      </c>
      <c r="AB397" s="7">
        <v>1</v>
      </c>
      <c r="AC397" s="7">
        <v>1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1</v>
      </c>
      <c r="AJ397" s="7">
        <v>1</v>
      </c>
      <c r="AK397" s="7">
        <v>0</v>
      </c>
      <c r="AL397" s="7">
        <v>0</v>
      </c>
      <c r="AM397" s="7">
        <v>0</v>
      </c>
      <c r="AN397" s="7">
        <v>0</v>
      </c>
      <c r="AO397" s="7">
        <v>1</v>
      </c>
      <c r="AP397" s="7">
        <v>1</v>
      </c>
      <c r="AQ397" s="7">
        <v>1</v>
      </c>
      <c r="AR397" s="7">
        <v>1</v>
      </c>
      <c r="AS397" s="7">
        <v>9</v>
      </c>
      <c r="AT397" s="8">
        <v>0.5</v>
      </c>
      <c r="AU397" s="14" t="s">
        <v>1119</v>
      </c>
      <c r="AV397" s="7">
        <v>18</v>
      </c>
      <c r="AW397" s="8">
        <v>0.5</v>
      </c>
    </row>
    <row r="398" spans="1:49" ht="15.75" customHeight="1" x14ac:dyDescent="0.25">
      <c r="A398" s="5" t="s">
        <v>250</v>
      </c>
      <c r="B398" s="7" t="s">
        <v>667</v>
      </c>
      <c r="C398" s="7" t="s">
        <v>1104</v>
      </c>
      <c r="D398" s="6" t="s">
        <v>1097</v>
      </c>
      <c r="E398" s="5" t="s">
        <v>683</v>
      </c>
      <c r="F398" s="7">
        <v>1</v>
      </c>
      <c r="G398" s="7">
        <v>1</v>
      </c>
      <c r="H398" s="7">
        <v>1</v>
      </c>
      <c r="I398" s="7">
        <v>1</v>
      </c>
      <c r="J398" s="7">
        <v>1</v>
      </c>
      <c r="K398" s="7">
        <v>1</v>
      </c>
      <c r="L398" s="7">
        <v>0</v>
      </c>
      <c r="M398" s="7">
        <v>1</v>
      </c>
      <c r="N398" s="7">
        <v>1</v>
      </c>
      <c r="O398" s="7">
        <v>1</v>
      </c>
      <c r="P398" s="7">
        <v>1</v>
      </c>
      <c r="Q398" s="7">
        <v>1</v>
      </c>
      <c r="R398" s="7">
        <v>0</v>
      </c>
      <c r="S398" s="7">
        <v>0</v>
      </c>
      <c r="T398" s="7">
        <v>0</v>
      </c>
      <c r="U398" s="7">
        <v>1</v>
      </c>
      <c r="V398" s="7">
        <v>1</v>
      </c>
      <c r="W398" s="7">
        <v>0</v>
      </c>
      <c r="X398" s="7">
        <v>13</v>
      </c>
      <c r="Y398" s="8">
        <v>0.72222222222222232</v>
      </c>
      <c r="Z398" s="14" t="s">
        <v>1120</v>
      </c>
      <c r="AA398" s="7">
        <v>1</v>
      </c>
      <c r="AB398" s="7">
        <v>1</v>
      </c>
      <c r="AC398" s="7">
        <v>1</v>
      </c>
      <c r="AD398" s="7">
        <v>1</v>
      </c>
      <c r="AE398" s="7">
        <v>0</v>
      </c>
      <c r="AF398" s="7">
        <v>1</v>
      </c>
      <c r="AG398" s="7">
        <v>0</v>
      </c>
      <c r="AH398" s="7">
        <v>1</v>
      </c>
      <c r="AI398" s="7">
        <v>0</v>
      </c>
      <c r="AJ398" s="7">
        <v>1</v>
      </c>
      <c r="AK398" s="7">
        <v>1</v>
      </c>
      <c r="AL398" s="7">
        <v>1</v>
      </c>
      <c r="AM398" s="7">
        <v>1</v>
      </c>
      <c r="AN398" s="7">
        <v>1</v>
      </c>
      <c r="AO398" s="7">
        <v>0</v>
      </c>
      <c r="AP398" s="7">
        <v>1</v>
      </c>
      <c r="AQ398" s="7">
        <v>1</v>
      </c>
      <c r="AR398" s="7">
        <v>1</v>
      </c>
      <c r="AS398" s="7">
        <v>14</v>
      </c>
      <c r="AT398" s="8">
        <v>0.77777777777777768</v>
      </c>
      <c r="AU398" s="14" t="s">
        <v>1120</v>
      </c>
      <c r="AV398" s="7">
        <v>27</v>
      </c>
      <c r="AW398" s="8">
        <v>0.75</v>
      </c>
    </row>
    <row r="399" spans="1:49" ht="15.75" customHeight="1" x14ac:dyDescent="0.25">
      <c r="A399" s="5" t="s">
        <v>250</v>
      </c>
      <c r="B399" s="7" t="s">
        <v>667</v>
      </c>
      <c r="C399" s="7" t="s">
        <v>1103</v>
      </c>
      <c r="D399" s="6" t="s">
        <v>1097</v>
      </c>
      <c r="E399" s="5" t="s">
        <v>1183</v>
      </c>
      <c r="F399" s="7">
        <v>1</v>
      </c>
      <c r="G399" s="7">
        <v>1</v>
      </c>
      <c r="H399" s="7">
        <v>1</v>
      </c>
      <c r="I399" s="7">
        <v>1</v>
      </c>
      <c r="J399" s="7">
        <v>0</v>
      </c>
      <c r="K399" s="7">
        <v>1</v>
      </c>
      <c r="L399" s="7">
        <v>1</v>
      </c>
      <c r="M399" s="7">
        <v>0</v>
      </c>
      <c r="N399" s="7">
        <v>0</v>
      </c>
      <c r="O399" s="7">
        <v>0</v>
      </c>
      <c r="P399" s="7">
        <v>1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1</v>
      </c>
      <c r="X399" s="7">
        <v>8</v>
      </c>
      <c r="Y399" s="8">
        <v>0.44444444444444442</v>
      </c>
      <c r="Z399" s="14" t="s">
        <v>1119</v>
      </c>
      <c r="AA399" s="7">
        <v>1</v>
      </c>
      <c r="AB399" s="7">
        <v>1</v>
      </c>
      <c r="AC399" s="7">
        <v>1</v>
      </c>
      <c r="AD399" s="7">
        <v>1</v>
      </c>
      <c r="AE399" s="7">
        <v>0</v>
      </c>
      <c r="AF399" s="7">
        <v>0</v>
      </c>
      <c r="AG399" s="7">
        <v>0</v>
      </c>
      <c r="AH399" s="7">
        <v>1</v>
      </c>
      <c r="AI399" s="7">
        <v>0</v>
      </c>
      <c r="AJ399" s="7">
        <v>1</v>
      </c>
      <c r="AK399" s="7">
        <v>1</v>
      </c>
      <c r="AL399" s="7">
        <v>1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8</v>
      </c>
      <c r="AT399" s="8">
        <v>0.44444444444444442</v>
      </c>
      <c r="AU399" s="14" t="s">
        <v>1119</v>
      </c>
      <c r="AV399" s="7">
        <v>16</v>
      </c>
      <c r="AW399" s="8">
        <v>0.44444444444444442</v>
      </c>
    </row>
    <row r="400" spans="1:49" ht="15.75" customHeight="1" x14ac:dyDescent="0.25"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</row>
    <row r="401" spans="4:45" ht="15.75" customHeight="1" x14ac:dyDescent="0.25"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</row>
    <row r="402" spans="4:45" ht="15.75" customHeight="1" x14ac:dyDescent="0.25"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</row>
    <row r="403" spans="4:45" ht="15.75" customHeight="1" x14ac:dyDescent="0.25"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</row>
    <row r="404" spans="4:45" ht="15.75" customHeight="1" x14ac:dyDescent="0.25"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</row>
    <row r="405" spans="4:45" ht="15.75" customHeight="1" x14ac:dyDescent="0.25"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</row>
    <row r="406" spans="4:45" ht="15.75" customHeight="1" x14ac:dyDescent="0.25"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</row>
    <row r="407" spans="4:45" ht="15.75" customHeight="1" x14ac:dyDescent="0.25"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</row>
    <row r="408" spans="4:45" ht="15.75" customHeight="1" x14ac:dyDescent="0.25"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</row>
    <row r="409" spans="4:45" ht="15.75" customHeight="1" x14ac:dyDescent="0.25"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</row>
    <row r="410" spans="4:45" ht="15.75" customHeight="1" x14ac:dyDescent="0.25"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</row>
    <row r="411" spans="4:45" ht="15.75" customHeight="1" x14ac:dyDescent="0.25"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</row>
    <row r="412" spans="4:45" ht="15.75" customHeight="1" x14ac:dyDescent="0.25"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</row>
    <row r="413" spans="4:45" ht="15.75" customHeight="1" x14ac:dyDescent="0.25"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</row>
    <row r="414" spans="4:45" ht="15.75" customHeight="1" x14ac:dyDescent="0.25"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</row>
    <row r="415" spans="4:45" ht="15.75" customHeight="1" x14ac:dyDescent="0.25"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</row>
    <row r="416" spans="4:45" ht="15.75" customHeight="1" x14ac:dyDescent="0.25"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</row>
    <row r="417" spans="4:45" ht="15.75" customHeight="1" x14ac:dyDescent="0.25"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</row>
    <row r="418" spans="4:45" ht="15.75" customHeight="1" x14ac:dyDescent="0.25"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</row>
    <row r="419" spans="4:45" ht="15.75" customHeight="1" x14ac:dyDescent="0.25"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</row>
    <row r="420" spans="4:45" ht="15.75" customHeight="1" x14ac:dyDescent="0.25"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</row>
    <row r="421" spans="4:45" ht="15.75" customHeight="1" x14ac:dyDescent="0.25"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</row>
    <row r="422" spans="4:45" ht="15.75" customHeight="1" x14ac:dyDescent="0.25"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</row>
    <row r="423" spans="4:45" ht="15.75" customHeight="1" x14ac:dyDescent="0.25"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</row>
    <row r="424" spans="4:45" ht="15.75" customHeight="1" x14ac:dyDescent="0.25"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</row>
    <row r="425" spans="4:45" ht="15.75" customHeight="1" x14ac:dyDescent="0.25"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</row>
    <row r="426" spans="4:45" ht="15.75" customHeight="1" x14ac:dyDescent="0.25"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</row>
    <row r="427" spans="4:45" ht="15.75" customHeight="1" x14ac:dyDescent="0.25"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</row>
    <row r="428" spans="4:45" ht="15.75" customHeight="1" x14ac:dyDescent="0.25"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</row>
    <row r="429" spans="4:45" ht="15.75" customHeight="1" x14ac:dyDescent="0.25"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</row>
    <row r="430" spans="4:45" ht="15.75" customHeight="1" x14ac:dyDescent="0.25"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</row>
    <row r="431" spans="4:45" ht="15.75" customHeight="1" x14ac:dyDescent="0.25"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</row>
    <row r="432" spans="4:45" ht="15.75" customHeight="1" x14ac:dyDescent="0.25"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</row>
    <row r="433" spans="4:45" ht="15.75" customHeight="1" x14ac:dyDescent="0.25"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</row>
    <row r="434" spans="4:45" ht="15.75" customHeight="1" x14ac:dyDescent="0.25"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</row>
    <row r="435" spans="4:45" ht="15.75" customHeight="1" x14ac:dyDescent="0.25"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</row>
    <row r="436" spans="4:45" ht="15.75" customHeight="1" x14ac:dyDescent="0.25"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</row>
    <row r="437" spans="4:45" ht="15.75" customHeight="1" x14ac:dyDescent="0.25"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</row>
    <row r="438" spans="4:45" ht="15.75" customHeight="1" x14ac:dyDescent="0.25"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</row>
    <row r="439" spans="4:45" ht="15.75" customHeight="1" x14ac:dyDescent="0.25"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</row>
    <row r="440" spans="4:45" ht="15.75" customHeight="1" x14ac:dyDescent="0.25"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</row>
    <row r="441" spans="4:45" ht="15.75" customHeight="1" x14ac:dyDescent="0.25"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</row>
    <row r="442" spans="4:45" ht="15.75" customHeight="1" x14ac:dyDescent="0.25"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</row>
    <row r="443" spans="4:45" ht="15.75" customHeight="1" x14ac:dyDescent="0.25"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</row>
    <row r="444" spans="4:45" ht="15.75" customHeight="1" x14ac:dyDescent="0.25"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</row>
    <row r="445" spans="4:45" ht="15.75" customHeight="1" x14ac:dyDescent="0.25"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</row>
    <row r="446" spans="4:45" ht="15.75" customHeight="1" x14ac:dyDescent="0.25"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</row>
    <row r="447" spans="4:45" ht="15.75" customHeight="1" x14ac:dyDescent="0.25"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</row>
    <row r="448" spans="4:45" ht="15.75" customHeight="1" x14ac:dyDescent="0.25"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</row>
    <row r="449" spans="4:45" ht="15.75" customHeight="1" x14ac:dyDescent="0.25"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</row>
    <row r="450" spans="4:45" ht="15.75" customHeight="1" x14ac:dyDescent="0.25"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</row>
    <row r="451" spans="4:45" ht="15.75" customHeight="1" x14ac:dyDescent="0.25"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</row>
    <row r="452" spans="4:45" ht="15.75" customHeight="1" x14ac:dyDescent="0.25"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</row>
    <row r="453" spans="4:45" ht="15.75" customHeight="1" x14ac:dyDescent="0.25"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</row>
    <row r="454" spans="4:45" ht="15.75" customHeight="1" x14ac:dyDescent="0.25"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</row>
    <row r="455" spans="4:45" ht="15.75" customHeight="1" x14ac:dyDescent="0.25"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</row>
    <row r="456" spans="4:45" ht="15.75" customHeight="1" x14ac:dyDescent="0.25"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</row>
    <row r="457" spans="4:45" ht="15.75" customHeight="1" x14ac:dyDescent="0.25"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</row>
    <row r="458" spans="4:45" ht="15.75" customHeight="1" x14ac:dyDescent="0.25"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</row>
    <row r="459" spans="4:45" ht="15.75" customHeight="1" x14ac:dyDescent="0.25"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</row>
    <row r="460" spans="4:45" ht="15.75" customHeight="1" x14ac:dyDescent="0.25"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</row>
    <row r="461" spans="4:45" ht="15.75" customHeight="1" x14ac:dyDescent="0.25"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</row>
    <row r="462" spans="4:45" ht="15.75" customHeight="1" x14ac:dyDescent="0.25"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</row>
    <row r="463" spans="4:45" ht="15.75" customHeight="1" x14ac:dyDescent="0.25"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</row>
    <row r="464" spans="4:45" ht="15.75" customHeight="1" x14ac:dyDescent="0.25"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</row>
    <row r="465" spans="4:45" ht="15.75" customHeight="1" x14ac:dyDescent="0.25"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</row>
    <row r="466" spans="4:45" ht="15.75" customHeight="1" x14ac:dyDescent="0.25"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</row>
    <row r="467" spans="4:45" ht="15.75" customHeight="1" x14ac:dyDescent="0.25"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</row>
    <row r="468" spans="4:45" ht="15.75" customHeight="1" x14ac:dyDescent="0.25"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</row>
    <row r="469" spans="4:45" ht="15.75" customHeight="1" x14ac:dyDescent="0.25"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</row>
    <row r="470" spans="4:45" ht="15.75" customHeight="1" x14ac:dyDescent="0.25"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</row>
    <row r="471" spans="4:45" ht="15.75" customHeight="1" x14ac:dyDescent="0.25"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</row>
    <row r="472" spans="4:45" ht="15.75" customHeight="1" x14ac:dyDescent="0.25"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</row>
    <row r="473" spans="4:45" ht="15.75" customHeight="1" x14ac:dyDescent="0.25"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</row>
    <row r="474" spans="4:45" ht="15.75" customHeight="1" x14ac:dyDescent="0.25"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</row>
    <row r="475" spans="4:45" ht="15.75" customHeight="1" x14ac:dyDescent="0.25"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</row>
    <row r="476" spans="4:45" ht="15.75" customHeight="1" x14ac:dyDescent="0.25"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</row>
    <row r="477" spans="4:45" ht="15.75" customHeight="1" x14ac:dyDescent="0.25"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</row>
    <row r="478" spans="4:45" ht="15.75" customHeight="1" x14ac:dyDescent="0.25"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</row>
    <row r="479" spans="4:45" ht="15.75" customHeight="1" x14ac:dyDescent="0.25"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</row>
    <row r="480" spans="4:45" ht="15.75" customHeight="1" x14ac:dyDescent="0.25"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</row>
    <row r="481" spans="4:45" ht="15.75" customHeight="1" x14ac:dyDescent="0.25"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</row>
    <row r="482" spans="4:45" ht="15.75" customHeight="1" x14ac:dyDescent="0.25"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</row>
    <row r="483" spans="4:45" ht="15.75" customHeight="1" x14ac:dyDescent="0.25"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</row>
    <row r="484" spans="4:45" ht="15.75" customHeight="1" x14ac:dyDescent="0.25"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</row>
    <row r="485" spans="4:45" ht="15.75" customHeight="1" x14ac:dyDescent="0.25"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</row>
    <row r="486" spans="4:45" ht="15.75" customHeight="1" x14ac:dyDescent="0.25"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</row>
    <row r="487" spans="4:45" ht="15.75" customHeight="1" x14ac:dyDescent="0.25"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</row>
    <row r="488" spans="4:45" ht="15.75" customHeight="1" x14ac:dyDescent="0.25"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</row>
    <row r="489" spans="4:45" ht="15.75" customHeight="1" x14ac:dyDescent="0.25"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</row>
    <row r="490" spans="4:45" ht="15.75" customHeight="1" x14ac:dyDescent="0.25"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</row>
    <row r="491" spans="4:45" ht="15.75" customHeight="1" x14ac:dyDescent="0.25"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</row>
    <row r="492" spans="4:45" ht="15.75" customHeight="1" x14ac:dyDescent="0.25"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</row>
    <row r="493" spans="4:45" ht="15.75" customHeight="1" x14ac:dyDescent="0.25"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</row>
    <row r="494" spans="4:45" ht="15.75" customHeight="1" x14ac:dyDescent="0.25"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</row>
    <row r="495" spans="4:45" ht="15.75" customHeight="1" x14ac:dyDescent="0.25"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</row>
    <row r="496" spans="4:45" ht="15.75" customHeight="1" x14ac:dyDescent="0.25"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</row>
    <row r="497" spans="4:45" ht="15.75" customHeight="1" x14ac:dyDescent="0.25"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</row>
    <row r="498" spans="4:45" ht="15.75" customHeight="1" x14ac:dyDescent="0.25"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</row>
    <row r="499" spans="4:45" ht="15.75" customHeight="1" x14ac:dyDescent="0.25"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</row>
    <row r="500" spans="4:45" ht="15.75" customHeight="1" x14ac:dyDescent="0.25"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</row>
    <row r="501" spans="4:45" ht="15.75" customHeight="1" x14ac:dyDescent="0.25"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</row>
    <row r="502" spans="4:45" ht="15.75" customHeight="1" x14ac:dyDescent="0.25"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</row>
    <row r="503" spans="4:45" ht="15.75" customHeight="1" x14ac:dyDescent="0.25"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</row>
    <row r="504" spans="4:45" ht="15.75" customHeight="1" x14ac:dyDescent="0.25"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</row>
    <row r="505" spans="4:45" ht="15.75" customHeight="1" x14ac:dyDescent="0.25"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</row>
    <row r="506" spans="4:45" ht="15.75" customHeight="1" x14ac:dyDescent="0.25"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</row>
    <row r="507" spans="4:45" ht="15.75" customHeight="1" x14ac:dyDescent="0.25"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</row>
    <row r="508" spans="4:45" ht="15.75" customHeight="1" x14ac:dyDescent="0.25"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</row>
    <row r="509" spans="4:45" ht="15.75" customHeight="1" x14ac:dyDescent="0.25"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</row>
    <row r="510" spans="4:45" ht="15.75" customHeight="1" x14ac:dyDescent="0.25"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</row>
    <row r="511" spans="4:45" ht="15.75" customHeight="1" x14ac:dyDescent="0.25"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</row>
    <row r="512" spans="4:45" ht="15.75" customHeight="1" x14ac:dyDescent="0.25"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</row>
    <row r="513" spans="4:45" ht="15.75" customHeight="1" x14ac:dyDescent="0.25"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</row>
    <row r="514" spans="4:45" ht="15.75" customHeight="1" x14ac:dyDescent="0.25"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</row>
    <row r="515" spans="4:45" ht="15.75" customHeight="1" x14ac:dyDescent="0.25"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</row>
    <row r="516" spans="4:45" ht="15.75" customHeight="1" x14ac:dyDescent="0.25"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</row>
    <row r="517" spans="4:45" ht="15.75" customHeight="1" x14ac:dyDescent="0.25"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</row>
    <row r="518" spans="4:45" ht="15.75" customHeight="1" x14ac:dyDescent="0.25"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</row>
    <row r="519" spans="4:45" ht="15.75" customHeight="1" x14ac:dyDescent="0.25"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</row>
    <row r="520" spans="4:45" ht="15.75" customHeight="1" x14ac:dyDescent="0.25"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</row>
    <row r="521" spans="4:45" ht="15.75" customHeight="1" x14ac:dyDescent="0.25"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</row>
    <row r="522" spans="4:45" ht="15.75" customHeight="1" x14ac:dyDescent="0.25"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</row>
    <row r="523" spans="4:45" ht="15.75" customHeight="1" x14ac:dyDescent="0.25"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</row>
    <row r="524" spans="4:45" ht="15.75" customHeight="1" x14ac:dyDescent="0.25"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</row>
    <row r="525" spans="4:45" ht="15.75" customHeight="1" x14ac:dyDescent="0.25"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</row>
    <row r="526" spans="4:45" ht="15.75" customHeight="1" x14ac:dyDescent="0.25"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</row>
    <row r="527" spans="4:45" ht="15.75" customHeight="1" x14ac:dyDescent="0.25"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</row>
    <row r="528" spans="4:45" ht="15.75" customHeight="1" x14ac:dyDescent="0.25"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</row>
    <row r="529" spans="4:45" ht="15.75" customHeight="1" x14ac:dyDescent="0.25"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</row>
    <row r="530" spans="4:45" ht="15.75" customHeight="1" x14ac:dyDescent="0.25"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</row>
    <row r="531" spans="4:45" ht="15.75" customHeight="1" x14ac:dyDescent="0.25"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</row>
    <row r="532" spans="4:45" ht="15.75" customHeight="1" x14ac:dyDescent="0.25"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</row>
    <row r="533" spans="4:45" ht="15.75" customHeight="1" x14ac:dyDescent="0.25"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</row>
    <row r="534" spans="4:45" ht="15.75" customHeight="1" x14ac:dyDescent="0.25"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</row>
    <row r="535" spans="4:45" ht="15.75" customHeight="1" x14ac:dyDescent="0.25"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</row>
    <row r="536" spans="4:45" ht="15.75" customHeight="1" x14ac:dyDescent="0.25"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</row>
    <row r="537" spans="4:45" ht="15.75" customHeight="1" x14ac:dyDescent="0.25"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</row>
    <row r="538" spans="4:45" ht="15.75" customHeight="1" x14ac:dyDescent="0.25"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</row>
    <row r="539" spans="4:45" ht="15.75" customHeight="1" x14ac:dyDescent="0.25"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</row>
    <row r="540" spans="4:45" ht="15.75" customHeight="1" x14ac:dyDescent="0.25"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</row>
    <row r="541" spans="4:45" ht="15.75" customHeight="1" x14ac:dyDescent="0.25"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</row>
    <row r="542" spans="4:45" ht="15.75" customHeight="1" x14ac:dyDescent="0.25"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</row>
    <row r="543" spans="4:45" ht="15.75" customHeight="1" x14ac:dyDescent="0.25"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</row>
    <row r="544" spans="4:45" ht="15.75" customHeight="1" x14ac:dyDescent="0.25"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</row>
    <row r="545" spans="4:45" ht="15.75" customHeight="1" x14ac:dyDescent="0.25"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</row>
    <row r="546" spans="4:45" ht="15.75" customHeight="1" x14ac:dyDescent="0.25"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</row>
    <row r="547" spans="4:45" ht="15.75" customHeight="1" x14ac:dyDescent="0.25"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</row>
    <row r="548" spans="4:45" ht="15.75" customHeight="1" x14ac:dyDescent="0.25"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</row>
    <row r="549" spans="4:45" ht="15.75" customHeight="1" x14ac:dyDescent="0.25"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</row>
    <row r="550" spans="4:45" ht="15.75" customHeight="1" x14ac:dyDescent="0.25"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</row>
    <row r="551" spans="4:45" ht="15.75" customHeight="1" x14ac:dyDescent="0.25"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</row>
    <row r="552" spans="4:45" ht="15.75" customHeight="1" x14ac:dyDescent="0.25"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</row>
    <row r="553" spans="4:45" ht="15.75" customHeight="1" x14ac:dyDescent="0.25"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</row>
    <row r="554" spans="4:45" ht="15.75" customHeight="1" x14ac:dyDescent="0.25"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</row>
    <row r="555" spans="4:45" ht="15.75" customHeight="1" x14ac:dyDescent="0.25"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</row>
    <row r="556" spans="4:45" ht="15.75" customHeight="1" x14ac:dyDescent="0.25"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</row>
    <row r="557" spans="4:45" ht="15.75" customHeight="1" x14ac:dyDescent="0.25"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</row>
    <row r="558" spans="4:45" ht="15.75" customHeight="1" x14ac:dyDescent="0.25"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</row>
    <row r="559" spans="4:45" ht="15.75" customHeight="1" x14ac:dyDescent="0.25"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</row>
    <row r="560" spans="4:45" ht="15.75" customHeight="1" x14ac:dyDescent="0.25"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</row>
    <row r="561" spans="4:45" ht="15.75" customHeight="1" x14ac:dyDescent="0.25"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</row>
    <row r="562" spans="4:45" ht="15.75" customHeight="1" x14ac:dyDescent="0.25"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</row>
    <row r="563" spans="4:45" ht="15.75" customHeight="1" x14ac:dyDescent="0.25"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</row>
    <row r="564" spans="4:45" ht="15.75" customHeight="1" x14ac:dyDescent="0.25"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</row>
    <row r="565" spans="4:45" ht="15.75" customHeight="1" x14ac:dyDescent="0.25"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</row>
    <row r="566" spans="4:45" ht="15.75" customHeight="1" x14ac:dyDescent="0.25"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</row>
    <row r="567" spans="4:45" ht="15.75" customHeight="1" x14ac:dyDescent="0.25"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</row>
    <row r="568" spans="4:45" ht="15.75" customHeight="1" x14ac:dyDescent="0.25"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</row>
    <row r="569" spans="4:45" ht="15.75" customHeight="1" x14ac:dyDescent="0.25"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</row>
    <row r="570" spans="4:45" ht="15.75" customHeight="1" x14ac:dyDescent="0.25"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</row>
    <row r="571" spans="4:45" ht="15.75" customHeight="1" x14ac:dyDescent="0.25"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</row>
    <row r="572" spans="4:45" ht="15.75" customHeight="1" x14ac:dyDescent="0.25"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</row>
    <row r="573" spans="4:45" ht="15.75" customHeight="1" x14ac:dyDescent="0.25"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</row>
    <row r="574" spans="4:45" ht="15.75" customHeight="1" x14ac:dyDescent="0.25"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</row>
    <row r="575" spans="4:45" ht="15.75" customHeight="1" x14ac:dyDescent="0.25"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</row>
    <row r="576" spans="4:45" ht="15.75" customHeight="1" x14ac:dyDescent="0.25"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</row>
    <row r="577" spans="4:45" ht="15.75" customHeight="1" x14ac:dyDescent="0.25"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</row>
    <row r="578" spans="4:45" ht="15.75" customHeight="1" x14ac:dyDescent="0.25"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</row>
    <row r="579" spans="4:45" ht="15.75" customHeight="1" x14ac:dyDescent="0.25"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</row>
    <row r="580" spans="4:45" ht="15.75" customHeight="1" x14ac:dyDescent="0.25"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</row>
    <row r="581" spans="4:45" ht="15.75" customHeight="1" x14ac:dyDescent="0.25"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</row>
    <row r="582" spans="4:45" ht="15.75" customHeight="1" x14ac:dyDescent="0.25"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</row>
    <row r="583" spans="4:45" ht="15.75" customHeight="1" x14ac:dyDescent="0.25"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</row>
    <row r="584" spans="4:45" ht="15.75" customHeight="1" x14ac:dyDescent="0.25"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</row>
    <row r="585" spans="4:45" ht="15.75" customHeight="1" x14ac:dyDescent="0.25"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</row>
    <row r="586" spans="4:45" ht="15.75" customHeight="1" x14ac:dyDescent="0.25"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</row>
    <row r="587" spans="4:45" ht="15.75" customHeight="1" x14ac:dyDescent="0.25"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</row>
    <row r="588" spans="4:45" ht="15.75" customHeight="1" x14ac:dyDescent="0.25"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</row>
    <row r="589" spans="4:45" ht="15.75" customHeight="1" x14ac:dyDescent="0.25"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</row>
    <row r="590" spans="4:45" ht="15.75" customHeight="1" x14ac:dyDescent="0.25"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</row>
    <row r="591" spans="4:45" ht="15.75" customHeight="1" x14ac:dyDescent="0.25"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</row>
    <row r="592" spans="4:45" ht="15.75" customHeight="1" x14ac:dyDescent="0.25"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</row>
    <row r="593" spans="4:45" ht="15.75" customHeight="1" x14ac:dyDescent="0.25"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</row>
    <row r="594" spans="4:45" ht="15.75" customHeight="1" x14ac:dyDescent="0.25"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</row>
    <row r="595" spans="4:45" ht="15.75" customHeight="1" x14ac:dyDescent="0.25"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</row>
    <row r="596" spans="4:45" ht="15.75" customHeight="1" x14ac:dyDescent="0.25"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</row>
    <row r="597" spans="4:45" ht="15.75" customHeight="1" x14ac:dyDescent="0.25"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</row>
    <row r="598" spans="4:45" ht="15.75" customHeight="1" x14ac:dyDescent="0.25"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</row>
    <row r="599" spans="4:45" ht="15.75" customHeight="1" x14ac:dyDescent="0.25"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</row>
    <row r="600" spans="4:45" ht="15.75" customHeight="1" x14ac:dyDescent="0.25"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</row>
    <row r="601" spans="4:45" ht="15.75" customHeight="1" x14ac:dyDescent="0.25"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</row>
    <row r="602" spans="4:45" ht="15.75" customHeight="1" x14ac:dyDescent="0.25"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</row>
    <row r="603" spans="4:45" ht="15.75" customHeight="1" x14ac:dyDescent="0.25"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</row>
    <row r="604" spans="4:45" ht="15.75" customHeight="1" x14ac:dyDescent="0.25"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</row>
    <row r="605" spans="4:45" ht="15.75" customHeight="1" x14ac:dyDescent="0.25"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</row>
    <row r="606" spans="4:45" ht="15.75" customHeight="1" x14ac:dyDescent="0.25"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</row>
    <row r="607" spans="4:45" ht="15.75" customHeight="1" x14ac:dyDescent="0.25"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</row>
    <row r="608" spans="4:45" ht="15.75" customHeight="1" x14ac:dyDescent="0.25"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</row>
    <row r="609" spans="4:45" ht="15.75" customHeight="1" x14ac:dyDescent="0.25"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</row>
    <row r="610" spans="4:45" ht="15.75" customHeight="1" x14ac:dyDescent="0.25"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</row>
    <row r="611" spans="4:45" ht="15.75" customHeight="1" x14ac:dyDescent="0.25"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</row>
    <row r="612" spans="4:45" ht="15.75" customHeight="1" x14ac:dyDescent="0.25"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</row>
    <row r="613" spans="4:45" ht="15.75" customHeight="1" x14ac:dyDescent="0.25"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</row>
    <row r="614" spans="4:45" ht="15.75" customHeight="1" x14ac:dyDescent="0.25"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</row>
    <row r="615" spans="4:45" ht="15.75" customHeight="1" x14ac:dyDescent="0.25"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</row>
    <row r="616" spans="4:45" ht="15.75" customHeight="1" x14ac:dyDescent="0.25"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</row>
    <row r="617" spans="4:45" ht="15.75" customHeight="1" x14ac:dyDescent="0.25"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</row>
    <row r="618" spans="4:45" ht="15.75" customHeight="1" x14ac:dyDescent="0.25"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</row>
    <row r="619" spans="4:45" ht="15.75" customHeight="1" x14ac:dyDescent="0.25"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</row>
    <row r="620" spans="4:45" ht="15.75" customHeight="1" x14ac:dyDescent="0.25"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</row>
    <row r="621" spans="4:45" ht="15.75" customHeight="1" x14ac:dyDescent="0.25"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</row>
    <row r="622" spans="4:45" ht="15.75" customHeight="1" x14ac:dyDescent="0.25"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</row>
    <row r="623" spans="4:45" ht="15.75" customHeight="1" x14ac:dyDescent="0.25"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</row>
    <row r="624" spans="4:45" ht="15.75" customHeight="1" x14ac:dyDescent="0.25"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</row>
    <row r="625" spans="4:45" ht="15.75" customHeight="1" x14ac:dyDescent="0.25"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</row>
    <row r="626" spans="4:45" ht="15.75" customHeight="1" x14ac:dyDescent="0.25"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</row>
    <row r="627" spans="4:45" ht="15.75" customHeight="1" x14ac:dyDescent="0.25"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</row>
    <row r="628" spans="4:45" ht="15.75" customHeight="1" x14ac:dyDescent="0.25"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</row>
    <row r="629" spans="4:45" ht="15.75" customHeight="1" x14ac:dyDescent="0.25"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</row>
    <row r="630" spans="4:45" ht="15.75" customHeight="1" x14ac:dyDescent="0.25"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</row>
    <row r="631" spans="4:45" ht="15.75" customHeight="1" x14ac:dyDescent="0.25"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</row>
    <row r="632" spans="4:45" ht="15.75" customHeight="1" x14ac:dyDescent="0.25"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</row>
    <row r="633" spans="4:45" ht="15.75" customHeight="1" x14ac:dyDescent="0.25"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</row>
    <row r="634" spans="4:45" ht="15.75" customHeight="1" x14ac:dyDescent="0.25"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</row>
    <row r="635" spans="4:45" ht="15.75" customHeight="1" x14ac:dyDescent="0.25"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</row>
    <row r="636" spans="4:45" ht="15.75" customHeight="1" x14ac:dyDescent="0.25"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</row>
    <row r="637" spans="4:45" ht="15.75" customHeight="1" x14ac:dyDescent="0.25"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</row>
    <row r="638" spans="4:45" ht="15.75" customHeight="1" x14ac:dyDescent="0.25"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</row>
    <row r="639" spans="4:45" ht="15.75" customHeight="1" x14ac:dyDescent="0.25"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</row>
    <row r="640" spans="4:45" ht="15.75" customHeight="1" x14ac:dyDescent="0.25"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</row>
    <row r="641" spans="4:45" ht="15.75" customHeight="1" x14ac:dyDescent="0.25"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</row>
    <row r="642" spans="4:45" ht="15.75" customHeight="1" x14ac:dyDescent="0.25"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</row>
    <row r="643" spans="4:45" ht="15.75" customHeight="1" x14ac:dyDescent="0.25"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</row>
    <row r="644" spans="4:45" ht="15.75" customHeight="1" x14ac:dyDescent="0.25"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</row>
    <row r="645" spans="4:45" ht="15.75" customHeight="1" x14ac:dyDescent="0.25"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</row>
    <row r="646" spans="4:45" ht="15.75" customHeight="1" x14ac:dyDescent="0.25"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</row>
    <row r="647" spans="4:45" ht="15.75" customHeight="1" x14ac:dyDescent="0.25"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</row>
    <row r="648" spans="4:45" ht="15.75" customHeight="1" x14ac:dyDescent="0.25"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</row>
    <row r="649" spans="4:45" ht="15.75" customHeight="1" x14ac:dyDescent="0.25"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</row>
    <row r="650" spans="4:45" ht="15.75" customHeight="1" x14ac:dyDescent="0.25"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</row>
    <row r="651" spans="4:45" ht="15.75" customHeight="1" x14ac:dyDescent="0.25"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</row>
    <row r="652" spans="4:45" ht="15.75" customHeight="1" x14ac:dyDescent="0.25"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</row>
    <row r="653" spans="4:45" ht="15.75" customHeight="1" x14ac:dyDescent="0.25"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</row>
    <row r="654" spans="4:45" ht="15.75" customHeight="1" x14ac:dyDescent="0.25"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</row>
    <row r="655" spans="4:45" ht="15.75" customHeight="1" x14ac:dyDescent="0.25"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</row>
    <row r="656" spans="4:45" ht="15.75" customHeight="1" x14ac:dyDescent="0.25"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</row>
    <row r="657" spans="4:45" ht="15.75" customHeight="1" x14ac:dyDescent="0.25"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</row>
    <row r="658" spans="4:45" ht="15.75" customHeight="1" x14ac:dyDescent="0.25"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</row>
    <row r="659" spans="4:45" ht="15.75" customHeight="1" x14ac:dyDescent="0.25"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</row>
    <row r="660" spans="4:45" ht="15.75" customHeight="1" x14ac:dyDescent="0.25"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</row>
    <row r="661" spans="4:45" ht="15.75" customHeight="1" x14ac:dyDescent="0.25"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</row>
    <row r="662" spans="4:45" ht="15.75" customHeight="1" x14ac:dyDescent="0.25"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</row>
    <row r="663" spans="4:45" ht="15.75" customHeight="1" x14ac:dyDescent="0.25"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</row>
    <row r="664" spans="4:45" ht="15.75" customHeight="1" x14ac:dyDescent="0.25"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</row>
    <row r="665" spans="4:45" ht="15.75" customHeight="1" x14ac:dyDescent="0.25"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</row>
    <row r="666" spans="4:45" ht="15.75" customHeight="1" x14ac:dyDescent="0.25"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</row>
    <row r="667" spans="4:45" ht="15.75" customHeight="1" x14ac:dyDescent="0.25"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</row>
    <row r="668" spans="4:45" ht="15.75" customHeight="1" x14ac:dyDescent="0.25"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</row>
    <row r="669" spans="4:45" ht="15.75" customHeight="1" x14ac:dyDescent="0.25"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</row>
    <row r="670" spans="4:45" ht="15.75" customHeight="1" x14ac:dyDescent="0.25"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</row>
    <row r="671" spans="4:45" ht="15.75" customHeight="1" x14ac:dyDescent="0.25"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</row>
    <row r="672" spans="4:45" ht="15.75" customHeight="1" x14ac:dyDescent="0.25"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</row>
    <row r="673" spans="4:45" ht="15.75" customHeight="1" x14ac:dyDescent="0.25"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</row>
    <row r="674" spans="4:45" ht="15.75" customHeight="1" x14ac:dyDescent="0.25"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</row>
    <row r="675" spans="4:45" ht="15.75" customHeight="1" x14ac:dyDescent="0.25"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</row>
    <row r="676" spans="4:45" ht="15.75" customHeight="1" x14ac:dyDescent="0.25"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</row>
    <row r="677" spans="4:45" ht="15.75" customHeight="1" x14ac:dyDescent="0.25"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</row>
    <row r="678" spans="4:45" ht="15.75" customHeight="1" x14ac:dyDescent="0.25"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</row>
    <row r="679" spans="4:45" ht="15.75" customHeight="1" x14ac:dyDescent="0.25"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</row>
    <row r="680" spans="4:45" ht="15.75" customHeight="1" x14ac:dyDescent="0.25"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</row>
    <row r="681" spans="4:45" ht="15.75" customHeight="1" x14ac:dyDescent="0.25"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</row>
    <row r="682" spans="4:45" ht="15.75" customHeight="1" x14ac:dyDescent="0.25"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</row>
    <row r="683" spans="4:45" ht="15.75" customHeight="1" x14ac:dyDescent="0.25"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</row>
    <row r="684" spans="4:45" ht="15.75" customHeight="1" x14ac:dyDescent="0.25"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</row>
    <row r="685" spans="4:45" ht="15.75" customHeight="1" x14ac:dyDescent="0.25"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</row>
    <row r="686" spans="4:45" ht="15.75" customHeight="1" x14ac:dyDescent="0.25"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</row>
    <row r="687" spans="4:45" ht="15.75" customHeight="1" x14ac:dyDescent="0.25"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</row>
    <row r="688" spans="4:45" ht="15.75" customHeight="1" x14ac:dyDescent="0.25"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</row>
    <row r="689" spans="4:45" ht="15.75" customHeight="1" x14ac:dyDescent="0.25"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</row>
    <row r="690" spans="4:45" ht="15.75" customHeight="1" x14ac:dyDescent="0.25"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</row>
    <row r="691" spans="4:45" ht="15.75" customHeight="1" x14ac:dyDescent="0.25"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</row>
    <row r="692" spans="4:45" ht="15.75" customHeight="1" x14ac:dyDescent="0.25"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</row>
    <row r="693" spans="4:45" ht="15.75" customHeight="1" x14ac:dyDescent="0.25"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</row>
    <row r="694" spans="4:45" ht="15.75" customHeight="1" x14ac:dyDescent="0.25"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</row>
    <row r="695" spans="4:45" ht="15.75" customHeight="1" x14ac:dyDescent="0.25"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</row>
    <row r="696" spans="4:45" ht="15.75" customHeight="1" x14ac:dyDescent="0.25"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</row>
    <row r="697" spans="4:45" ht="15.75" customHeight="1" x14ac:dyDescent="0.25"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</row>
    <row r="698" spans="4:45" ht="15.75" customHeight="1" x14ac:dyDescent="0.25"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</row>
    <row r="699" spans="4:45" ht="15.75" customHeight="1" x14ac:dyDescent="0.25"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</row>
    <row r="700" spans="4:45" ht="15.75" customHeight="1" x14ac:dyDescent="0.25"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</row>
    <row r="701" spans="4:45" ht="15.75" customHeight="1" x14ac:dyDescent="0.25"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</row>
    <row r="702" spans="4:45" ht="15.75" customHeight="1" x14ac:dyDescent="0.25"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</row>
    <row r="703" spans="4:45" ht="15.75" customHeight="1" x14ac:dyDescent="0.25"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</row>
    <row r="704" spans="4:45" ht="15.75" customHeight="1" x14ac:dyDescent="0.25"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</row>
    <row r="705" spans="4:45" ht="15.75" customHeight="1" x14ac:dyDescent="0.25"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</row>
    <row r="706" spans="4:45" ht="15.75" customHeight="1" x14ac:dyDescent="0.25"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</row>
    <row r="707" spans="4:45" ht="15.75" customHeight="1" x14ac:dyDescent="0.25"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</row>
    <row r="708" spans="4:45" ht="15.75" customHeight="1" x14ac:dyDescent="0.25"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</row>
    <row r="709" spans="4:45" ht="15.75" customHeight="1" x14ac:dyDescent="0.25"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</row>
    <row r="710" spans="4:45" ht="15.75" customHeight="1" x14ac:dyDescent="0.25"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</row>
    <row r="711" spans="4:45" ht="15.75" customHeight="1" x14ac:dyDescent="0.25"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</row>
    <row r="712" spans="4:45" ht="15.75" customHeight="1" x14ac:dyDescent="0.25"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</row>
    <row r="713" spans="4:45" ht="15.75" customHeight="1" x14ac:dyDescent="0.25"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</row>
    <row r="714" spans="4:45" ht="15.75" customHeight="1" x14ac:dyDescent="0.25"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</row>
    <row r="715" spans="4:45" ht="15.75" customHeight="1" x14ac:dyDescent="0.25"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</row>
    <row r="716" spans="4:45" ht="15.75" customHeight="1" x14ac:dyDescent="0.25"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</row>
    <row r="717" spans="4:45" ht="15.75" customHeight="1" x14ac:dyDescent="0.25"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</row>
    <row r="718" spans="4:45" ht="15.75" customHeight="1" x14ac:dyDescent="0.25"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</row>
    <row r="719" spans="4:45" ht="15.75" customHeight="1" x14ac:dyDescent="0.25"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</row>
    <row r="720" spans="4:45" ht="15.75" customHeight="1" x14ac:dyDescent="0.25"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</row>
    <row r="721" spans="4:45" ht="15.75" customHeight="1" x14ac:dyDescent="0.25"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</row>
    <row r="722" spans="4:45" ht="15.75" customHeight="1" x14ac:dyDescent="0.25"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</row>
    <row r="723" spans="4:45" ht="15.75" customHeight="1" x14ac:dyDescent="0.25"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</row>
    <row r="724" spans="4:45" ht="15.75" customHeight="1" x14ac:dyDescent="0.25"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</row>
    <row r="725" spans="4:45" ht="15.75" customHeight="1" x14ac:dyDescent="0.25"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</row>
    <row r="726" spans="4:45" ht="15.75" customHeight="1" x14ac:dyDescent="0.25"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</row>
    <row r="727" spans="4:45" ht="15.75" customHeight="1" x14ac:dyDescent="0.25"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</row>
    <row r="728" spans="4:45" ht="15.75" customHeight="1" x14ac:dyDescent="0.25"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</row>
    <row r="729" spans="4:45" ht="15.75" customHeight="1" x14ac:dyDescent="0.25"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</row>
    <row r="730" spans="4:45" ht="15.75" customHeight="1" x14ac:dyDescent="0.25"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</row>
    <row r="731" spans="4:45" ht="15.75" customHeight="1" x14ac:dyDescent="0.25"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</row>
    <row r="732" spans="4:45" ht="15.75" customHeight="1" x14ac:dyDescent="0.25"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</row>
    <row r="733" spans="4:45" ht="15.75" customHeight="1" x14ac:dyDescent="0.25"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</row>
    <row r="734" spans="4:45" ht="15.75" customHeight="1" x14ac:dyDescent="0.25"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</row>
    <row r="735" spans="4:45" ht="15.75" customHeight="1" x14ac:dyDescent="0.25"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</row>
    <row r="736" spans="4:45" ht="15.75" customHeight="1" x14ac:dyDescent="0.25"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</row>
    <row r="737" spans="4:45" ht="15.75" customHeight="1" x14ac:dyDescent="0.25"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</row>
    <row r="738" spans="4:45" ht="15.75" customHeight="1" x14ac:dyDescent="0.25"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</row>
    <row r="739" spans="4:45" ht="15.75" customHeight="1" x14ac:dyDescent="0.25"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</row>
    <row r="740" spans="4:45" ht="15.75" customHeight="1" x14ac:dyDescent="0.25"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</row>
    <row r="741" spans="4:45" ht="15.75" customHeight="1" x14ac:dyDescent="0.25"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</row>
    <row r="742" spans="4:45" ht="15.75" customHeight="1" x14ac:dyDescent="0.25"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</row>
    <row r="743" spans="4:45" ht="15.75" customHeight="1" x14ac:dyDescent="0.25"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</row>
    <row r="744" spans="4:45" ht="15.75" customHeight="1" x14ac:dyDescent="0.25"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</row>
    <row r="745" spans="4:45" ht="15.75" customHeight="1" x14ac:dyDescent="0.25"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</row>
    <row r="746" spans="4:45" ht="15.75" customHeight="1" x14ac:dyDescent="0.25"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</row>
    <row r="747" spans="4:45" ht="15.75" customHeight="1" x14ac:dyDescent="0.25"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</row>
    <row r="748" spans="4:45" ht="15.75" customHeight="1" x14ac:dyDescent="0.25"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</row>
    <row r="749" spans="4:45" ht="15.75" customHeight="1" x14ac:dyDescent="0.25"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</row>
    <row r="750" spans="4:45" ht="15.75" customHeight="1" x14ac:dyDescent="0.25"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</row>
    <row r="751" spans="4:45" ht="15.75" customHeight="1" x14ac:dyDescent="0.25"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</row>
    <row r="752" spans="4:45" ht="15.75" customHeight="1" x14ac:dyDescent="0.25"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</row>
    <row r="753" spans="4:45" ht="15.75" customHeight="1" x14ac:dyDescent="0.25"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</row>
    <row r="754" spans="4:45" ht="15.75" customHeight="1" x14ac:dyDescent="0.25"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</row>
    <row r="755" spans="4:45" ht="15.75" customHeight="1" x14ac:dyDescent="0.25"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</row>
    <row r="756" spans="4:45" ht="15.75" customHeight="1" x14ac:dyDescent="0.25"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</row>
    <row r="757" spans="4:45" ht="15.75" customHeight="1" x14ac:dyDescent="0.25"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</row>
    <row r="758" spans="4:45" ht="15.75" customHeight="1" x14ac:dyDescent="0.25"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</row>
    <row r="759" spans="4:45" ht="15.75" customHeight="1" x14ac:dyDescent="0.25"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</row>
    <row r="760" spans="4:45" ht="15.75" customHeight="1" x14ac:dyDescent="0.25"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</row>
    <row r="761" spans="4:45" ht="15.75" customHeight="1" x14ac:dyDescent="0.25"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</row>
    <row r="762" spans="4:45" ht="15.75" customHeight="1" x14ac:dyDescent="0.25"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</row>
    <row r="763" spans="4:45" ht="15.75" customHeight="1" x14ac:dyDescent="0.25"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</row>
    <row r="764" spans="4:45" ht="15.75" customHeight="1" x14ac:dyDescent="0.25"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</row>
    <row r="765" spans="4:45" ht="15.75" customHeight="1" x14ac:dyDescent="0.25"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</row>
    <row r="766" spans="4:45" ht="15.75" customHeight="1" x14ac:dyDescent="0.25"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</row>
    <row r="767" spans="4:45" ht="15.75" customHeight="1" x14ac:dyDescent="0.25"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</row>
    <row r="768" spans="4:45" ht="15.75" customHeight="1" x14ac:dyDescent="0.25"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</row>
    <row r="769" spans="4:45" ht="15.75" customHeight="1" x14ac:dyDescent="0.25"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</row>
    <row r="770" spans="4:45" ht="15.75" customHeight="1" x14ac:dyDescent="0.25"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</row>
    <row r="771" spans="4:45" ht="15.75" customHeight="1" x14ac:dyDescent="0.25"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</row>
    <row r="772" spans="4:45" ht="15.75" customHeight="1" x14ac:dyDescent="0.25"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</row>
    <row r="773" spans="4:45" ht="15.75" customHeight="1" x14ac:dyDescent="0.25"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</row>
    <row r="774" spans="4:45" ht="15.75" customHeight="1" x14ac:dyDescent="0.25"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</row>
    <row r="775" spans="4:45" ht="15.75" customHeight="1" x14ac:dyDescent="0.25"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</row>
    <row r="776" spans="4:45" ht="15.75" customHeight="1" x14ac:dyDescent="0.25"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</row>
    <row r="777" spans="4:45" ht="15.75" customHeight="1" x14ac:dyDescent="0.25"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</row>
    <row r="778" spans="4:45" ht="15.75" customHeight="1" x14ac:dyDescent="0.25"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</row>
    <row r="779" spans="4:45" ht="15.75" customHeight="1" x14ac:dyDescent="0.25"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</row>
    <row r="780" spans="4:45" ht="15.75" customHeight="1" x14ac:dyDescent="0.25"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</row>
    <row r="781" spans="4:45" ht="15.75" customHeight="1" x14ac:dyDescent="0.25"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</row>
    <row r="782" spans="4:45" ht="15.75" customHeight="1" x14ac:dyDescent="0.25"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</row>
    <row r="783" spans="4:45" ht="15.75" customHeight="1" x14ac:dyDescent="0.25"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</row>
    <row r="784" spans="4:45" ht="15.75" customHeight="1" x14ac:dyDescent="0.25"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</row>
    <row r="785" spans="4:45" ht="15.75" customHeight="1" x14ac:dyDescent="0.25"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</row>
    <row r="786" spans="4:45" ht="15.75" customHeight="1" x14ac:dyDescent="0.25"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</row>
    <row r="787" spans="4:45" ht="15.75" customHeight="1" x14ac:dyDescent="0.25"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</row>
    <row r="788" spans="4:45" ht="15.75" customHeight="1" x14ac:dyDescent="0.25"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</row>
    <row r="789" spans="4:45" ht="15.75" customHeight="1" x14ac:dyDescent="0.25"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</row>
    <row r="790" spans="4:45" ht="15.75" customHeight="1" x14ac:dyDescent="0.25"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</row>
    <row r="791" spans="4:45" ht="15.75" customHeight="1" x14ac:dyDescent="0.25"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</row>
    <row r="792" spans="4:45" ht="15.75" customHeight="1" x14ac:dyDescent="0.25"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</row>
    <row r="793" spans="4:45" ht="15.75" customHeight="1" x14ac:dyDescent="0.25"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</row>
    <row r="794" spans="4:45" ht="15.75" customHeight="1" x14ac:dyDescent="0.25"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</row>
    <row r="795" spans="4:45" ht="15.75" customHeight="1" x14ac:dyDescent="0.25"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</row>
    <row r="796" spans="4:45" ht="15.75" customHeight="1" x14ac:dyDescent="0.25"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</row>
    <row r="797" spans="4:45" ht="15.75" customHeight="1" x14ac:dyDescent="0.25"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</row>
    <row r="798" spans="4:45" ht="15.75" customHeight="1" x14ac:dyDescent="0.25"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</row>
    <row r="799" spans="4:45" ht="15.75" customHeight="1" x14ac:dyDescent="0.25"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</row>
    <row r="800" spans="4:45" ht="15.75" customHeight="1" x14ac:dyDescent="0.25"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</row>
    <row r="801" spans="4:45" ht="15.75" customHeight="1" x14ac:dyDescent="0.25"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</row>
    <row r="802" spans="4:45" ht="15.75" customHeight="1" x14ac:dyDescent="0.25"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</row>
    <row r="803" spans="4:45" ht="15.75" customHeight="1" x14ac:dyDescent="0.25"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</row>
    <row r="804" spans="4:45" ht="15.75" customHeight="1" x14ac:dyDescent="0.25"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</row>
    <row r="805" spans="4:45" ht="15.75" customHeight="1" x14ac:dyDescent="0.25"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</row>
    <row r="806" spans="4:45" ht="15.75" customHeight="1" x14ac:dyDescent="0.25"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</row>
    <row r="807" spans="4:45" ht="15.75" customHeight="1" x14ac:dyDescent="0.25"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</row>
    <row r="808" spans="4:45" ht="15.75" customHeight="1" x14ac:dyDescent="0.25"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</row>
    <row r="809" spans="4:45" ht="15.75" customHeight="1" x14ac:dyDescent="0.25"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</row>
    <row r="810" spans="4:45" ht="15.75" customHeight="1" x14ac:dyDescent="0.25"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</row>
    <row r="811" spans="4:45" ht="15.75" customHeight="1" x14ac:dyDescent="0.25"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</row>
    <row r="812" spans="4:45" ht="15.75" customHeight="1" x14ac:dyDescent="0.25"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</row>
    <row r="813" spans="4:45" ht="15.75" customHeight="1" x14ac:dyDescent="0.25"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</row>
    <row r="814" spans="4:45" ht="15.75" customHeight="1" x14ac:dyDescent="0.25"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</row>
    <row r="815" spans="4:45" ht="15.75" customHeight="1" x14ac:dyDescent="0.25"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</row>
    <row r="816" spans="4:45" ht="15.75" customHeight="1" x14ac:dyDescent="0.25"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</row>
    <row r="817" spans="4:45" ht="15.75" customHeight="1" x14ac:dyDescent="0.25"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</row>
    <row r="818" spans="4:45" ht="15.75" customHeight="1" x14ac:dyDescent="0.25"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</row>
    <row r="819" spans="4:45" ht="15.75" customHeight="1" x14ac:dyDescent="0.25"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</row>
    <row r="820" spans="4:45" ht="15.75" customHeight="1" x14ac:dyDescent="0.25"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</row>
    <row r="821" spans="4:45" ht="15.75" customHeight="1" x14ac:dyDescent="0.25"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</row>
    <row r="822" spans="4:45" ht="15.75" customHeight="1" x14ac:dyDescent="0.25"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</row>
    <row r="823" spans="4:45" ht="15.75" customHeight="1" x14ac:dyDescent="0.25"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</row>
    <row r="824" spans="4:45" ht="15.75" customHeight="1" x14ac:dyDescent="0.25"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</row>
    <row r="825" spans="4:45" ht="15.75" customHeight="1" x14ac:dyDescent="0.25"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</row>
    <row r="826" spans="4:45" ht="15.75" customHeight="1" x14ac:dyDescent="0.25"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</row>
    <row r="827" spans="4:45" ht="15.75" customHeight="1" x14ac:dyDescent="0.25"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</row>
    <row r="828" spans="4:45" ht="15.75" customHeight="1" x14ac:dyDescent="0.25"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</row>
    <row r="829" spans="4:45" ht="15.75" customHeight="1" x14ac:dyDescent="0.25"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</row>
    <row r="830" spans="4:45" ht="15.75" customHeight="1" x14ac:dyDescent="0.25"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</row>
    <row r="831" spans="4:45" ht="15.75" customHeight="1" x14ac:dyDescent="0.25"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</row>
    <row r="832" spans="4:45" ht="15.75" customHeight="1" x14ac:dyDescent="0.25"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</row>
    <row r="833" spans="4:45" ht="15.75" customHeight="1" x14ac:dyDescent="0.25"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</row>
    <row r="834" spans="4:45" ht="15.75" customHeight="1" x14ac:dyDescent="0.25"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</row>
    <row r="835" spans="4:45" ht="15.75" customHeight="1" x14ac:dyDescent="0.25"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</row>
    <row r="836" spans="4:45" ht="15.75" customHeight="1" x14ac:dyDescent="0.25"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</row>
    <row r="837" spans="4:45" ht="15.75" customHeight="1" x14ac:dyDescent="0.25"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</row>
    <row r="838" spans="4:45" ht="15.75" customHeight="1" x14ac:dyDescent="0.25"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</row>
    <row r="839" spans="4:45" ht="15.75" customHeight="1" x14ac:dyDescent="0.25"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</row>
    <row r="840" spans="4:45" ht="15.75" customHeight="1" x14ac:dyDescent="0.25"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</row>
    <row r="841" spans="4:45" ht="15.75" customHeight="1" x14ac:dyDescent="0.25"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</row>
    <row r="842" spans="4:45" ht="15.75" customHeight="1" x14ac:dyDescent="0.25"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</row>
    <row r="843" spans="4:45" ht="15.75" customHeight="1" x14ac:dyDescent="0.25"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</row>
    <row r="844" spans="4:45" ht="15.75" customHeight="1" x14ac:dyDescent="0.25"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</row>
    <row r="845" spans="4:45" ht="15.75" customHeight="1" x14ac:dyDescent="0.25"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</row>
    <row r="846" spans="4:45" ht="15.75" customHeight="1" x14ac:dyDescent="0.25"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</row>
    <row r="847" spans="4:45" ht="15.75" customHeight="1" x14ac:dyDescent="0.25"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</row>
    <row r="848" spans="4:45" ht="15.75" customHeight="1" x14ac:dyDescent="0.25"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</row>
    <row r="849" spans="4:45" ht="15.75" customHeight="1" x14ac:dyDescent="0.25"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</row>
    <row r="850" spans="4:45" ht="15.75" customHeight="1" x14ac:dyDescent="0.25"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</row>
    <row r="851" spans="4:45" ht="15.75" customHeight="1" x14ac:dyDescent="0.25"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</row>
    <row r="852" spans="4:45" ht="15.75" customHeight="1" x14ac:dyDescent="0.25"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</row>
    <row r="853" spans="4:45" ht="15.75" customHeight="1" x14ac:dyDescent="0.25"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</row>
    <row r="854" spans="4:45" ht="15.75" customHeight="1" x14ac:dyDescent="0.25"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</row>
    <row r="855" spans="4:45" ht="15.75" customHeight="1" x14ac:dyDescent="0.25"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</row>
    <row r="856" spans="4:45" ht="15.75" customHeight="1" x14ac:dyDescent="0.25"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</row>
    <row r="857" spans="4:45" ht="15.75" customHeight="1" x14ac:dyDescent="0.25"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</row>
    <row r="858" spans="4:45" ht="15.75" customHeight="1" x14ac:dyDescent="0.25"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</row>
    <row r="859" spans="4:45" ht="15.75" customHeight="1" x14ac:dyDescent="0.25"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</row>
    <row r="860" spans="4:45" ht="15.75" customHeight="1" x14ac:dyDescent="0.25"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</row>
    <row r="861" spans="4:45" ht="15.75" customHeight="1" x14ac:dyDescent="0.25"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</row>
    <row r="862" spans="4:45" ht="15.75" customHeight="1" x14ac:dyDescent="0.25"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</row>
    <row r="863" spans="4:45" ht="15.75" customHeight="1" x14ac:dyDescent="0.25"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</row>
    <row r="864" spans="4:45" ht="15.75" customHeight="1" x14ac:dyDescent="0.25"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</row>
    <row r="865" spans="4:45" ht="15.75" customHeight="1" x14ac:dyDescent="0.25"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</row>
    <row r="866" spans="4:45" ht="15.75" customHeight="1" x14ac:dyDescent="0.25"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</row>
    <row r="867" spans="4:45" ht="15.75" customHeight="1" x14ac:dyDescent="0.25"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</row>
    <row r="868" spans="4:45" ht="15.75" customHeight="1" x14ac:dyDescent="0.25"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</row>
    <row r="869" spans="4:45" ht="15.75" customHeight="1" x14ac:dyDescent="0.25"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</row>
    <row r="870" spans="4:45" ht="15.75" customHeight="1" x14ac:dyDescent="0.25"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</row>
    <row r="871" spans="4:45" ht="15.75" customHeight="1" x14ac:dyDescent="0.25"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</row>
    <row r="872" spans="4:45" ht="15.75" customHeight="1" x14ac:dyDescent="0.25"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</row>
    <row r="873" spans="4:45" ht="15.75" customHeight="1" x14ac:dyDescent="0.25"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</row>
    <row r="874" spans="4:45" ht="15.75" customHeight="1" x14ac:dyDescent="0.25"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</row>
    <row r="875" spans="4:45" ht="15.75" customHeight="1" x14ac:dyDescent="0.25"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</row>
    <row r="876" spans="4:45" ht="15.75" customHeight="1" x14ac:dyDescent="0.25"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</row>
    <row r="877" spans="4:45" ht="15.75" customHeight="1" x14ac:dyDescent="0.25"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</row>
    <row r="878" spans="4:45" ht="15.75" customHeight="1" x14ac:dyDescent="0.25"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</row>
    <row r="879" spans="4:45" ht="15.75" customHeight="1" x14ac:dyDescent="0.25"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</row>
    <row r="880" spans="4:45" ht="15.75" customHeight="1" x14ac:dyDescent="0.25"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</row>
    <row r="881" spans="4:45" ht="15.75" customHeight="1" x14ac:dyDescent="0.25"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</row>
    <row r="882" spans="4:45" ht="15.75" customHeight="1" x14ac:dyDescent="0.25"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</row>
    <row r="883" spans="4:45" ht="15.75" customHeight="1" x14ac:dyDescent="0.25"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</row>
    <row r="884" spans="4:45" ht="15.75" customHeight="1" x14ac:dyDescent="0.25"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</row>
    <row r="885" spans="4:45" ht="15.75" customHeight="1" x14ac:dyDescent="0.25"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</row>
    <row r="886" spans="4:45" ht="15.75" customHeight="1" x14ac:dyDescent="0.25"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</row>
    <row r="887" spans="4:45" ht="15.75" customHeight="1" x14ac:dyDescent="0.25"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</row>
    <row r="888" spans="4:45" ht="15.75" customHeight="1" x14ac:dyDescent="0.25"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</row>
    <row r="889" spans="4:45" ht="15.75" customHeight="1" x14ac:dyDescent="0.25"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</row>
    <row r="890" spans="4:45" ht="15.75" customHeight="1" x14ac:dyDescent="0.25"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</row>
    <row r="891" spans="4:45" ht="15.75" customHeight="1" x14ac:dyDescent="0.25"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</row>
    <row r="892" spans="4:45" ht="15.75" customHeight="1" x14ac:dyDescent="0.25"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</row>
    <row r="893" spans="4:45" ht="15.75" customHeight="1" x14ac:dyDescent="0.25"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</row>
    <row r="894" spans="4:45" ht="15.75" customHeight="1" x14ac:dyDescent="0.25"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</row>
    <row r="895" spans="4:45" ht="15.75" customHeight="1" x14ac:dyDescent="0.25"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</row>
    <row r="896" spans="4:45" ht="15.75" customHeight="1" x14ac:dyDescent="0.25"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</row>
    <row r="897" spans="4:45" ht="15.75" customHeight="1" x14ac:dyDescent="0.25"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</row>
    <row r="898" spans="4:45" ht="15.75" customHeight="1" x14ac:dyDescent="0.25"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</row>
    <row r="899" spans="4:45" ht="15.75" customHeight="1" x14ac:dyDescent="0.25"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</row>
    <row r="900" spans="4:45" ht="15.75" customHeight="1" x14ac:dyDescent="0.25"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</row>
    <row r="901" spans="4:45" ht="15.75" customHeight="1" x14ac:dyDescent="0.25"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</row>
    <row r="902" spans="4:45" ht="15.75" customHeight="1" x14ac:dyDescent="0.25"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</row>
    <row r="903" spans="4:45" ht="15.75" customHeight="1" x14ac:dyDescent="0.25"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</row>
    <row r="904" spans="4:45" ht="15.75" customHeight="1" x14ac:dyDescent="0.25"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</row>
    <row r="905" spans="4:45" ht="15.75" customHeight="1" x14ac:dyDescent="0.25"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</row>
    <row r="906" spans="4:45" ht="15.75" customHeight="1" x14ac:dyDescent="0.25"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</row>
    <row r="907" spans="4:45" ht="15.75" customHeight="1" x14ac:dyDescent="0.25"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</row>
    <row r="908" spans="4:45" ht="15.75" customHeight="1" x14ac:dyDescent="0.25"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</row>
    <row r="909" spans="4:45" ht="15.75" customHeight="1" x14ac:dyDescent="0.25"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</row>
    <row r="910" spans="4:45" ht="15.75" customHeight="1" x14ac:dyDescent="0.25"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</row>
    <row r="911" spans="4:45" ht="15.75" customHeight="1" x14ac:dyDescent="0.25"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</row>
    <row r="912" spans="4:45" ht="15.75" customHeight="1" x14ac:dyDescent="0.25"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</row>
    <row r="913" spans="4:45" ht="15.75" customHeight="1" x14ac:dyDescent="0.25"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</row>
    <row r="914" spans="4:45" ht="15.75" customHeight="1" x14ac:dyDescent="0.25"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</row>
    <row r="915" spans="4:45" ht="15.75" customHeight="1" x14ac:dyDescent="0.25"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</row>
    <row r="916" spans="4:45" ht="15.75" customHeight="1" x14ac:dyDescent="0.25"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</row>
    <row r="917" spans="4:45" ht="15.75" customHeight="1" x14ac:dyDescent="0.25"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</row>
    <row r="918" spans="4:45" ht="15.75" customHeight="1" x14ac:dyDescent="0.25"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</row>
    <row r="919" spans="4:45" ht="15.75" customHeight="1" x14ac:dyDescent="0.25"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</row>
    <row r="920" spans="4:45" ht="15.75" customHeight="1" x14ac:dyDescent="0.25"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</row>
    <row r="921" spans="4:45" ht="15.75" customHeight="1" x14ac:dyDescent="0.25"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</row>
    <row r="922" spans="4:45" ht="15.75" customHeight="1" x14ac:dyDescent="0.25"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</row>
    <row r="923" spans="4:45" ht="15.75" customHeight="1" x14ac:dyDescent="0.25"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</row>
    <row r="924" spans="4:45" ht="15.75" customHeight="1" x14ac:dyDescent="0.25"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</row>
    <row r="925" spans="4:45" ht="15.75" customHeight="1" x14ac:dyDescent="0.25"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</row>
    <row r="926" spans="4:45" ht="15.75" customHeight="1" x14ac:dyDescent="0.25"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</row>
    <row r="927" spans="4:45" ht="15.75" customHeight="1" x14ac:dyDescent="0.25"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</row>
    <row r="928" spans="4:45" ht="15.75" customHeight="1" x14ac:dyDescent="0.25"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</row>
    <row r="929" spans="4:45" ht="15.75" customHeight="1" x14ac:dyDescent="0.25"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</row>
    <row r="930" spans="4:45" ht="15.75" customHeight="1" x14ac:dyDescent="0.25"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</row>
    <row r="931" spans="4:45" ht="15.75" customHeight="1" x14ac:dyDescent="0.25"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</row>
    <row r="932" spans="4:45" ht="15.75" customHeight="1" x14ac:dyDescent="0.25"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</row>
    <row r="933" spans="4:45" ht="15.75" customHeight="1" x14ac:dyDescent="0.25"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</row>
    <row r="934" spans="4:45" ht="15.75" customHeight="1" x14ac:dyDescent="0.25"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</row>
    <row r="935" spans="4:45" ht="15.75" customHeight="1" x14ac:dyDescent="0.25"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</row>
    <row r="936" spans="4:45" ht="15.75" customHeight="1" x14ac:dyDescent="0.25"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</row>
    <row r="937" spans="4:45" ht="15.75" customHeight="1" x14ac:dyDescent="0.25"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</row>
    <row r="938" spans="4:45" ht="15.75" customHeight="1" x14ac:dyDescent="0.25"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</row>
    <row r="939" spans="4:45" ht="15.75" customHeight="1" x14ac:dyDescent="0.25"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</row>
    <row r="940" spans="4:45" ht="15.75" customHeight="1" x14ac:dyDescent="0.25"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</row>
    <row r="941" spans="4:45" ht="15.75" customHeight="1" x14ac:dyDescent="0.25"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</row>
    <row r="942" spans="4:45" ht="15.75" customHeight="1" x14ac:dyDescent="0.25"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</row>
    <row r="943" spans="4:45" ht="15.75" customHeight="1" x14ac:dyDescent="0.25"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</row>
    <row r="944" spans="4:45" ht="15.75" customHeight="1" x14ac:dyDescent="0.25"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</row>
    <row r="945" spans="4:45" ht="15.75" customHeight="1" x14ac:dyDescent="0.25"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</row>
    <row r="946" spans="4:45" ht="15.75" customHeight="1" x14ac:dyDescent="0.25"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</row>
    <row r="947" spans="4:45" ht="15.75" customHeight="1" x14ac:dyDescent="0.25"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</row>
    <row r="948" spans="4:45" ht="15.75" customHeight="1" x14ac:dyDescent="0.25"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</row>
    <row r="949" spans="4:45" ht="15.75" customHeight="1" x14ac:dyDescent="0.25"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</row>
    <row r="950" spans="4:45" ht="15.75" customHeight="1" x14ac:dyDescent="0.25"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</row>
    <row r="951" spans="4:45" ht="15.75" customHeight="1" x14ac:dyDescent="0.25"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</row>
    <row r="952" spans="4:45" ht="15.75" customHeight="1" x14ac:dyDescent="0.25"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</row>
    <row r="953" spans="4:45" ht="15.75" customHeight="1" x14ac:dyDescent="0.25"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</row>
    <row r="954" spans="4:45" ht="15.75" customHeight="1" x14ac:dyDescent="0.25"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</row>
    <row r="955" spans="4:45" ht="15.75" customHeight="1" x14ac:dyDescent="0.25"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</row>
    <row r="956" spans="4:45" ht="15.75" customHeight="1" x14ac:dyDescent="0.25"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</row>
    <row r="957" spans="4:45" ht="15.75" customHeight="1" x14ac:dyDescent="0.25"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</row>
    <row r="958" spans="4:45" ht="15.75" customHeight="1" x14ac:dyDescent="0.25"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</row>
    <row r="959" spans="4:45" ht="15.75" customHeight="1" x14ac:dyDescent="0.25"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</row>
    <row r="960" spans="4:45" ht="15.75" customHeight="1" x14ac:dyDescent="0.25"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</row>
    <row r="961" spans="4:45" ht="15.75" customHeight="1" x14ac:dyDescent="0.25"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</row>
    <row r="962" spans="4:45" ht="15.75" customHeight="1" x14ac:dyDescent="0.25"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</row>
    <row r="963" spans="4:45" ht="15.75" customHeight="1" x14ac:dyDescent="0.25"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</row>
    <row r="964" spans="4:45" ht="15.75" customHeight="1" x14ac:dyDescent="0.25"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</row>
    <row r="965" spans="4:45" ht="15.75" customHeight="1" x14ac:dyDescent="0.25"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</row>
    <row r="966" spans="4:45" ht="15.75" customHeight="1" x14ac:dyDescent="0.25"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</row>
    <row r="967" spans="4:45" ht="15.75" customHeight="1" x14ac:dyDescent="0.25"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</row>
    <row r="968" spans="4:45" ht="15.75" customHeight="1" x14ac:dyDescent="0.25"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</row>
    <row r="969" spans="4:45" ht="15.75" customHeight="1" x14ac:dyDescent="0.25"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</row>
    <row r="970" spans="4:45" ht="15.75" customHeight="1" x14ac:dyDescent="0.25"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</row>
    <row r="971" spans="4:45" ht="15.75" customHeight="1" x14ac:dyDescent="0.25"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</row>
    <row r="972" spans="4:45" ht="15.75" customHeight="1" x14ac:dyDescent="0.25"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</row>
    <row r="973" spans="4:45" ht="15.75" customHeight="1" x14ac:dyDescent="0.25"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</row>
    <row r="974" spans="4:45" ht="15.75" customHeight="1" x14ac:dyDescent="0.25"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</row>
    <row r="975" spans="4:45" ht="15.75" customHeight="1" x14ac:dyDescent="0.25"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</row>
  </sheetData>
  <autoFilter ref="A1:AU399" xr:uid="{00000000-0009-0000-0000-000002000000}"/>
  <phoneticPr fontId="9" type="noConversion"/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981"/>
  <sheetViews>
    <sheetView tabSelected="1" zoomScale="60" zoomScaleNormal="60" workbookViewId="0">
      <pane ySplit="1" topLeftCell="A344" activePane="bottomLeft" state="frozen"/>
      <selection pane="bottomLeft" activeCell="D366" sqref="D366"/>
    </sheetView>
  </sheetViews>
  <sheetFormatPr defaultColWidth="14.42578125" defaultRowHeight="15" customHeight="1" x14ac:dyDescent="0.25"/>
  <cols>
    <col min="1" max="1" width="76.85546875" customWidth="1"/>
    <col min="2" max="2" width="32.42578125" customWidth="1"/>
    <col min="3" max="3" width="56.85546875" customWidth="1"/>
    <col min="4" max="45" width="20.7109375" customWidth="1"/>
    <col min="46" max="46" width="37.5703125" customWidth="1"/>
    <col min="47" max="47" width="45.5703125" customWidth="1"/>
  </cols>
  <sheetData>
    <row r="1" spans="1:49" ht="22.5" customHeight="1" x14ac:dyDescent="0.3">
      <c r="A1" s="1" t="s">
        <v>0</v>
      </c>
      <c r="B1" s="1" t="s">
        <v>16</v>
      </c>
      <c r="C1" s="1" t="s">
        <v>1077</v>
      </c>
      <c r="D1" s="1" t="s">
        <v>1078</v>
      </c>
      <c r="E1" s="1" t="s">
        <v>17</v>
      </c>
      <c r="F1" s="23" t="s">
        <v>1184</v>
      </c>
      <c r="G1" s="23" t="s">
        <v>1185</v>
      </c>
      <c r="H1" s="23" t="s">
        <v>1186</v>
      </c>
      <c r="I1" s="23" t="s">
        <v>1187</v>
      </c>
      <c r="J1" s="23" t="s">
        <v>1188</v>
      </c>
      <c r="K1" s="23" t="s">
        <v>1189</v>
      </c>
      <c r="L1" s="23" t="s">
        <v>1190</v>
      </c>
      <c r="M1" s="23" t="s">
        <v>1191</v>
      </c>
      <c r="N1" s="23" t="s">
        <v>1192</v>
      </c>
      <c r="O1" s="23" t="s">
        <v>1193</v>
      </c>
      <c r="P1" s="23" t="s">
        <v>1194</v>
      </c>
      <c r="Q1" s="23" t="s">
        <v>1195</v>
      </c>
      <c r="R1" s="23" t="s">
        <v>1196</v>
      </c>
      <c r="S1" s="23" t="s">
        <v>1197</v>
      </c>
      <c r="T1" s="23" t="s">
        <v>1198</v>
      </c>
      <c r="U1" s="23" t="s">
        <v>1199</v>
      </c>
      <c r="V1" s="23" t="s">
        <v>1200</v>
      </c>
      <c r="W1" s="23" t="s">
        <v>1201</v>
      </c>
      <c r="X1" s="2" t="s">
        <v>1071</v>
      </c>
      <c r="Y1" s="3" t="s">
        <v>1072</v>
      </c>
      <c r="Z1" s="3" t="s">
        <v>1087</v>
      </c>
      <c r="AA1" s="23" t="s">
        <v>1202</v>
      </c>
      <c r="AB1" s="23" t="s">
        <v>1203</v>
      </c>
      <c r="AC1" s="23" t="s">
        <v>1204</v>
      </c>
      <c r="AD1" s="23" t="s">
        <v>1205</v>
      </c>
      <c r="AE1" s="23" t="s">
        <v>1206</v>
      </c>
      <c r="AF1" s="23" t="s">
        <v>1207</v>
      </c>
      <c r="AG1" s="23" t="s">
        <v>1208</v>
      </c>
      <c r="AH1" s="23" t="s">
        <v>1209</v>
      </c>
      <c r="AI1" s="23" t="s">
        <v>1210</v>
      </c>
      <c r="AJ1" s="23" t="s">
        <v>1211</v>
      </c>
      <c r="AK1" s="23" t="s">
        <v>1212</v>
      </c>
      <c r="AL1" s="23" t="s">
        <v>1213</v>
      </c>
      <c r="AM1" s="23" t="s">
        <v>1214</v>
      </c>
      <c r="AN1" s="23" t="s">
        <v>1215</v>
      </c>
      <c r="AO1" s="23" t="s">
        <v>1216</v>
      </c>
      <c r="AP1" s="23" t="s">
        <v>1217</v>
      </c>
      <c r="AQ1" s="23" t="s">
        <v>1218</v>
      </c>
      <c r="AR1" s="23" t="s">
        <v>1219</v>
      </c>
      <c r="AS1" s="2" t="s">
        <v>1071</v>
      </c>
      <c r="AT1" s="3" t="s">
        <v>1072</v>
      </c>
      <c r="AU1" s="3" t="s">
        <v>1073</v>
      </c>
      <c r="AV1" s="2" t="s">
        <v>18</v>
      </c>
      <c r="AW1" s="3" t="s">
        <v>19</v>
      </c>
    </row>
    <row r="2" spans="1:49" ht="15.75" x14ac:dyDescent="0.25">
      <c r="A2" s="5" t="s">
        <v>3</v>
      </c>
      <c r="B2" s="7" t="s">
        <v>1070</v>
      </c>
      <c r="C2" s="7" t="s">
        <v>1162</v>
      </c>
      <c r="D2" s="7" t="s">
        <v>1097</v>
      </c>
      <c r="E2" s="5" t="s">
        <v>709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0</v>
      </c>
      <c r="P2" s="5">
        <v>1</v>
      </c>
      <c r="Q2" s="5">
        <v>1</v>
      </c>
      <c r="R2" s="5">
        <v>1</v>
      </c>
      <c r="S2" s="5">
        <v>1</v>
      </c>
      <c r="T2" s="5">
        <v>0</v>
      </c>
      <c r="U2" s="5">
        <v>1</v>
      </c>
      <c r="V2" s="5">
        <v>1</v>
      </c>
      <c r="W2" s="5">
        <v>1</v>
      </c>
      <c r="X2" s="7">
        <f t="shared" ref="X2:X33" si="0">SUM(F2:W2)</f>
        <v>16</v>
      </c>
      <c r="Y2" s="8">
        <f t="shared" ref="Y2:Y33" si="1">((X2*100)/18)/100</f>
        <v>0.88888888888888884</v>
      </c>
      <c r="Z2" s="14" t="str">
        <f t="shared" ref="Z2:Z65" si="2">IF(Y2&lt;0.4,"DEFASAGEM",IF(Y2&lt;0.7,"INTERMEDIÁRIO","ADEQUADA"))</f>
        <v>ADEQUADA</v>
      </c>
      <c r="AA2" s="5">
        <v>1</v>
      </c>
      <c r="AB2" s="5">
        <v>1</v>
      </c>
      <c r="AC2" s="5">
        <v>1</v>
      </c>
      <c r="AD2" s="5">
        <v>1</v>
      </c>
      <c r="AE2" s="5">
        <v>0</v>
      </c>
      <c r="AF2" s="5">
        <v>0</v>
      </c>
      <c r="AG2" s="5">
        <v>1</v>
      </c>
      <c r="AH2" s="5">
        <v>1</v>
      </c>
      <c r="AI2" s="5">
        <v>0</v>
      </c>
      <c r="AJ2" s="5">
        <v>0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0</v>
      </c>
      <c r="AQ2" s="5">
        <v>0</v>
      </c>
      <c r="AR2" s="5">
        <v>1</v>
      </c>
      <c r="AS2" s="7">
        <f t="shared" ref="AS2:AS33" si="3">SUM(AA2:AR2)</f>
        <v>12</v>
      </c>
      <c r="AT2" s="8">
        <f t="shared" ref="AT2:AT33" si="4">((AS2*100)/18)/100</f>
        <v>0.66666666666666674</v>
      </c>
      <c r="AU2" s="14" t="str">
        <f t="shared" ref="AU2:AU65" si="5">IF(AT2&lt;0.4,"DEFASAGEM",IF(AT2&lt;0.7,"INTERMEDIÁRIO","ADEQUADA"))</f>
        <v>INTERMEDIÁRIO</v>
      </c>
      <c r="AV2" s="7">
        <f t="shared" ref="AV2:AV33" si="6">SUM(F2:W2)+(SUM(AA2:AR2))</f>
        <v>28</v>
      </c>
      <c r="AW2" s="8">
        <f t="shared" ref="AW2:AW65" si="7">((AV2*100)/36)/100</f>
        <v>0.77777777777777768</v>
      </c>
    </row>
    <row r="3" spans="1:49" ht="15.75" x14ac:dyDescent="0.25">
      <c r="A3" s="5" t="s">
        <v>4</v>
      </c>
      <c r="B3" s="7" t="s">
        <v>710</v>
      </c>
      <c r="C3" s="7" t="s">
        <v>1162</v>
      </c>
      <c r="D3" s="7" t="s">
        <v>1097</v>
      </c>
      <c r="E3" s="5" t="s">
        <v>711</v>
      </c>
      <c r="F3" s="5">
        <v>1</v>
      </c>
      <c r="G3" s="5">
        <v>0</v>
      </c>
      <c r="H3" s="5">
        <v>1</v>
      </c>
      <c r="I3" s="5">
        <v>1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5">
        <v>1</v>
      </c>
      <c r="X3" s="7">
        <f t="shared" si="0"/>
        <v>9</v>
      </c>
      <c r="Y3" s="8">
        <f t="shared" si="1"/>
        <v>0.5</v>
      </c>
      <c r="Z3" s="14" t="str">
        <f t="shared" si="2"/>
        <v>INTERMEDIÁRIO</v>
      </c>
      <c r="AA3" s="5">
        <v>1</v>
      </c>
      <c r="AB3" s="5">
        <v>1</v>
      </c>
      <c r="AC3" s="5">
        <v>1</v>
      </c>
      <c r="AD3" s="5">
        <v>1</v>
      </c>
      <c r="AE3" s="5">
        <v>0</v>
      </c>
      <c r="AF3" s="5">
        <v>0</v>
      </c>
      <c r="AG3" s="5">
        <v>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0</v>
      </c>
      <c r="AQ3" s="5">
        <v>0</v>
      </c>
      <c r="AR3" s="5">
        <v>1</v>
      </c>
      <c r="AS3" s="7">
        <f t="shared" si="3"/>
        <v>7</v>
      </c>
      <c r="AT3" s="8">
        <f t="shared" si="4"/>
        <v>0.38888888888888884</v>
      </c>
      <c r="AU3" s="14" t="str">
        <f t="shared" si="5"/>
        <v>DEFASAGEM</v>
      </c>
      <c r="AV3" s="7">
        <f t="shared" si="6"/>
        <v>16</v>
      </c>
      <c r="AW3" s="8">
        <f t="shared" si="7"/>
        <v>0.44444444444444442</v>
      </c>
    </row>
    <row r="4" spans="1:49" ht="15.75" x14ac:dyDescent="0.25">
      <c r="A4" s="5" t="s">
        <v>4</v>
      </c>
      <c r="B4" s="7" t="s">
        <v>710</v>
      </c>
      <c r="C4" s="7" t="s">
        <v>1104</v>
      </c>
      <c r="D4" s="7" t="s">
        <v>1097</v>
      </c>
      <c r="E4" s="5" t="s">
        <v>712</v>
      </c>
      <c r="F4" s="5">
        <v>0</v>
      </c>
      <c r="G4" s="5">
        <v>1</v>
      </c>
      <c r="H4" s="5">
        <v>1</v>
      </c>
      <c r="I4" s="5">
        <v>1</v>
      </c>
      <c r="J4" s="5">
        <v>0</v>
      </c>
      <c r="K4" s="5">
        <v>0</v>
      </c>
      <c r="L4" s="5">
        <v>1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0</v>
      </c>
      <c r="W4" s="5">
        <v>0</v>
      </c>
      <c r="X4" s="7">
        <f t="shared" si="0"/>
        <v>7</v>
      </c>
      <c r="Y4" s="8">
        <f t="shared" si="1"/>
        <v>0.38888888888888884</v>
      </c>
      <c r="Z4" s="14" t="str">
        <f t="shared" si="2"/>
        <v>DEFASAGEM</v>
      </c>
      <c r="AA4" s="5">
        <v>1</v>
      </c>
      <c r="AB4" s="5">
        <v>1</v>
      </c>
      <c r="AC4" s="5">
        <v>1</v>
      </c>
      <c r="AD4" s="5">
        <v>1</v>
      </c>
      <c r="AE4" s="5">
        <v>0</v>
      </c>
      <c r="AF4" s="5">
        <v>1</v>
      </c>
      <c r="AG4" s="5">
        <v>1</v>
      </c>
      <c r="AH4" s="5">
        <v>1</v>
      </c>
      <c r="AI4" s="5">
        <v>0</v>
      </c>
      <c r="AJ4" s="5">
        <v>0</v>
      </c>
      <c r="AK4" s="5">
        <v>1</v>
      </c>
      <c r="AL4" s="5">
        <v>0</v>
      </c>
      <c r="AM4" s="5">
        <v>1</v>
      </c>
      <c r="AN4" s="5">
        <v>0</v>
      </c>
      <c r="AO4" s="5">
        <v>1</v>
      </c>
      <c r="AP4" s="5">
        <v>0</v>
      </c>
      <c r="AQ4" s="5">
        <v>0</v>
      </c>
      <c r="AR4" s="5">
        <v>1</v>
      </c>
      <c r="AS4" s="7">
        <f t="shared" si="3"/>
        <v>11</v>
      </c>
      <c r="AT4" s="8">
        <f t="shared" si="4"/>
        <v>0.61111111111111116</v>
      </c>
      <c r="AU4" s="14" t="str">
        <f t="shared" si="5"/>
        <v>INTERMEDIÁRIO</v>
      </c>
      <c r="AV4" s="7">
        <f t="shared" si="6"/>
        <v>18</v>
      </c>
      <c r="AW4" s="8">
        <f t="shared" si="7"/>
        <v>0.5</v>
      </c>
    </row>
    <row r="5" spans="1:49" ht="15.75" x14ac:dyDescent="0.25">
      <c r="A5" s="5" t="s">
        <v>4</v>
      </c>
      <c r="B5" s="7" t="s">
        <v>710</v>
      </c>
      <c r="C5" s="7" t="s">
        <v>1162</v>
      </c>
      <c r="D5" s="7" t="s">
        <v>1097</v>
      </c>
      <c r="E5" s="5" t="s">
        <v>713</v>
      </c>
      <c r="F5" s="5">
        <v>1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1</v>
      </c>
      <c r="V5" s="5">
        <v>1</v>
      </c>
      <c r="W5" s="5">
        <v>0</v>
      </c>
      <c r="X5" s="7">
        <f t="shared" si="0"/>
        <v>7</v>
      </c>
      <c r="Y5" s="8">
        <f t="shared" si="1"/>
        <v>0.38888888888888884</v>
      </c>
      <c r="Z5" s="14" t="str">
        <f t="shared" si="2"/>
        <v>DEFASAGEM</v>
      </c>
      <c r="AA5" s="5">
        <v>0</v>
      </c>
      <c r="AB5" s="5">
        <v>1</v>
      </c>
      <c r="AC5" s="5">
        <v>1</v>
      </c>
      <c r="AD5" s="5">
        <v>1</v>
      </c>
      <c r="AE5" s="5">
        <v>0</v>
      </c>
      <c r="AF5" s="5">
        <v>0</v>
      </c>
      <c r="AG5" s="5">
        <v>0</v>
      </c>
      <c r="AH5" s="5">
        <v>1</v>
      </c>
      <c r="AI5" s="5">
        <v>1</v>
      </c>
      <c r="AJ5" s="5">
        <v>0</v>
      </c>
      <c r="AK5" s="5">
        <v>0</v>
      </c>
      <c r="AL5" s="5">
        <v>1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7">
        <f t="shared" si="3"/>
        <v>6</v>
      </c>
      <c r="AT5" s="8">
        <f t="shared" si="4"/>
        <v>0.33333333333333337</v>
      </c>
      <c r="AU5" s="14" t="str">
        <f t="shared" si="5"/>
        <v>DEFASAGEM</v>
      </c>
      <c r="AV5" s="7">
        <f t="shared" si="6"/>
        <v>13</v>
      </c>
      <c r="AW5" s="8">
        <f t="shared" si="7"/>
        <v>0.36111111111111116</v>
      </c>
    </row>
    <row r="6" spans="1:49" ht="15.75" x14ac:dyDescent="0.25">
      <c r="A6" s="5" t="s">
        <v>4</v>
      </c>
      <c r="B6" s="7" t="s">
        <v>710</v>
      </c>
      <c r="C6" s="7" t="s">
        <v>1162</v>
      </c>
      <c r="D6" s="7" t="s">
        <v>1097</v>
      </c>
      <c r="E6" s="5" t="s">
        <v>714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1</v>
      </c>
      <c r="L6" s="5">
        <v>0</v>
      </c>
      <c r="M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0</v>
      </c>
      <c r="W6" s="5">
        <v>0</v>
      </c>
      <c r="X6" s="7">
        <f t="shared" si="0"/>
        <v>5</v>
      </c>
      <c r="Y6" s="8">
        <f t="shared" si="1"/>
        <v>0.27777777777777779</v>
      </c>
      <c r="Z6" s="14" t="str">
        <f t="shared" si="2"/>
        <v>DEFASAGEM</v>
      </c>
      <c r="AA6" s="5">
        <v>1</v>
      </c>
      <c r="AB6" s="5">
        <v>1</v>
      </c>
      <c r="AC6" s="5">
        <v>1</v>
      </c>
      <c r="AD6" s="5">
        <v>1</v>
      </c>
      <c r="AE6" s="5">
        <v>0</v>
      </c>
      <c r="AF6" s="5">
        <v>1</v>
      </c>
      <c r="AG6" s="5">
        <v>1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1</v>
      </c>
      <c r="AR6" s="5">
        <v>0</v>
      </c>
      <c r="AS6" s="7">
        <f t="shared" si="3"/>
        <v>7</v>
      </c>
      <c r="AT6" s="8">
        <f t="shared" si="4"/>
        <v>0.38888888888888884</v>
      </c>
      <c r="AU6" s="14" t="str">
        <f t="shared" si="5"/>
        <v>DEFASAGEM</v>
      </c>
      <c r="AV6" s="7">
        <f t="shared" si="6"/>
        <v>12</v>
      </c>
      <c r="AW6" s="8">
        <f t="shared" si="7"/>
        <v>0.33333333333333337</v>
      </c>
    </row>
    <row r="7" spans="1:49" ht="15.75" x14ac:dyDescent="0.25">
      <c r="A7" s="5" t="s">
        <v>4</v>
      </c>
      <c r="B7" s="7" t="s">
        <v>710</v>
      </c>
      <c r="C7" s="7" t="s">
        <v>1220</v>
      </c>
      <c r="D7" s="7" t="s">
        <v>1097</v>
      </c>
      <c r="E7" s="5" t="s">
        <v>715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7">
        <f t="shared" si="0"/>
        <v>1</v>
      </c>
      <c r="Y7" s="8">
        <f t="shared" si="1"/>
        <v>5.5555555555555552E-2</v>
      </c>
      <c r="Z7" s="14" t="str">
        <f t="shared" si="2"/>
        <v>DEFASAGEM</v>
      </c>
      <c r="AA7" s="5">
        <v>1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1</v>
      </c>
      <c r="AS7" s="7">
        <f t="shared" si="3"/>
        <v>3</v>
      </c>
      <c r="AT7" s="8">
        <f t="shared" si="4"/>
        <v>0.16666666666666669</v>
      </c>
      <c r="AU7" s="14" t="str">
        <f t="shared" si="5"/>
        <v>DEFASAGEM</v>
      </c>
      <c r="AV7" s="7">
        <f t="shared" si="6"/>
        <v>4</v>
      </c>
      <c r="AW7" s="8">
        <f t="shared" si="7"/>
        <v>0.1111111111111111</v>
      </c>
    </row>
    <row r="8" spans="1:49" ht="15.75" x14ac:dyDescent="0.25">
      <c r="A8" s="5" t="s">
        <v>4</v>
      </c>
      <c r="B8" s="7" t="s">
        <v>710</v>
      </c>
      <c r="C8" s="7" t="s">
        <v>1162</v>
      </c>
      <c r="D8" s="7" t="s">
        <v>1097</v>
      </c>
      <c r="E8" s="5" t="s">
        <v>716</v>
      </c>
      <c r="F8" s="5">
        <v>1</v>
      </c>
      <c r="G8" s="5">
        <v>1</v>
      </c>
      <c r="H8" s="5">
        <v>1</v>
      </c>
      <c r="I8" s="5">
        <v>0</v>
      </c>
      <c r="J8" s="5">
        <v>1</v>
      </c>
      <c r="K8" s="5">
        <v>1</v>
      </c>
      <c r="L8" s="5">
        <v>1</v>
      </c>
      <c r="M8" s="5">
        <v>0</v>
      </c>
      <c r="N8" s="5">
        <v>1</v>
      </c>
      <c r="O8" s="5">
        <v>0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7">
        <f t="shared" si="0"/>
        <v>15</v>
      </c>
      <c r="Y8" s="8">
        <f t="shared" si="1"/>
        <v>0.83333333333333326</v>
      </c>
      <c r="Z8" s="14" t="str">
        <f t="shared" si="2"/>
        <v>ADEQUADA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0</v>
      </c>
      <c r="AJ8" s="5">
        <v>0</v>
      </c>
      <c r="AK8" s="5">
        <v>1</v>
      </c>
      <c r="AL8" s="5">
        <v>1</v>
      </c>
      <c r="AM8" s="5">
        <v>1</v>
      </c>
      <c r="AN8" s="5">
        <v>1</v>
      </c>
      <c r="AO8" s="5">
        <v>0</v>
      </c>
      <c r="AP8" s="5">
        <v>0</v>
      </c>
      <c r="AQ8" s="5">
        <v>0</v>
      </c>
      <c r="AR8" s="5">
        <v>1</v>
      </c>
      <c r="AS8" s="7">
        <f t="shared" si="3"/>
        <v>13</v>
      </c>
      <c r="AT8" s="8">
        <f t="shared" si="4"/>
        <v>0.72222222222222232</v>
      </c>
      <c r="AU8" s="14" t="str">
        <f t="shared" si="5"/>
        <v>ADEQUADA</v>
      </c>
      <c r="AV8" s="7">
        <f t="shared" si="6"/>
        <v>28</v>
      </c>
      <c r="AW8" s="8">
        <f t="shared" si="7"/>
        <v>0.77777777777777768</v>
      </c>
    </row>
    <row r="9" spans="1:49" ht="15.75" x14ac:dyDescent="0.25">
      <c r="A9" s="5" t="s">
        <v>4</v>
      </c>
      <c r="B9" s="7" t="s">
        <v>710</v>
      </c>
      <c r="C9" s="7" t="s">
        <v>1162</v>
      </c>
      <c r="D9" s="7" t="s">
        <v>1097</v>
      </c>
      <c r="E9" s="5" t="s">
        <v>717</v>
      </c>
      <c r="F9" s="5">
        <v>1</v>
      </c>
      <c r="G9" s="5">
        <v>0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0</v>
      </c>
      <c r="N9" s="5">
        <v>1</v>
      </c>
      <c r="O9" s="5">
        <v>0</v>
      </c>
      <c r="P9" s="5">
        <v>1</v>
      </c>
      <c r="Q9" s="5">
        <v>1</v>
      </c>
      <c r="R9" s="5">
        <v>1</v>
      </c>
      <c r="S9" s="5">
        <v>1</v>
      </c>
      <c r="T9" s="5">
        <v>0</v>
      </c>
      <c r="U9" s="5">
        <v>1</v>
      </c>
      <c r="V9" s="5">
        <v>1</v>
      </c>
      <c r="W9" s="5">
        <v>1</v>
      </c>
      <c r="X9" s="7">
        <f t="shared" si="0"/>
        <v>14</v>
      </c>
      <c r="Y9" s="8">
        <f t="shared" si="1"/>
        <v>0.77777777777777768</v>
      </c>
      <c r="Z9" s="14" t="str">
        <f t="shared" si="2"/>
        <v>ADEQUADA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0</v>
      </c>
      <c r="AG9" s="5">
        <v>1</v>
      </c>
      <c r="AH9" s="5">
        <v>1</v>
      </c>
      <c r="AI9" s="5"/>
      <c r="AJ9" s="5">
        <v>0</v>
      </c>
      <c r="AK9" s="5">
        <v>1</v>
      </c>
      <c r="AL9" s="5">
        <v>1</v>
      </c>
      <c r="AM9" s="5">
        <v>0</v>
      </c>
      <c r="AN9" s="5">
        <v>1</v>
      </c>
      <c r="AO9" s="5">
        <v>1</v>
      </c>
      <c r="AP9" s="5">
        <v>0</v>
      </c>
      <c r="AQ9" s="5">
        <v>1</v>
      </c>
      <c r="AR9" s="5">
        <v>1</v>
      </c>
      <c r="AS9" s="7">
        <f t="shared" si="3"/>
        <v>13</v>
      </c>
      <c r="AT9" s="8">
        <f t="shared" si="4"/>
        <v>0.72222222222222232</v>
      </c>
      <c r="AU9" s="14" t="str">
        <f t="shared" si="5"/>
        <v>ADEQUADA</v>
      </c>
      <c r="AV9" s="7">
        <f t="shared" si="6"/>
        <v>27</v>
      </c>
      <c r="AW9" s="8">
        <f t="shared" si="7"/>
        <v>0.75</v>
      </c>
    </row>
    <row r="10" spans="1:49" ht="15.75" x14ac:dyDescent="0.25">
      <c r="A10" s="5" t="s">
        <v>4</v>
      </c>
      <c r="B10" s="7" t="s">
        <v>1221</v>
      </c>
      <c r="C10" s="7" t="s">
        <v>1220</v>
      </c>
      <c r="D10" s="7" t="s">
        <v>1097</v>
      </c>
      <c r="E10" s="5" t="s">
        <v>1222</v>
      </c>
      <c r="F10" s="5">
        <v>0</v>
      </c>
      <c r="G10" s="5">
        <v>1</v>
      </c>
      <c r="H10" s="5">
        <v>0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0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7">
        <f t="shared" si="0"/>
        <v>15</v>
      </c>
      <c r="Y10" s="8">
        <f t="shared" si="1"/>
        <v>0.83333333333333326</v>
      </c>
      <c r="Z10" s="14" t="str">
        <f t="shared" si="2"/>
        <v>ADEQUADA</v>
      </c>
      <c r="AA10" s="5">
        <v>1</v>
      </c>
      <c r="AB10" s="5">
        <v>1</v>
      </c>
      <c r="AC10" s="5">
        <v>1</v>
      </c>
      <c r="AD10" s="5">
        <v>1</v>
      </c>
      <c r="AE10" s="5">
        <v>0</v>
      </c>
      <c r="AF10" s="5">
        <v>0</v>
      </c>
      <c r="AG10" s="5">
        <v>1</v>
      </c>
      <c r="AH10" s="5">
        <v>1</v>
      </c>
      <c r="AI10" s="5">
        <v>0</v>
      </c>
      <c r="AJ10" s="5">
        <v>1</v>
      </c>
      <c r="AK10" s="5">
        <v>1</v>
      </c>
      <c r="AL10" s="5">
        <v>1</v>
      </c>
      <c r="AM10" s="5">
        <v>0</v>
      </c>
      <c r="AN10" s="5">
        <v>1</v>
      </c>
      <c r="AO10" s="5">
        <v>1</v>
      </c>
      <c r="AP10" s="5">
        <v>0</v>
      </c>
      <c r="AQ10" s="5">
        <v>1</v>
      </c>
      <c r="AR10" s="5">
        <v>1</v>
      </c>
      <c r="AS10" s="7">
        <f t="shared" si="3"/>
        <v>13</v>
      </c>
      <c r="AT10" s="8">
        <f t="shared" si="4"/>
        <v>0.72222222222222232</v>
      </c>
      <c r="AU10" s="14" t="str">
        <f t="shared" si="5"/>
        <v>ADEQUADA</v>
      </c>
      <c r="AV10" s="7">
        <f t="shared" si="6"/>
        <v>28</v>
      </c>
      <c r="AW10" s="8">
        <f t="shared" si="7"/>
        <v>0.77777777777777768</v>
      </c>
    </row>
    <row r="11" spans="1:49" ht="15.75" x14ac:dyDescent="0.25">
      <c r="A11" s="5" t="s">
        <v>4</v>
      </c>
      <c r="B11" s="7" t="s">
        <v>710</v>
      </c>
      <c r="C11" s="7" t="s">
        <v>1162</v>
      </c>
      <c r="D11" s="7" t="s">
        <v>1097</v>
      </c>
      <c r="E11" s="5" t="s">
        <v>718</v>
      </c>
      <c r="F11" s="5">
        <v>1</v>
      </c>
      <c r="G11" s="5">
        <v>0</v>
      </c>
      <c r="H11" s="5">
        <v>1</v>
      </c>
      <c r="I11" s="5">
        <v>0</v>
      </c>
      <c r="J11" s="5">
        <v>1</v>
      </c>
      <c r="K11" s="5">
        <v>1</v>
      </c>
      <c r="L11" s="5">
        <v>1</v>
      </c>
      <c r="M11" s="5">
        <v>0</v>
      </c>
      <c r="N11" s="5">
        <v>0</v>
      </c>
      <c r="O11" s="5">
        <v>0</v>
      </c>
      <c r="P11" s="5">
        <v>1</v>
      </c>
      <c r="Q11" s="5">
        <v>1</v>
      </c>
      <c r="R11" s="5">
        <v>1</v>
      </c>
      <c r="S11" s="5">
        <v>0</v>
      </c>
      <c r="T11" s="5">
        <v>1</v>
      </c>
      <c r="U11" s="5">
        <v>1</v>
      </c>
      <c r="V11" s="5">
        <v>1</v>
      </c>
      <c r="W11" s="5">
        <v>1</v>
      </c>
      <c r="X11" s="7">
        <f t="shared" si="0"/>
        <v>12</v>
      </c>
      <c r="Y11" s="8">
        <f t="shared" si="1"/>
        <v>0.66666666666666674</v>
      </c>
      <c r="Z11" s="14" t="str">
        <f t="shared" si="2"/>
        <v>INTERMEDIÁRIO</v>
      </c>
      <c r="AA11" s="5">
        <v>1</v>
      </c>
      <c r="AB11" s="5">
        <v>1</v>
      </c>
      <c r="AC11" s="5">
        <v>1</v>
      </c>
      <c r="AD11" s="5">
        <v>1</v>
      </c>
      <c r="AE11" s="5">
        <v>0</v>
      </c>
      <c r="AF11" s="5">
        <v>1</v>
      </c>
      <c r="AG11" s="5">
        <v>1</v>
      </c>
      <c r="AH11" s="5">
        <v>1</v>
      </c>
      <c r="AI11" s="5">
        <v>0</v>
      </c>
      <c r="AJ11" s="5">
        <v>1</v>
      </c>
      <c r="AK11" s="5">
        <v>0</v>
      </c>
      <c r="AL11" s="5">
        <v>0</v>
      </c>
      <c r="AM11" s="5">
        <v>0</v>
      </c>
      <c r="AN11" s="5">
        <v>1</v>
      </c>
      <c r="AO11" s="5">
        <v>0</v>
      </c>
      <c r="AP11" s="5">
        <v>0</v>
      </c>
      <c r="AQ11" s="5">
        <v>0</v>
      </c>
      <c r="AR11" s="5">
        <v>1</v>
      </c>
      <c r="AS11" s="7">
        <f t="shared" si="3"/>
        <v>10</v>
      </c>
      <c r="AT11" s="8">
        <f t="shared" si="4"/>
        <v>0.55555555555555558</v>
      </c>
      <c r="AU11" s="14" t="str">
        <f t="shared" si="5"/>
        <v>INTERMEDIÁRIO</v>
      </c>
      <c r="AV11" s="7">
        <f t="shared" si="6"/>
        <v>22</v>
      </c>
      <c r="AW11" s="8">
        <f t="shared" si="7"/>
        <v>0.61111111111111116</v>
      </c>
    </row>
    <row r="12" spans="1:49" ht="15.75" x14ac:dyDescent="0.25">
      <c r="A12" s="5" t="s">
        <v>4</v>
      </c>
      <c r="B12" s="7" t="s">
        <v>710</v>
      </c>
      <c r="C12" s="7" t="s">
        <v>1162</v>
      </c>
      <c r="D12" s="7" t="s">
        <v>1097</v>
      </c>
      <c r="E12" s="5" t="s">
        <v>719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1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1</v>
      </c>
      <c r="U12" s="5">
        <v>1</v>
      </c>
      <c r="V12" s="5">
        <v>1</v>
      </c>
      <c r="W12" s="5">
        <v>0</v>
      </c>
      <c r="X12" s="7">
        <f t="shared" si="0"/>
        <v>7</v>
      </c>
      <c r="Y12" s="8">
        <f t="shared" si="1"/>
        <v>0.38888888888888884</v>
      </c>
      <c r="Z12" s="14" t="str">
        <f t="shared" si="2"/>
        <v>DEFASAGEM</v>
      </c>
      <c r="AA12" s="5">
        <v>0</v>
      </c>
      <c r="AB12" s="5">
        <v>0</v>
      </c>
      <c r="AC12" s="5">
        <v>1</v>
      </c>
      <c r="AD12" s="5">
        <v>1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1</v>
      </c>
      <c r="AM12" s="5">
        <v>0</v>
      </c>
      <c r="AN12" s="5">
        <v>0</v>
      </c>
      <c r="AO12" s="5">
        <v>0</v>
      </c>
      <c r="AP12" s="5">
        <v>0</v>
      </c>
      <c r="AQ12" s="5">
        <v>1</v>
      </c>
      <c r="AR12" s="5">
        <v>0</v>
      </c>
      <c r="AS12" s="7">
        <f t="shared" si="3"/>
        <v>4</v>
      </c>
      <c r="AT12" s="8">
        <f t="shared" si="4"/>
        <v>0.22222222222222221</v>
      </c>
      <c r="AU12" s="14" t="str">
        <f t="shared" si="5"/>
        <v>DEFASAGEM</v>
      </c>
      <c r="AV12" s="7">
        <f t="shared" si="6"/>
        <v>11</v>
      </c>
      <c r="AW12" s="8">
        <f t="shared" si="7"/>
        <v>0.30555555555555558</v>
      </c>
    </row>
    <row r="13" spans="1:49" ht="15.75" x14ac:dyDescent="0.25">
      <c r="A13" s="5" t="s">
        <v>4</v>
      </c>
      <c r="B13" s="7" t="s">
        <v>710</v>
      </c>
      <c r="C13" s="7" t="s">
        <v>1162</v>
      </c>
      <c r="D13" s="7" t="s">
        <v>1097</v>
      </c>
      <c r="E13" s="5" t="s">
        <v>720</v>
      </c>
      <c r="F13" s="5">
        <v>0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  <c r="X13" s="7">
        <f t="shared" si="0"/>
        <v>6</v>
      </c>
      <c r="Y13" s="8">
        <f t="shared" si="1"/>
        <v>0.33333333333333337</v>
      </c>
      <c r="Z13" s="14" t="str">
        <f t="shared" si="2"/>
        <v>DEFASAGEM</v>
      </c>
      <c r="AA13" s="5">
        <v>1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0</v>
      </c>
      <c r="AJ13" s="5">
        <v>1</v>
      </c>
      <c r="AK13" s="5">
        <v>0</v>
      </c>
      <c r="AL13" s="5">
        <v>1</v>
      </c>
      <c r="AM13" s="5">
        <v>0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7">
        <f t="shared" si="3"/>
        <v>6</v>
      </c>
      <c r="AT13" s="8">
        <f t="shared" si="4"/>
        <v>0.33333333333333337</v>
      </c>
      <c r="AU13" s="14" t="str">
        <f t="shared" si="5"/>
        <v>DEFASAGEM</v>
      </c>
      <c r="AV13" s="7">
        <f t="shared" si="6"/>
        <v>12</v>
      </c>
      <c r="AW13" s="8">
        <f t="shared" si="7"/>
        <v>0.33333333333333337</v>
      </c>
    </row>
    <row r="14" spans="1:49" ht="15.75" x14ac:dyDescent="0.25">
      <c r="A14" s="5" t="s">
        <v>4</v>
      </c>
      <c r="B14" s="7" t="s">
        <v>710</v>
      </c>
      <c r="C14" s="7" t="s">
        <v>1162</v>
      </c>
      <c r="D14" s="7" t="s">
        <v>1097</v>
      </c>
      <c r="E14" s="5" t="s">
        <v>721</v>
      </c>
      <c r="F14" s="5">
        <v>1</v>
      </c>
      <c r="G14" s="5">
        <v>0</v>
      </c>
      <c r="H14" s="5">
        <v>1</v>
      </c>
      <c r="I14" s="5">
        <v>1</v>
      </c>
      <c r="J14" s="5">
        <v>1</v>
      </c>
      <c r="K14" s="5">
        <v>0</v>
      </c>
      <c r="L14" s="5">
        <v>1</v>
      </c>
      <c r="M14" s="5">
        <v>1</v>
      </c>
      <c r="N14" s="5">
        <v>1</v>
      </c>
      <c r="O14" s="5">
        <v>1</v>
      </c>
      <c r="P14" s="5">
        <v>0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7">
        <f t="shared" si="0"/>
        <v>15</v>
      </c>
      <c r="Y14" s="8">
        <f t="shared" si="1"/>
        <v>0.83333333333333326</v>
      </c>
      <c r="Z14" s="14" t="str">
        <f t="shared" si="2"/>
        <v>ADEQUADA</v>
      </c>
      <c r="AA14" s="5">
        <v>1</v>
      </c>
      <c r="AB14" s="5">
        <v>1</v>
      </c>
      <c r="AC14" s="5">
        <v>1</v>
      </c>
      <c r="AD14" s="5">
        <v>1</v>
      </c>
      <c r="AE14" s="5">
        <v>0</v>
      </c>
      <c r="AF14" s="5">
        <v>0</v>
      </c>
      <c r="AG14" s="5">
        <v>1</v>
      </c>
      <c r="AH14" s="5">
        <v>1</v>
      </c>
      <c r="AI14" s="5">
        <v>1</v>
      </c>
      <c r="AJ14" s="5">
        <v>0</v>
      </c>
      <c r="AK14" s="5">
        <v>1</v>
      </c>
      <c r="AL14" s="5">
        <v>1</v>
      </c>
      <c r="AM14" s="5">
        <v>0</v>
      </c>
      <c r="AN14" s="5">
        <v>1</v>
      </c>
      <c r="AO14" s="5">
        <v>0</v>
      </c>
      <c r="AP14" s="5">
        <v>0</v>
      </c>
      <c r="AQ14" s="5">
        <v>1</v>
      </c>
      <c r="AR14" s="5">
        <v>1</v>
      </c>
      <c r="AS14" s="7">
        <f t="shared" si="3"/>
        <v>12</v>
      </c>
      <c r="AT14" s="8">
        <f t="shared" si="4"/>
        <v>0.66666666666666674</v>
      </c>
      <c r="AU14" s="14" t="str">
        <f t="shared" si="5"/>
        <v>INTERMEDIÁRIO</v>
      </c>
      <c r="AV14" s="7">
        <f t="shared" si="6"/>
        <v>27</v>
      </c>
      <c r="AW14" s="8">
        <f t="shared" si="7"/>
        <v>0.75</v>
      </c>
    </row>
    <row r="15" spans="1:49" ht="15.75" x14ac:dyDescent="0.25">
      <c r="A15" s="5" t="s">
        <v>4</v>
      </c>
      <c r="B15" s="7" t="s">
        <v>710</v>
      </c>
      <c r="C15" s="7" t="s">
        <v>1162</v>
      </c>
      <c r="D15" s="7" t="s">
        <v>1097</v>
      </c>
      <c r="E15" s="5" t="s">
        <v>722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7">
        <f t="shared" si="0"/>
        <v>18</v>
      </c>
      <c r="Y15" s="8">
        <f t="shared" si="1"/>
        <v>1</v>
      </c>
      <c r="Z15" s="14" t="str">
        <f t="shared" si="2"/>
        <v>ADEQUADA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0</v>
      </c>
      <c r="AJ15" s="5">
        <v>1</v>
      </c>
      <c r="AK15" s="5">
        <v>1</v>
      </c>
      <c r="AL15" s="5">
        <v>0</v>
      </c>
      <c r="AM15" s="5">
        <v>1</v>
      </c>
      <c r="AN15" s="5">
        <v>1</v>
      </c>
      <c r="AO15" s="5">
        <v>1</v>
      </c>
      <c r="AP15" s="5">
        <v>0</v>
      </c>
      <c r="AQ15" s="5">
        <v>1</v>
      </c>
      <c r="AR15" s="5">
        <v>1</v>
      </c>
      <c r="AS15" s="7">
        <f t="shared" si="3"/>
        <v>15</v>
      </c>
      <c r="AT15" s="8">
        <f t="shared" si="4"/>
        <v>0.83333333333333326</v>
      </c>
      <c r="AU15" s="14" t="str">
        <f t="shared" si="5"/>
        <v>ADEQUADA</v>
      </c>
      <c r="AV15" s="7">
        <f t="shared" si="6"/>
        <v>33</v>
      </c>
      <c r="AW15" s="8">
        <f t="shared" si="7"/>
        <v>0.91666666666666674</v>
      </c>
    </row>
    <row r="16" spans="1:49" ht="15.75" x14ac:dyDescent="0.25">
      <c r="A16" s="5" t="s">
        <v>4</v>
      </c>
      <c r="B16" s="7" t="s">
        <v>710</v>
      </c>
      <c r="C16" s="7" t="s">
        <v>1220</v>
      </c>
      <c r="D16" s="7" t="s">
        <v>1097</v>
      </c>
      <c r="E16" s="5" t="s">
        <v>723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1</v>
      </c>
      <c r="S16" s="5">
        <v>1</v>
      </c>
      <c r="T16" s="5">
        <v>0</v>
      </c>
      <c r="U16" s="5">
        <v>1</v>
      </c>
      <c r="V16" s="5">
        <v>1</v>
      </c>
      <c r="W16" s="5">
        <v>1</v>
      </c>
      <c r="X16" s="7">
        <f t="shared" si="0"/>
        <v>13</v>
      </c>
      <c r="Y16" s="8">
        <f t="shared" si="1"/>
        <v>0.72222222222222232</v>
      </c>
      <c r="Z16" s="14" t="str">
        <f t="shared" si="2"/>
        <v>ADEQUADA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1</v>
      </c>
      <c r="AO16" s="5">
        <v>0</v>
      </c>
      <c r="AP16" s="5">
        <v>1</v>
      </c>
      <c r="AQ16" s="5">
        <v>1</v>
      </c>
      <c r="AR16" s="5">
        <v>0</v>
      </c>
      <c r="AS16" s="7">
        <f t="shared" si="3"/>
        <v>11</v>
      </c>
      <c r="AT16" s="8">
        <f t="shared" si="4"/>
        <v>0.61111111111111116</v>
      </c>
      <c r="AU16" s="14" t="str">
        <f t="shared" si="5"/>
        <v>INTERMEDIÁRIO</v>
      </c>
      <c r="AV16" s="7">
        <f t="shared" si="6"/>
        <v>24</v>
      </c>
      <c r="AW16" s="8">
        <f t="shared" si="7"/>
        <v>0.66666666666666674</v>
      </c>
    </row>
    <row r="17" spans="1:49" ht="15.75" x14ac:dyDescent="0.25">
      <c r="A17" s="5" t="s">
        <v>4</v>
      </c>
      <c r="B17" s="7" t="s">
        <v>710</v>
      </c>
      <c r="C17" s="7" t="s">
        <v>1162</v>
      </c>
      <c r="D17" s="7" t="s">
        <v>1097</v>
      </c>
      <c r="E17" s="5" t="s">
        <v>724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0</v>
      </c>
      <c r="P17" s="5">
        <v>1</v>
      </c>
      <c r="Q17" s="5">
        <v>0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7">
        <f t="shared" si="0"/>
        <v>16</v>
      </c>
      <c r="Y17" s="8">
        <f t="shared" si="1"/>
        <v>0.88888888888888884</v>
      </c>
      <c r="Z17" s="14" t="str">
        <f t="shared" si="2"/>
        <v>ADEQUADA</v>
      </c>
      <c r="AA17" s="5">
        <v>1</v>
      </c>
      <c r="AB17" s="5">
        <v>1</v>
      </c>
      <c r="AC17" s="5">
        <v>1</v>
      </c>
      <c r="AD17" s="5">
        <v>1</v>
      </c>
      <c r="AE17" s="5">
        <v>0</v>
      </c>
      <c r="AF17" s="5">
        <v>0</v>
      </c>
      <c r="AG17" s="5">
        <v>1</v>
      </c>
      <c r="AH17" s="5">
        <v>1</v>
      </c>
      <c r="AI17" s="5">
        <v>1</v>
      </c>
      <c r="AJ17" s="5">
        <v>0</v>
      </c>
      <c r="AK17" s="5">
        <v>0</v>
      </c>
      <c r="AL17" s="5">
        <v>1</v>
      </c>
      <c r="AM17" s="5">
        <v>0</v>
      </c>
      <c r="AN17" s="5">
        <v>0</v>
      </c>
      <c r="AO17" s="5">
        <v>0</v>
      </c>
      <c r="AP17" s="5">
        <v>0</v>
      </c>
      <c r="AQ17" s="5">
        <v>1</v>
      </c>
      <c r="AR17" s="5">
        <v>1</v>
      </c>
      <c r="AS17" s="7">
        <f t="shared" si="3"/>
        <v>10</v>
      </c>
      <c r="AT17" s="8">
        <f t="shared" si="4"/>
        <v>0.55555555555555558</v>
      </c>
      <c r="AU17" s="14" t="str">
        <f t="shared" si="5"/>
        <v>INTERMEDIÁRIO</v>
      </c>
      <c r="AV17" s="7">
        <f t="shared" si="6"/>
        <v>26</v>
      </c>
      <c r="AW17" s="8">
        <f t="shared" si="7"/>
        <v>0.72222222222222232</v>
      </c>
    </row>
    <row r="18" spans="1:49" ht="15.75" x14ac:dyDescent="0.25">
      <c r="A18" s="5" t="s">
        <v>4</v>
      </c>
      <c r="B18" s="7" t="s">
        <v>710</v>
      </c>
      <c r="C18" s="7" t="s">
        <v>1162</v>
      </c>
      <c r="D18" s="7" t="s">
        <v>1097</v>
      </c>
      <c r="E18" s="5" t="s">
        <v>725</v>
      </c>
      <c r="F18" s="5">
        <v>1</v>
      </c>
      <c r="G18" s="5">
        <v>0</v>
      </c>
      <c r="H18" s="5">
        <v>1</v>
      </c>
      <c r="I18" s="5">
        <v>1</v>
      </c>
      <c r="J18" s="5">
        <v>1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7">
        <f t="shared" si="0"/>
        <v>6</v>
      </c>
      <c r="Y18" s="8">
        <f t="shared" si="1"/>
        <v>0.33333333333333337</v>
      </c>
      <c r="Z18" s="14" t="str">
        <f t="shared" si="2"/>
        <v>DEFASAGEM</v>
      </c>
      <c r="AA18" s="5">
        <v>1</v>
      </c>
      <c r="AB18" s="5">
        <v>1</v>
      </c>
      <c r="AC18" s="5">
        <v>1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/>
      <c r="AJ18" s="5">
        <v>0</v>
      </c>
      <c r="AK18" s="5">
        <v>0</v>
      </c>
      <c r="AL18" s="5">
        <v>0</v>
      </c>
      <c r="AM18" s="5">
        <v>1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7">
        <f t="shared" si="3"/>
        <v>5</v>
      </c>
      <c r="AT18" s="8">
        <f t="shared" si="4"/>
        <v>0.27777777777777779</v>
      </c>
      <c r="AU18" s="14" t="str">
        <f t="shared" si="5"/>
        <v>DEFASAGEM</v>
      </c>
      <c r="AV18" s="7">
        <f t="shared" si="6"/>
        <v>11</v>
      </c>
      <c r="AW18" s="8">
        <f t="shared" si="7"/>
        <v>0.30555555555555558</v>
      </c>
    </row>
    <row r="19" spans="1:49" ht="15.75" x14ac:dyDescent="0.25">
      <c r="A19" s="5" t="s">
        <v>4</v>
      </c>
      <c r="B19" s="7" t="s">
        <v>710</v>
      </c>
      <c r="C19" s="7" t="s">
        <v>1220</v>
      </c>
      <c r="D19" s="7" t="s">
        <v>1097</v>
      </c>
      <c r="E19" s="5" t="s">
        <v>726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0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0</v>
      </c>
      <c r="W19" s="5">
        <v>1</v>
      </c>
      <c r="X19" s="7">
        <f t="shared" si="0"/>
        <v>16</v>
      </c>
      <c r="Y19" s="8">
        <f t="shared" si="1"/>
        <v>0.88888888888888884</v>
      </c>
      <c r="Z19" s="14" t="str">
        <f t="shared" si="2"/>
        <v>ADEQUADA</v>
      </c>
      <c r="AA19" s="5">
        <v>1</v>
      </c>
      <c r="AB19" s="5">
        <v>1</v>
      </c>
      <c r="AC19" s="5">
        <v>1</v>
      </c>
      <c r="AD19" s="5">
        <v>1</v>
      </c>
      <c r="AE19" s="5">
        <v>0</v>
      </c>
      <c r="AF19" s="5">
        <v>1</v>
      </c>
      <c r="AG19" s="5">
        <v>1</v>
      </c>
      <c r="AH19" s="5">
        <v>1</v>
      </c>
      <c r="AI19" s="5">
        <v>0</v>
      </c>
      <c r="AJ19" s="5">
        <v>0</v>
      </c>
      <c r="AK19" s="5">
        <v>1</v>
      </c>
      <c r="AL19" s="5">
        <v>1</v>
      </c>
      <c r="AM19" s="5">
        <v>1</v>
      </c>
      <c r="AN19" s="5">
        <v>1</v>
      </c>
      <c r="AO19" s="5">
        <v>0</v>
      </c>
      <c r="AP19" s="5">
        <v>0</v>
      </c>
      <c r="AQ19" s="5">
        <v>0</v>
      </c>
      <c r="AR19" s="5">
        <v>1</v>
      </c>
      <c r="AS19" s="7">
        <f t="shared" si="3"/>
        <v>12</v>
      </c>
      <c r="AT19" s="8">
        <f t="shared" si="4"/>
        <v>0.66666666666666674</v>
      </c>
      <c r="AU19" s="14" t="str">
        <f t="shared" si="5"/>
        <v>INTERMEDIÁRIO</v>
      </c>
      <c r="AV19" s="7">
        <f t="shared" si="6"/>
        <v>28</v>
      </c>
      <c r="AW19" s="8">
        <f t="shared" si="7"/>
        <v>0.77777777777777768</v>
      </c>
    </row>
    <row r="20" spans="1:49" ht="15.75" x14ac:dyDescent="0.25">
      <c r="A20" s="5" t="s">
        <v>4</v>
      </c>
      <c r="B20" s="7" t="s">
        <v>710</v>
      </c>
      <c r="C20" s="7" t="s">
        <v>1220</v>
      </c>
      <c r="D20" s="7" t="s">
        <v>1097</v>
      </c>
      <c r="E20" s="5" t="s">
        <v>727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1</v>
      </c>
      <c r="N20" s="5">
        <v>1</v>
      </c>
      <c r="O20" s="5">
        <v>1</v>
      </c>
      <c r="P20" s="5">
        <v>1</v>
      </c>
      <c r="Q20" s="5">
        <v>0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7">
        <f t="shared" si="0"/>
        <v>16</v>
      </c>
      <c r="Y20" s="8">
        <f t="shared" si="1"/>
        <v>0.88888888888888884</v>
      </c>
      <c r="Z20" s="14" t="str">
        <f t="shared" si="2"/>
        <v>ADEQUADA</v>
      </c>
      <c r="AA20" s="5">
        <v>1</v>
      </c>
      <c r="AB20" s="5">
        <v>1</v>
      </c>
      <c r="AC20" s="5">
        <v>1</v>
      </c>
      <c r="AD20" s="5">
        <v>1</v>
      </c>
      <c r="AE20" s="5">
        <v>0</v>
      </c>
      <c r="AF20" s="5">
        <v>0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0</v>
      </c>
      <c r="AN20" s="5">
        <v>1</v>
      </c>
      <c r="AO20" s="5">
        <v>0</v>
      </c>
      <c r="AP20" s="5">
        <v>0</v>
      </c>
      <c r="AQ20" s="5">
        <v>0</v>
      </c>
      <c r="AR20" s="5">
        <v>1</v>
      </c>
      <c r="AS20" s="7">
        <f t="shared" si="3"/>
        <v>12</v>
      </c>
      <c r="AT20" s="8">
        <f t="shared" si="4"/>
        <v>0.66666666666666674</v>
      </c>
      <c r="AU20" s="14" t="str">
        <f t="shared" si="5"/>
        <v>INTERMEDIÁRIO</v>
      </c>
      <c r="AV20" s="7">
        <f t="shared" si="6"/>
        <v>28</v>
      </c>
      <c r="AW20" s="8">
        <f t="shared" si="7"/>
        <v>0.77777777777777768</v>
      </c>
    </row>
    <row r="21" spans="1:49" ht="15.75" customHeight="1" x14ac:dyDescent="0.25">
      <c r="A21" s="5" t="s">
        <v>4</v>
      </c>
      <c r="B21" s="7" t="s">
        <v>710</v>
      </c>
      <c r="C21" s="7" t="s">
        <v>1162</v>
      </c>
      <c r="D21" s="7" t="s">
        <v>1097</v>
      </c>
      <c r="E21" s="5" t="s">
        <v>728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7">
        <f t="shared" si="0"/>
        <v>17</v>
      </c>
      <c r="Y21" s="8">
        <f t="shared" si="1"/>
        <v>0.94444444444444442</v>
      </c>
      <c r="Z21" s="14" t="str">
        <f t="shared" si="2"/>
        <v>ADEQUADA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0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0</v>
      </c>
      <c r="AP21" s="5">
        <v>0</v>
      </c>
      <c r="AQ21" s="5">
        <v>1</v>
      </c>
      <c r="AR21" s="5">
        <v>0</v>
      </c>
      <c r="AS21" s="7">
        <f t="shared" si="3"/>
        <v>14</v>
      </c>
      <c r="AT21" s="8">
        <f t="shared" si="4"/>
        <v>0.77777777777777768</v>
      </c>
      <c r="AU21" s="14" t="str">
        <f t="shared" si="5"/>
        <v>ADEQUADA</v>
      </c>
      <c r="AV21" s="7">
        <f t="shared" si="6"/>
        <v>31</v>
      </c>
      <c r="AW21" s="8">
        <f t="shared" si="7"/>
        <v>0.86111111111111116</v>
      </c>
    </row>
    <row r="22" spans="1:49" ht="15.75" customHeight="1" x14ac:dyDescent="0.25">
      <c r="A22" s="5" t="s">
        <v>4</v>
      </c>
      <c r="B22" s="7" t="s">
        <v>710</v>
      </c>
      <c r="C22" s="7" t="s">
        <v>1162</v>
      </c>
      <c r="D22" s="7" t="s">
        <v>1097</v>
      </c>
      <c r="E22" s="5" t="s">
        <v>729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1</v>
      </c>
      <c r="O22" s="5">
        <v>1</v>
      </c>
      <c r="P22" s="5">
        <v>1</v>
      </c>
      <c r="Q22" s="5">
        <v>0</v>
      </c>
      <c r="R22" s="5">
        <v>1</v>
      </c>
      <c r="S22" s="5">
        <v>1</v>
      </c>
      <c r="T22" s="5">
        <v>1</v>
      </c>
      <c r="U22" s="5">
        <v>0</v>
      </c>
      <c r="V22" s="5">
        <v>1</v>
      </c>
      <c r="W22" s="5">
        <v>1</v>
      </c>
      <c r="X22" s="7">
        <f t="shared" si="0"/>
        <v>14</v>
      </c>
      <c r="Y22" s="8">
        <f t="shared" si="1"/>
        <v>0.77777777777777768</v>
      </c>
      <c r="Z22" s="14" t="str">
        <f t="shared" si="2"/>
        <v>ADEQUADA</v>
      </c>
      <c r="AA22" s="5">
        <v>1</v>
      </c>
      <c r="AB22" s="5">
        <v>1</v>
      </c>
      <c r="AC22" s="5">
        <v>1</v>
      </c>
      <c r="AD22" s="5">
        <v>1</v>
      </c>
      <c r="AE22" s="5">
        <v>0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1</v>
      </c>
      <c r="AN22" s="5">
        <v>1</v>
      </c>
      <c r="AO22" s="5">
        <v>0</v>
      </c>
      <c r="AP22" s="5">
        <v>0</v>
      </c>
      <c r="AQ22" s="5">
        <v>1</v>
      </c>
      <c r="AR22" s="5">
        <v>1</v>
      </c>
      <c r="AS22" s="7">
        <f t="shared" si="3"/>
        <v>9</v>
      </c>
      <c r="AT22" s="8">
        <f t="shared" si="4"/>
        <v>0.5</v>
      </c>
      <c r="AU22" s="14" t="str">
        <f t="shared" si="5"/>
        <v>INTERMEDIÁRIO</v>
      </c>
      <c r="AV22" s="7">
        <f t="shared" si="6"/>
        <v>23</v>
      </c>
      <c r="AW22" s="8">
        <f t="shared" si="7"/>
        <v>0.63888888888888884</v>
      </c>
    </row>
    <row r="23" spans="1:49" ht="15.75" customHeight="1" x14ac:dyDescent="0.25">
      <c r="A23" s="5" t="s">
        <v>4</v>
      </c>
      <c r="B23" s="7" t="s">
        <v>710</v>
      </c>
      <c r="C23" s="7" t="s">
        <v>1162</v>
      </c>
      <c r="D23" s="7" t="s">
        <v>1097</v>
      </c>
      <c r="E23" s="5" t="s">
        <v>730</v>
      </c>
      <c r="F23" s="5">
        <v>1</v>
      </c>
      <c r="G23" s="5">
        <v>1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1</v>
      </c>
      <c r="U23" s="5">
        <v>0</v>
      </c>
      <c r="V23" s="5">
        <v>1</v>
      </c>
      <c r="W23" s="5">
        <v>0</v>
      </c>
      <c r="X23" s="7">
        <f t="shared" si="0"/>
        <v>8</v>
      </c>
      <c r="Y23" s="8">
        <f t="shared" si="1"/>
        <v>0.44444444444444442</v>
      </c>
      <c r="Z23" s="14" t="str">
        <f t="shared" si="2"/>
        <v>INTERMEDIÁRIO</v>
      </c>
      <c r="AA23" s="5">
        <v>1</v>
      </c>
      <c r="AB23" s="5">
        <v>1</v>
      </c>
      <c r="AC23" s="5">
        <v>0</v>
      </c>
      <c r="AD23" s="5">
        <v>1</v>
      </c>
      <c r="AE23" s="5">
        <v>0</v>
      </c>
      <c r="AF23" s="5">
        <v>0</v>
      </c>
      <c r="AG23" s="5">
        <v>0</v>
      </c>
      <c r="AH23" s="5">
        <v>1</v>
      </c>
      <c r="AI23" s="5">
        <v>1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</v>
      </c>
      <c r="AP23" s="5">
        <v>0</v>
      </c>
      <c r="AQ23" s="5">
        <v>0</v>
      </c>
      <c r="AR23" s="5">
        <v>0</v>
      </c>
      <c r="AS23" s="7">
        <f t="shared" si="3"/>
        <v>6</v>
      </c>
      <c r="AT23" s="8">
        <f t="shared" si="4"/>
        <v>0.33333333333333337</v>
      </c>
      <c r="AU23" s="14" t="str">
        <f t="shared" si="5"/>
        <v>DEFASAGEM</v>
      </c>
      <c r="AV23" s="7">
        <f t="shared" si="6"/>
        <v>14</v>
      </c>
      <c r="AW23" s="8">
        <f t="shared" si="7"/>
        <v>0.38888888888888884</v>
      </c>
    </row>
    <row r="24" spans="1:49" ht="15.75" customHeight="1" x14ac:dyDescent="0.25">
      <c r="A24" s="5" t="s">
        <v>4</v>
      </c>
      <c r="B24" s="7" t="s">
        <v>710</v>
      </c>
      <c r="C24" s="7" t="s">
        <v>1162</v>
      </c>
      <c r="D24" s="7" t="s">
        <v>1097</v>
      </c>
      <c r="E24" s="5" t="s">
        <v>731</v>
      </c>
      <c r="F24" s="5">
        <v>1</v>
      </c>
      <c r="G24" s="5">
        <v>0</v>
      </c>
      <c r="H24" s="5">
        <v>1</v>
      </c>
      <c r="I24" s="5">
        <v>1</v>
      </c>
      <c r="J24" s="5">
        <v>1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0</v>
      </c>
      <c r="R24" s="5">
        <v>1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7">
        <f t="shared" si="0"/>
        <v>9</v>
      </c>
      <c r="Y24" s="8">
        <f t="shared" si="1"/>
        <v>0.5</v>
      </c>
      <c r="Z24" s="14" t="str">
        <f t="shared" si="2"/>
        <v>INTERMEDIÁRIO</v>
      </c>
      <c r="AA24" s="5">
        <v>0</v>
      </c>
      <c r="AB24" s="5">
        <v>1</v>
      </c>
      <c r="AC24" s="5">
        <v>1</v>
      </c>
      <c r="AD24" s="5">
        <v>1</v>
      </c>
      <c r="AE24" s="5">
        <v>0</v>
      </c>
      <c r="AF24" s="5">
        <v>0</v>
      </c>
      <c r="AG24" s="5">
        <v>1</v>
      </c>
      <c r="AH24" s="5">
        <v>1</v>
      </c>
      <c r="AI24" s="5">
        <v>0</v>
      </c>
      <c r="AJ24" s="5">
        <v>0</v>
      </c>
      <c r="AK24" s="5">
        <v>1</v>
      </c>
      <c r="AL24" s="5">
        <v>1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7">
        <f t="shared" si="3"/>
        <v>8</v>
      </c>
      <c r="AT24" s="8">
        <f t="shared" si="4"/>
        <v>0.44444444444444442</v>
      </c>
      <c r="AU24" s="14" t="str">
        <f t="shared" si="5"/>
        <v>INTERMEDIÁRIO</v>
      </c>
      <c r="AV24" s="7">
        <f t="shared" si="6"/>
        <v>17</v>
      </c>
      <c r="AW24" s="8">
        <f t="shared" si="7"/>
        <v>0.47222222222222221</v>
      </c>
    </row>
    <row r="25" spans="1:49" ht="15.75" customHeight="1" x14ac:dyDescent="0.25">
      <c r="A25" s="5" t="s">
        <v>4</v>
      </c>
      <c r="B25" s="7" t="s">
        <v>710</v>
      </c>
      <c r="C25" s="7" t="s">
        <v>1220</v>
      </c>
      <c r="D25" s="7" t="s">
        <v>1097</v>
      </c>
      <c r="E25" s="5" t="s">
        <v>732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1</v>
      </c>
      <c r="R25" s="5">
        <v>1</v>
      </c>
      <c r="S25" s="5">
        <v>1</v>
      </c>
      <c r="T25" s="5">
        <v>0</v>
      </c>
      <c r="U25" s="5">
        <v>0</v>
      </c>
      <c r="V25" s="5">
        <v>1</v>
      </c>
      <c r="W25" s="5">
        <v>1</v>
      </c>
      <c r="X25" s="7">
        <f t="shared" si="0"/>
        <v>7</v>
      </c>
      <c r="Y25" s="8">
        <f t="shared" si="1"/>
        <v>0.38888888888888884</v>
      </c>
      <c r="Z25" s="14" t="str">
        <f t="shared" si="2"/>
        <v>DEFASAGEM</v>
      </c>
      <c r="AA25" s="5">
        <v>0</v>
      </c>
      <c r="AB25" s="5">
        <v>0</v>
      </c>
      <c r="AC25" s="5">
        <v>0</v>
      </c>
      <c r="AD25" s="5">
        <v>1</v>
      </c>
      <c r="AE25" s="5">
        <v>1</v>
      </c>
      <c r="AF25" s="5">
        <v>1</v>
      </c>
      <c r="AG25" s="5">
        <v>0</v>
      </c>
      <c r="AH25" s="5">
        <v>0</v>
      </c>
      <c r="AI25" s="5">
        <v>1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7">
        <f t="shared" si="3"/>
        <v>4</v>
      </c>
      <c r="AT25" s="8">
        <f t="shared" si="4"/>
        <v>0.22222222222222221</v>
      </c>
      <c r="AU25" s="14" t="str">
        <f t="shared" si="5"/>
        <v>DEFASAGEM</v>
      </c>
      <c r="AV25" s="7">
        <f t="shared" si="6"/>
        <v>11</v>
      </c>
      <c r="AW25" s="8">
        <f t="shared" si="7"/>
        <v>0.30555555555555558</v>
      </c>
    </row>
    <row r="26" spans="1:49" ht="15.75" customHeight="1" x14ac:dyDescent="0.25">
      <c r="A26" s="5" t="s">
        <v>4</v>
      </c>
      <c r="B26" s="7" t="s">
        <v>733</v>
      </c>
      <c r="C26" s="7" t="s">
        <v>1162</v>
      </c>
      <c r="D26" s="7" t="s">
        <v>1097</v>
      </c>
      <c r="E26" s="5" t="s">
        <v>734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7">
        <f t="shared" si="0"/>
        <v>18</v>
      </c>
      <c r="Y26" s="8">
        <f t="shared" si="1"/>
        <v>1</v>
      </c>
      <c r="Z26" s="14" t="str">
        <f t="shared" si="2"/>
        <v>ADEQUADA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0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0</v>
      </c>
      <c r="AP26" s="5">
        <v>0</v>
      </c>
      <c r="AQ26" s="5">
        <v>1</v>
      </c>
      <c r="AR26" s="5">
        <v>1</v>
      </c>
      <c r="AS26" s="7">
        <f t="shared" si="3"/>
        <v>15</v>
      </c>
      <c r="AT26" s="8">
        <f t="shared" si="4"/>
        <v>0.83333333333333326</v>
      </c>
      <c r="AU26" s="14" t="str">
        <f t="shared" si="5"/>
        <v>ADEQUADA</v>
      </c>
      <c r="AV26" s="7">
        <f t="shared" si="6"/>
        <v>33</v>
      </c>
      <c r="AW26" s="8">
        <f t="shared" si="7"/>
        <v>0.91666666666666674</v>
      </c>
    </row>
    <row r="27" spans="1:49" ht="15.75" customHeight="1" x14ac:dyDescent="0.25">
      <c r="A27" s="5" t="s">
        <v>4</v>
      </c>
      <c r="B27" s="7" t="s">
        <v>733</v>
      </c>
      <c r="C27" s="7" t="s">
        <v>1162</v>
      </c>
      <c r="D27" s="7" t="s">
        <v>1097</v>
      </c>
      <c r="E27" s="5" t="s">
        <v>735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1</v>
      </c>
      <c r="Q27" s="5">
        <v>1</v>
      </c>
      <c r="R27" s="5">
        <v>0</v>
      </c>
      <c r="S27" s="5">
        <v>1</v>
      </c>
      <c r="T27" s="5">
        <v>1</v>
      </c>
      <c r="U27" s="5">
        <v>1</v>
      </c>
      <c r="V27" s="5">
        <v>0</v>
      </c>
      <c r="W27" s="5">
        <v>0</v>
      </c>
      <c r="X27" s="7">
        <f t="shared" si="0"/>
        <v>8</v>
      </c>
      <c r="Y27" s="8">
        <f t="shared" si="1"/>
        <v>0.44444444444444442</v>
      </c>
      <c r="Z27" s="14" t="str">
        <f t="shared" si="2"/>
        <v>INTERMEDIÁRIO</v>
      </c>
      <c r="AA27" s="5">
        <v>0</v>
      </c>
      <c r="AB27" s="5">
        <v>1</v>
      </c>
      <c r="AC27" s="5">
        <v>0</v>
      </c>
      <c r="AD27" s="5">
        <v>1</v>
      </c>
      <c r="AE27" s="5">
        <v>1</v>
      </c>
      <c r="AF27" s="5">
        <v>1</v>
      </c>
      <c r="AG27" s="5">
        <v>0</v>
      </c>
      <c r="AH27" s="5">
        <v>0</v>
      </c>
      <c r="AI27" s="5">
        <v>1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1</v>
      </c>
      <c r="AQ27" s="5">
        <v>0</v>
      </c>
      <c r="AR27" s="5">
        <v>0</v>
      </c>
      <c r="AS27" s="7">
        <f t="shared" si="3"/>
        <v>6</v>
      </c>
      <c r="AT27" s="8">
        <f t="shared" si="4"/>
        <v>0.33333333333333337</v>
      </c>
      <c r="AU27" s="14" t="str">
        <f t="shared" si="5"/>
        <v>DEFASAGEM</v>
      </c>
      <c r="AV27" s="7">
        <f t="shared" si="6"/>
        <v>14</v>
      </c>
      <c r="AW27" s="8">
        <f t="shared" si="7"/>
        <v>0.38888888888888884</v>
      </c>
    </row>
    <row r="28" spans="1:49" ht="15.75" customHeight="1" x14ac:dyDescent="0.25">
      <c r="A28" s="5" t="s">
        <v>4</v>
      </c>
      <c r="B28" s="7" t="s">
        <v>733</v>
      </c>
      <c r="C28" s="7" t="s">
        <v>1220</v>
      </c>
      <c r="D28" s="7" t="s">
        <v>1097</v>
      </c>
      <c r="E28" s="5" t="s">
        <v>736</v>
      </c>
      <c r="F28" s="5">
        <v>1</v>
      </c>
      <c r="G28" s="5">
        <v>0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0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7">
        <f t="shared" si="0"/>
        <v>16</v>
      </c>
      <c r="Y28" s="8">
        <f t="shared" si="1"/>
        <v>0.88888888888888884</v>
      </c>
      <c r="Z28" s="14" t="str">
        <f t="shared" si="2"/>
        <v>ADEQUADA</v>
      </c>
      <c r="AA28" s="5">
        <v>1</v>
      </c>
      <c r="AB28" s="5">
        <v>1</v>
      </c>
      <c r="AC28" s="5">
        <v>1</v>
      </c>
      <c r="AD28" s="5">
        <v>0</v>
      </c>
      <c r="AE28" s="5">
        <v>0</v>
      </c>
      <c r="AF28" s="5">
        <v>1</v>
      </c>
      <c r="AG28" s="5">
        <v>0</v>
      </c>
      <c r="AH28" s="5">
        <v>1</v>
      </c>
      <c r="AI28" s="5">
        <v>0</v>
      </c>
      <c r="AJ28" s="5">
        <v>0</v>
      </c>
      <c r="AK28" s="5">
        <v>0</v>
      </c>
      <c r="AL28" s="5">
        <v>0</v>
      </c>
      <c r="AM28" s="5">
        <v>1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7">
        <f t="shared" si="3"/>
        <v>6</v>
      </c>
      <c r="AT28" s="8">
        <f t="shared" si="4"/>
        <v>0.33333333333333337</v>
      </c>
      <c r="AU28" s="14" t="str">
        <f t="shared" si="5"/>
        <v>DEFASAGEM</v>
      </c>
      <c r="AV28" s="7">
        <f t="shared" si="6"/>
        <v>22</v>
      </c>
      <c r="AW28" s="8">
        <f t="shared" si="7"/>
        <v>0.61111111111111116</v>
      </c>
    </row>
    <row r="29" spans="1:49" ht="15.75" customHeight="1" x14ac:dyDescent="0.25">
      <c r="A29" s="5" t="s">
        <v>4</v>
      </c>
      <c r="B29" s="7" t="s">
        <v>733</v>
      </c>
      <c r="C29" s="7" t="s">
        <v>1223</v>
      </c>
      <c r="D29" s="7" t="s">
        <v>1097</v>
      </c>
      <c r="E29" s="5" t="s">
        <v>737</v>
      </c>
      <c r="F29" s="5">
        <v>0</v>
      </c>
      <c r="G29" s="5">
        <v>0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7">
        <f t="shared" si="0"/>
        <v>5</v>
      </c>
      <c r="Y29" s="8">
        <f t="shared" si="1"/>
        <v>0.27777777777777779</v>
      </c>
      <c r="Z29" s="14" t="str">
        <f t="shared" si="2"/>
        <v>DEFASAGEM</v>
      </c>
      <c r="AA29" s="5">
        <v>1</v>
      </c>
      <c r="AB29" s="5">
        <v>0</v>
      </c>
      <c r="AC29" s="5">
        <v>1</v>
      </c>
      <c r="AD29" s="5">
        <v>1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</v>
      </c>
      <c r="AL29" s="5">
        <v>1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7">
        <f t="shared" si="3"/>
        <v>5</v>
      </c>
      <c r="AT29" s="8">
        <f t="shared" si="4"/>
        <v>0.27777777777777779</v>
      </c>
      <c r="AU29" s="14" t="str">
        <f t="shared" si="5"/>
        <v>DEFASAGEM</v>
      </c>
      <c r="AV29" s="7">
        <f t="shared" si="6"/>
        <v>10</v>
      </c>
      <c r="AW29" s="8">
        <f t="shared" si="7"/>
        <v>0.27777777777777779</v>
      </c>
    </row>
    <row r="30" spans="1:49" ht="15.75" customHeight="1" x14ac:dyDescent="0.25">
      <c r="A30" s="5" t="s">
        <v>4</v>
      </c>
      <c r="B30" s="7" t="s">
        <v>733</v>
      </c>
      <c r="C30" s="7" t="s">
        <v>1220</v>
      </c>
      <c r="D30" s="7" t="s">
        <v>1097</v>
      </c>
      <c r="E30" s="5" t="s">
        <v>738</v>
      </c>
      <c r="F30" s="5">
        <v>0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7">
        <f t="shared" si="0"/>
        <v>9</v>
      </c>
      <c r="Y30" s="8">
        <f t="shared" si="1"/>
        <v>0.5</v>
      </c>
      <c r="Z30" s="14" t="str">
        <f t="shared" si="2"/>
        <v>INTERMEDIÁRIO</v>
      </c>
      <c r="AA30" s="5">
        <v>1</v>
      </c>
      <c r="AB30" s="5">
        <v>1</v>
      </c>
      <c r="AC30" s="5">
        <v>1</v>
      </c>
      <c r="AD30" s="5">
        <v>1</v>
      </c>
      <c r="AE30" s="5">
        <v>0</v>
      </c>
      <c r="AF30" s="5">
        <v>1</v>
      </c>
      <c r="AG30" s="5">
        <v>1</v>
      </c>
      <c r="AH30" s="5">
        <v>0</v>
      </c>
      <c r="AI30" s="5">
        <v>1</v>
      </c>
      <c r="AJ30" s="5">
        <v>0</v>
      </c>
      <c r="AK30" s="5">
        <v>0</v>
      </c>
      <c r="AL30" s="5">
        <v>1</v>
      </c>
      <c r="AM30" s="5">
        <v>0</v>
      </c>
      <c r="AN30" s="5">
        <v>1</v>
      </c>
      <c r="AO30" s="5">
        <v>0</v>
      </c>
      <c r="AP30" s="5">
        <v>0</v>
      </c>
      <c r="AQ30" s="5">
        <v>0</v>
      </c>
      <c r="AR30" s="5">
        <v>1</v>
      </c>
      <c r="AS30" s="7">
        <f t="shared" si="3"/>
        <v>10</v>
      </c>
      <c r="AT30" s="8">
        <f t="shared" si="4"/>
        <v>0.55555555555555558</v>
      </c>
      <c r="AU30" s="14" t="str">
        <f t="shared" si="5"/>
        <v>INTERMEDIÁRIO</v>
      </c>
      <c r="AV30" s="7">
        <f t="shared" si="6"/>
        <v>19</v>
      </c>
      <c r="AW30" s="8">
        <f t="shared" si="7"/>
        <v>0.52777777777777779</v>
      </c>
    </row>
    <row r="31" spans="1:49" ht="15.75" customHeight="1" x14ac:dyDescent="0.25">
      <c r="A31" s="5" t="s">
        <v>4</v>
      </c>
      <c r="B31" s="7" t="s">
        <v>733</v>
      </c>
      <c r="C31" s="7" t="s">
        <v>1223</v>
      </c>
      <c r="D31" s="7" t="s">
        <v>1097</v>
      </c>
      <c r="E31" s="5" t="s">
        <v>739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7">
        <f t="shared" si="0"/>
        <v>4</v>
      </c>
      <c r="Y31" s="8">
        <f t="shared" si="1"/>
        <v>0.22222222222222221</v>
      </c>
      <c r="Z31" s="14" t="str">
        <f t="shared" si="2"/>
        <v>DEFASAGEM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1</v>
      </c>
      <c r="AK31" s="5">
        <v>1</v>
      </c>
      <c r="AL31" s="5">
        <v>1</v>
      </c>
      <c r="AM31" s="5">
        <v>0</v>
      </c>
      <c r="AN31" s="5">
        <v>0</v>
      </c>
      <c r="AO31" s="5">
        <v>1</v>
      </c>
      <c r="AP31" s="5">
        <v>0</v>
      </c>
      <c r="AQ31" s="5">
        <v>0</v>
      </c>
      <c r="AR31" s="5">
        <v>0</v>
      </c>
      <c r="AS31" s="7">
        <f t="shared" si="3"/>
        <v>4</v>
      </c>
      <c r="AT31" s="8">
        <f t="shared" si="4"/>
        <v>0.22222222222222221</v>
      </c>
      <c r="AU31" s="14" t="str">
        <f t="shared" si="5"/>
        <v>DEFASAGEM</v>
      </c>
      <c r="AV31" s="7">
        <f t="shared" si="6"/>
        <v>8</v>
      </c>
      <c r="AW31" s="8">
        <f t="shared" si="7"/>
        <v>0.22222222222222221</v>
      </c>
    </row>
    <row r="32" spans="1:49" ht="15.75" customHeight="1" x14ac:dyDescent="0.25">
      <c r="A32" s="5" t="s">
        <v>4</v>
      </c>
      <c r="B32" s="7" t="s">
        <v>733</v>
      </c>
      <c r="C32" s="7" t="s">
        <v>1162</v>
      </c>
      <c r="D32" s="7" t="s">
        <v>1097</v>
      </c>
      <c r="E32" s="5" t="s">
        <v>740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0</v>
      </c>
      <c r="X32" s="7">
        <f t="shared" si="0"/>
        <v>3</v>
      </c>
      <c r="Y32" s="8">
        <f t="shared" si="1"/>
        <v>0.16666666666666669</v>
      </c>
      <c r="Z32" s="14" t="str">
        <f t="shared" si="2"/>
        <v>DEFASAGEM</v>
      </c>
      <c r="AA32" s="5">
        <v>0</v>
      </c>
      <c r="AB32" s="5">
        <v>1</v>
      </c>
      <c r="AC32" s="5">
        <v>1</v>
      </c>
      <c r="AD32" s="5">
        <v>1</v>
      </c>
      <c r="AE32" s="5">
        <v>1</v>
      </c>
      <c r="AF32" s="5">
        <v>0</v>
      </c>
      <c r="AG32" s="5">
        <v>0</v>
      </c>
      <c r="AH32" s="5">
        <v>1</v>
      </c>
      <c r="AI32" s="5">
        <v>1</v>
      </c>
      <c r="AJ32" s="5">
        <v>0</v>
      </c>
      <c r="AK32" s="5">
        <v>0</v>
      </c>
      <c r="AL32" s="5">
        <v>1</v>
      </c>
      <c r="AM32" s="5">
        <v>0</v>
      </c>
      <c r="AN32" s="5">
        <v>0</v>
      </c>
      <c r="AO32" s="5">
        <v>0</v>
      </c>
      <c r="AP32" s="5">
        <v>0</v>
      </c>
      <c r="AQ32" s="5">
        <v>1</v>
      </c>
      <c r="AR32" s="5">
        <v>0</v>
      </c>
      <c r="AS32" s="7">
        <f t="shared" si="3"/>
        <v>8</v>
      </c>
      <c r="AT32" s="8">
        <f t="shared" si="4"/>
        <v>0.44444444444444442</v>
      </c>
      <c r="AU32" s="14" t="str">
        <f t="shared" si="5"/>
        <v>INTERMEDIÁRIO</v>
      </c>
      <c r="AV32" s="7">
        <f t="shared" si="6"/>
        <v>11</v>
      </c>
      <c r="AW32" s="8">
        <f t="shared" si="7"/>
        <v>0.30555555555555558</v>
      </c>
    </row>
    <row r="33" spans="1:49" ht="15.75" customHeight="1" x14ac:dyDescent="0.25">
      <c r="A33" s="5" t="s">
        <v>4</v>
      </c>
      <c r="B33" s="7" t="s">
        <v>733</v>
      </c>
      <c r="C33" s="26" t="s">
        <v>1220</v>
      </c>
      <c r="D33" s="7" t="s">
        <v>1097</v>
      </c>
      <c r="E33" s="5" t="s">
        <v>741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1</v>
      </c>
      <c r="S33" s="5">
        <v>1</v>
      </c>
      <c r="T33" s="5">
        <v>1</v>
      </c>
      <c r="U33" s="5">
        <v>1</v>
      </c>
      <c r="V33" s="5">
        <v>0</v>
      </c>
      <c r="W33" s="5">
        <v>1</v>
      </c>
      <c r="X33" s="7">
        <f t="shared" si="0"/>
        <v>12</v>
      </c>
      <c r="Y33" s="8">
        <f t="shared" si="1"/>
        <v>0.66666666666666674</v>
      </c>
      <c r="Z33" s="14" t="str">
        <f t="shared" si="2"/>
        <v>INTERMEDIÁRIO</v>
      </c>
      <c r="AA33" s="5">
        <v>1</v>
      </c>
      <c r="AB33" s="5">
        <v>1</v>
      </c>
      <c r="AC33" s="5">
        <v>1</v>
      </c>
      <c r="AD33" s="5">
        <v>1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1</v>
      </c>
      <c r="AR33" s="5">
        <v>1</v>
      </c>
      <c r="AS33" s="7">
        <f t="shared" si="3"/>
        <v>6</v>
      </c>
      <c r="AT33" s="8">
        <f t="shared" si="4"/>
        <v>0.33333333333333337</v>
      </c>
      <c r="AU33" s="14" t="str">
        <f t="shared" si="5"/>
        <v>DEFASAGEM</v>
      </c>
      <c r="AV33" s="7">
        <f t="shared" si="6"/>
        <v>18</v>
      </c>
      <c r="AW33" s="8">
        <f t="shared" si="7"/>
        <v>0.5</v>
      </c>
    </row>
    <row r="34" spans="1:49" ht="15.75" customHeight="1" x14ac:dyDescent="0.25">
      <c r="A34" s="5" t="s">
        <v>4</v>
      </c>
      <c r="B34" s="27" t="s">
        <v>733</v>
      </c>
      <c r="C34" s="28" t="s">
        <v>1099</v>
      </c>
      <c r="D34" s="29" t="s">
        <v>1100</v>
      </c>
      <c r="E34" s="5" t="s">
        <v>1224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7">
        <v>0</v>
      </c>
      <c r="Y34" s="8">
        <v>0</v>
      </c>
      <c r="Z34" s="14" t="str">
        <f t="shared" si="2"/>
        <v>DEFASAGEM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7">
        <v>0</v>
      </c>
      <c r="AT34" s="8">
        <v>0</v>
      </c>
      <c r="AU34" s="14" t="str">
        <f t="shared" si="5"/>
        <v>DEFASAGEM</v>
      </c>
      <c r="AV34" s="7">
        <v>0</v>
      </c>
      <c r="AW34" s="8">
        <f t="shared" si="7"/>
        <v>0</v>
      </c>
    </row>
    <row r="35" spans="1:49" ht="15.75" customHeight="1" x14ac:dyDescent="0.25">
      <c r="A35" s="5" t="s">
        <v>4</v>
      </c>
      <c r="B35" s="7" t="s">
        <v>733</v>
      </c>
      <c r="C35" s="30" t="s">
        <v>1162</v>
      </c>
      <c r="D35" s="7" t="s">
        <v>1097</v>
      </c>
      <c r="E35" s="5" t="s">
        <v>742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7">
        <f t="shared" ref="X35:X86" si="8">SUM(F35:W35)</f>
        <v>2</v>
      </c>
      <c r="Y35" s="8">
        <f t="shared" ref="Y35:Y98" si="9">((X35*100)/18)/100</f>
        <v>0.1111111111111111</v>
      </c>
      <c r="Z35" s="14" t="str">
        <f t="shared" si="2"/>
        <v>DEFASAGEM</v>
      </c>
      <c r="AA35" s="5">
        <v>1</v>
      </c>
      <c r="AB35" s="5">
        <v>0</v>
      </c>
      <c r="AC35" s="5">
        <v>1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1</v>
      </c>
      <c r="AK35" s="5">
        <v>0</v>
      </c>
      <c r="AL35" s="5">
        <v>0</v>
      </c>
      <c r="AM35" s="5">
        <v>0</v>
      </c>
      <c r="AN35" s="5">
        <v>0</v>
      </c>
      <c r="AO35" s="5">
        <v>1</v>
      </c>
      <c r="AP35" s="5">
        <v>1</v>
      </c>
      <c r="AQ35" s="5">
        <v>0</v>
      </c>
      <c r="AR35" s="5">
        <v>0</v>
      </c>
      <c r="AS35" s="7">
        <f t="shared" ref="AS35:AS90" si="10">SUM(AA35:AR35)</f>
        <v>5</v>
      </c>
      <c r="AT35" s="8">
        <f t="shared" ref="AT35:AT90" si="11">((AS35*100)/18)/100</f>
        <v>0.27777777777777779</v>
      </c>
      <c r="AU35" s="14" t="str">
        <f t="shared" si="5"/>
        <v>DEFASAGEM</v>
      </c>
      <c r="AV35" s="7">
        <f t="shared" ref="AV35:AV81" si="12">SUM(F35:W35)+(SUM(AA35:AR35))</f>
        <v>7</v>
      </c>
      <c r="AW35" s="8">
        <f t="shared" si="7"/>
        <v>0.19444444444444442</v>
      </c>
    </row>
    <row r="36" spans="1:49" ht="15.75" customHeight="1" x14ac:dyDescent="0.25">
      <c r="A36" s="5" t="s">
        <v>4</v>
      </c>
      <c r="B36" s="7" t="s">
        <v>733</v>
      </c>
      <c r="C36" s="7" t="s">
        <v>1220</v>
      </c>
      <c r="D36" s="7" t="s">
        <v>1097</v>
      </c>
      <c r="E36" s="5" t="s">
        <v>743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0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7">
        <f t="shared" si="8"/>
        <v>14</v>
      </c>
      <c r="Y36" s="8">
        <f t="shared" si="9"/>
        <v>0.77777777777777768</v>
      </c>
      <c r="Z36" s="14" t="str">
        <f t="shared" si="2"/>
        <v>ADEQUADA</v>
      </c>
      <c r="AA36" s="5">
        <v>0</v>
      </c>
      <c r="AB36" s="5">
        <v>1</v>
      </c>
      <c r="AC36" s="5">
        <v>1</v>
      </c>
      <c r="AD36" s="5">
        <v>1</v>
      </c>
      <c r="AE36" s="5">
        <v>0</v>
      </c>
      <c r="AF36" s="5">
        <v>1</v>
      </c>
      <c r="AG36" s="5">
        <v>0</v>
      </c>
      <c r="AH36" s="5">
        <v>0</v>
      </c>
      <c r="AI36" s="5">
        <v>0</v>
      </c>
      <c r="AJ36" s="5">
        <v>0</v>
      </c>
      <c r="AK36" s="5">
        <v>1</v>
      </c>
      <c r="AL36" s="5">
        <v>0</v>
      </c>
      <c r="AM36" s="5">
        <v>0</v>
      </c>
      <c r="AN36" s="5">
        <v>1</v>
      </c>
      <c r="AO36" s="5">
        <v>0</v>
      </c>
      <c r="AP36" s="5">
        <v>0</v>
      </c>
      <c r="AQ36" s="5">
        <v>0</v>
      </c>
      <c r="AR36" s="5">
        <v>1</v>
      </c>
      <c r="AS36" s="7">
        <f t="shared" si="10"/>
        <v>7</v>
      </c>
      <c r="AT36" s="8">
        <f t="shared" si="11"/>
        <v>0.38888888888888884</v>
      </c>
      <c r="AU36" s="14" t="str">
        <f t="shared" si="5"/>
        <v>DEFASAGEM</v>
      </c>
      <c r="AV36" s="7">
        <f t="shared" si="12"/>
        <v>21</v>
      </c>
      <c r="AW36" s="8">
        <f t="shared" si="7"/>
        <v>0.58333333333333337</v>
      </c>
    </row>
    <row r="37" spans="1:49" ht="15.75" customHeight="1" x14ac:dyDescent="0.25">
      <c r="A37" s="5" t="s">
        <v>4</v>
      </c>
      <c r="B37" s="7" t="s">
        <v>733</v>
      </c>
      <c r="C37" s="7" t="s">
        <v>1162</v>
      </c>
      <c r="D37" s="7" t="s">
        <v>1097</v>
      </c>
      <c r="E37" s="5" t="s">
        <v>744</v>
      </c>
      <c r="F37" s="5">
        <v>1</v>
      </c>
      <c r="G37" s="5">
        <v>0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0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7">
        <f t="shared" si="8"/>
        <v>16</v>
      </c>
      <c r="Y37" s="8">
        <f t="shared" si="9"/>
        <v>0.88888888888888884</v>
      </c>
      <c r="Z37" s="14" t="str">
        <f t="shared" si="2"/>
        <v>ADEQUADA</v>
      </c>
      <c r="AA37" s="5">
        <v>1</v>
      </c>
      <c r="AB37" s="5">
        <v>1</v>
      </c>
      <c r="AC37" s="5">
        <v>1</v>
      </c>
      <c r="AD37" s="5">
        <v>1</v>
      </c>
      <c r="AE37" s="5">
        <v>0</v>
      </c>
      <c r="AF37" s="5">
        <v>1</v>
      </c>
      <c r="AG37" s="5">
        <v>1</v>
      </c>
      <c r="AH37" s="5">
        <v>1</v>
      </c>
      <c r="AI37" s="5">
        <v>0</v>
      </c>
      <c r="AJ37" s="5">
        <v>0</v>
      </c>
      <c r="AK37" s="5">
        <v>1</v>
      </c>
      <c r="AL37" s="5">
        <v>1</v>
      </c>
      <c r="AM37" s="5">
        <v>0</v>
      </c>
      <c r="AN37" s="5">
        <v>1</v>
      </c>
      <c r="AO37" s="5">
        <v>0</v>
      </c>
      <c r="AP37" s="5">
        <v>0</v>
      </c>
      <c r="AQ37" s="5">
        <v>0</v>
      </c>
      <c r="AR37" s="5">
        <v>1</v>
      </c>
      <c r="AS37" s="7">
        <f t="shared" si="10"/>
        <v>11</v>
      </c>
      <c r="AT37" s="8">
        <f t="shared" si="11"/>
        <v>0.61111111111111116</v>
      </c>
      <c r="AU37" s="14" t="str">
        <f t="shared" si="5"/>
        <v>INTERMEDIÁRIO</v>
      </c>
      <c r="AV37" s="7">
        <f t="shared" si="12"/>
        <v>27</v>
      </c>
      <c r="AW37" s="8">
        <f t="shared" si="7"/>
        <v>0.75</v>
      </c>
    </row>
    <row r="38" spans="1:49" ht="15.75" customHeight="1" x14ac:dyDescent="0.25">
      <c r="A38" s="5" t="s">
        <v>4</v>
      </c>
      <c r="B38" s="7" t="s">
        <v>733</v>
      </c>
      <c r="C38" s="7" t="s">
        <v>1162</v>
      </c>
      <c r="D38" s="7" t="s">
        <v>1097</v>
      </c>
      <c r="E38" s="5" t="s">
        <v>745</v>
      </c>
      <c r="F38" s="5">
        <v>1</v>
      </c>
      <c r="G38" s="5">
        <v>0</v>
      </c>
      <c r="H38" s="5">
        <v>1</v>
      </c>
      <c r="I38" s="5">
        <v>0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0</v>
      </c>
      <c r="U38" s="5">
        <v>1</v>
      </c>
      <c r="V38" s="5">
        <v>1</v>
      </c>
      <c r="W38" s="5">
        <v>1</v>
      </c>
      <c r="X38" s="7">
        <f t="shared" si="8"/>
        <v>15</v>
      </c>
      <c r="Y38" s="8">
        <f t="shared" si="9"/>
        <v>0.83333333333333326</v>
      </c>
      <c r="Z38" s="14" t="str">
        <f t="shared" si="2"/>
        <v>ADEQUADA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0</v>
      </c>
      <c r="AJ38" s="5">
        <v>0</v>
      </c>
      <c r="AK38" s="5">
        <v>1</v>
      </c>
      <c r="AL38" s="5">
        <v>0</v>
      </c>
      <c r="AM38" s="5">
        <v>1</v>
      </c>
      <c r="AN38" s="5">
        <v>0</v>
      </c>
      <c r="AO38" s="5">
        <v>0</v>
      </c>
      <c r="AP38" s="5">
        <v>1</v>
      </c>
      <c r="AQ38" s="5">
        <v>1</v>
      </c>
      <c r="AR38" s="5">
        <v>0</v>
      </c>
      <c r="AS38" s="7">
        <f t="shared" si="10"/>
        <v>12</v>
      </c>
      <c r="AT38" s="8">
        <f t="shared" si="11"/>
        <v>0.66666666666666674</v>
      </c>
      <c r="AU38" s="14" t="str">
        <f t="shared" si="5"/>
        <v>INTERMEDIÁRIO</v>
      </c>
      <c r="AV38" s="7">
        <f t="shared" si="12"/>
        <v>27</v>
      </c>
      <c r="AW38" s="8">
        <f t="shared" si="7"/>
        <v>0.75</v>
      </c>
    </row>
    <row r="39" spans="1:49" ht="15.75" customHeight="1" x14ac:dyDescent="0.25">
      <c r="A39" s="5" t="s">
        <v>4</v>
      </c>
      <c r="B39" s="7" t="s">
        <v>733</v>
      </c>
      <c r="C39" s="7" t="s">
        <v>1105</v>
      </c>
      <c r="D39" s="7" t="s">
        <v>1097</v>
      </c>
      <c r="E39" s="5" t="s">
        <v>746</v>
      </c>
      <c r="F39" s="5">
        <v>0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0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7">
        <f t="shared" si="8"/>
        <v>16</v>
      </c>
      <c r="Y39" s="8">
        <f t="shared" si="9"/>
        <v>0.88888888888888884</v>
      </c>
      <c r="Z39" s="14" t="str">
        <f t="shared" si="2"/>
        <v>ADEQUADA</v>
      </c>
      <c r="AA39" s="5">
        <v>1</v>
      </c>
      <c r="AB39" s="5">
        <v>1</v>
      </c>
      <c r="AC39" s="5">
        <v>0</v>
      </c>
      <c r="AD39" s="5">
        <v>1</v>
      </c>
      <c r="AE39" s="5">
        <v>0</v>
      </c>
      <c r="AF39" s="5">
        <v>1</v>
      </c>
      <c r="AG39" s="5">
        <v>1</v>
      </c>
      <c r="AH39" s="5">
        <v>1</v>
      </c>
      <c r="AI39" s="5">
        <v>0</v>
      </c>
      <c r="AJ39" s="5">
        <v>0</v>
      </c>
      <c r="AK39" s="5">
        <v>1</v>
      </c>
      <c r="AL39" s="5">
        <v>0</v>
      </c>
      <c r="AM39" s="5">
        <v>1</v>
      </c>
      <c r="AN39" s="5">
        <v>1</v>
      </c>
      <c r="AO39" s="5">
        <v>0</v>
      </c>
      <c r="AP39" s="5">
        <v>0</v>
      </c>
      <c r="AQ39" s="5">
        <v>0</v>
      </c>
      <c r="AR39" s="5">
        <v>1</v>
      </c>
      <c r="AS39" s="7">
        <f t="shared" si="10"/>
        <v>10</v>
      </c>
      <c r="AT39" s="8">
        <f t="shared" si="11"/>
        <v>0.55555555555555558</v>
      </c>
      <c r="AU39" s="14" t="str">
        <f t="shared" si="5"/>
        <v>INTERMEDIÁRIO</v>
      </c>
      <c r="AV39" s="7">
        <f t="shared" si="12"/>
        <v>26</v>
      </c>
      <c r="AW39" s="8">
        <f t="shared" si="7"/>
        <v>0.72222222222222232</v>
      </c>
    </row>
    <row r="40" spans="1:49" ht="15.75" customHeight="1" x14ac:dyDescent="0.25">
      <c r="A40" s="5" t="s">
        <v>4</v>
      </c>
      <c r="B40" s="7" t="s">
        <v>733</v>
      </c>
      <c r="C40" s="7" t="s">
        <v>1162</v>
      </c>
      <c r="D40" s="7" t="s">
        <v>1097</v>
      </c>
      <c r="E40" s="5" t="s">
        <v>747</v>
      </c>
      <c r="F40" s="5">
        <v>1</v>
      </c>
      <c r="G40" s="5">
        <v>0</v>
      </c>
      <c r="H40" s="5">
        <v>1</v>
      </c>
      <c r="I40" s="5">
        <v>1</v>
      </c>
      <c r="J40" s="5">
        <v>1</v>
      </c>
      <c r="K40" s="5">
        <v>1</v>
      </c>
      <c r="L40" s="5">
        <v>0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0</v>
      </c>
      <c r="U40" s="5">
        <v>1</v>
      </c>
      <c r="V40" s="5">
        <v>1</v>
      </c>
      <c r="W40" s="5">
        <v>1</v>
      </c>
      <c r="X40" s="7">
        <f t="shared" si="8"/>
        <v>15</v>
      </c>
      <c r="Y40" s="8">
        <f t="shared" si="9"/>
        <v>0.83333333333333326</v>
      </c>
      <c r="Z40" s="14" t="str">
        <f t="shared" si="2"/>
        <v>ADEQUADA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0</v>
      </c>
      <c r="AJ40" s="5">
        <v>0</v>
      </c>
      <c r="AK40" s="5">
        <v>1</v>
      </c>
      <c r="AL40" s="5">
        <v>0</v>
      </c>
      <c r="AM40" s="5">
        <v>1</v>
      </c>
      <c r="AN40" s="5">
        <v>0</v>
      </c>
      <c r="AO40" s="5">
        <v>0</v>
      </c>
      <c r="AP40" s="5">
        <v>0</v>
      </c>
      <c r="AQ40" s="5">
        <v>1</v>
      </c>
      <c r="AR40" s="5">
        <v>0</v>
      </c>
      <c r="AS40" s="7">
        <f t="shared" si="10"/>
        <v>11</v>
      </c>
      <c r="AT40" s="8">
        <f t="shared" si="11"/>
        <v>0.61111111111111116</v>
      </c>
      <c r="AU40" s="14" t="str">
        <f t="shared" si="5"/>
        <v>INTERMEDIÁRIO</v>
      </c>
      <c r="AV40" s="7">
        <f t="shared" si="12"/>
        <v>26</v>
      </c>
      <c r="AW40" s="8">
        <f t="shared" si="7"/>
        <v>0.72222222222222232</v>
      </c>
    </row>
    <row r="41" spans="1:49" ht="15.75" customHeight="1" x14ac:dyDescent="0.25">
      <c r="A41" s="5" t="s">
        <v>4</v>
      </c>
      <c r="B41" s="7" t="s">
        <v>733</v>
      </c>
      <c r="C41" s="7" t="s">
        <v>1162</v>
      </c>
      <c r="D41" s="7" t="s">
        <v>1097</v>
      </c>
      <c r="E41" s="5" t="s">
        <v>748</v>
      </c>
      <c r="F41" s="5">
        <v>1</v>
      </c>
      <c r="G41" s="5">
        <v>0</v>
      </c>
      <c r="H41" s="5">
        <v>1</v>
      </c>
      <c r="I41" s="5">
        <v>0</v>
      </c>
      <c r="J41" s="5">
        <v>1</v>
      </c>
      <c r="K41" s="5">
        <v>1</v>
      </c>
      <c r="L41" s="5">
        <v>0</v>
      </c>
      <c r="M41" s="5">
        <v>1</v>
      </c>
      <c r="N41" s="5">
        <v>1</v>
      </c>
      <c r="O41" s="5">
        <v>0</v>
      </c>
      <c r="P41" s="5">
        <v>0</v>
      </c>
      <c r="Q41" s="5">
        <v>1</v>
      </c>
      <c r="R41" s="5">
        <v>1</v>
      </c>
      <c r="S41" s="5">
        <v>1</v>
      </c>
      <c r="T41" s="5">
        <v>0</v>
      </c>
      <c r="U41" s="5">
        <v>1</v>
      </c>
      <c r="V41" s="5">
        <v>1</v>
      </c>
      <c r="W41" s="5">
        <v>1</v>
      </c>
      <c r="X41" s="7">
        <f t="shared" si="8"/>
        <v>12</v>
      </c>
      <c r="Y41" s="8">
        <f t="shared" si="9"/>
        <v>0.66666666666666674</v>
      </c>
      <c r="Z41" s="14" t="str">
        <f t="shared" si="2"/>
        <v>INTERMEDIÁRIO</v>
      </c>
      <c r="AA41" s="5">
        <v>0</v>
      </c>
      <c r="AB41" s="5">
        <v>1</v>
      </c>
      <c r="AC41" s="5">
        <v>1</v>
      </c>
      <c r="AD41" s="5">
        <v>1</v>
      </c>
      <c r="AE41" s="5">
        <v>0</v>
      </c>
      <c r="AF41" s="5">
        <v>0</v>
      </c>
      <c r="AG41" s="5">
        <v>1</v>
      </c>
      <c r="AH41" s="5">
        <v>0</v>
      </c>
      <c r="AI41" s="5">
        <v>0</v>
      </c>
      <c r="AJ41" s="5">
        <v>0</v>
      </c>
      <c r="AK41" s="5">
        <v>1</v>
      </c>
      <c r="AL41" s="5">
        <v>0</v>
      </c>
      <c r="AM41" s="5">
        <v>0</v>
      </c>
      <c r="AN41" s="5">
        <v>1</v>
      </c>
      <c r="AO41" s="5">
        <v>0</v>
      </c>
      <c r="AP41" s="5">
        <v>0</v>
      </c>
      <c r="AQ41" s="5">
        <v>1</v>
      </c>
      <c r="AR41" s="5">
        <v>1</v>
      </c>
      <c r="AS41" s="7">
        <f t="shared" si="10"/>
        <v>8</v>
      </c>
      <c r="AT41" s="8">
        <f t="shared" si="11"/>
        <v>0.44444444444444442</v>
      </c>
      <c r="AU41" s="14" t="str">
        <f t="shared" si="5"/>
        <v>INTERMEDIÁRIO</v>
      </c>
      <c r="AV41" s="7">
        <f t="shared" si="12"/>
        <v>20</v>
      </c>
      <c r="AW41" s="8">
        <f t="shared" si="7"/>
        <v>0.55555555555555558</v>
      </c>
    </row>
    <row r="42" spans="1:49" ht="15.75" customHeight="1" x14ac:dyDescent="0.25">
      <c r="A42" s="5" t="s">
        <v>5</v>
      </c>
      <c r="B42" s="7" t="s">
        <v>1070</v>
      </c>
      <c r="C42" s="7" t="s">
        <v>1220</v>
      </c>
      <c r="D42" s="7" t="s">
        <v>1097</v>
      </c>
      <c r="E42" s="5" t="s">
        <v>749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0</v>
      </c>
      <c r="U42" s="5">
        <v>1</v>
      </c>
      <c r="V42" s="5">
        <v>1</v>
      </c>
      <c r="W42" s="5">
        <v>1</v>
      </c>
      <c r="X42" s="7">
        <f t="shared" si="8"/>
        <v>17</v>
      </c>
      <c r="Y42" s="8">
        <f t="shared" si="9"/>
        <v>0.94444444444444442</v>
      </c>
      <c r="Z42" s="14" t="str">
        <f t="shared" si="2"/>
        <v>ADEQUADA</v>
      </c>
      <c r="AA42" s="5">
        <v>1</v>
      </c>
      <c r="AB42" s="5">
        <v>1</v>
      </c>
      <c r="AC42" s="5">
        <v>1</v>
      </c>
      <c r="AD42" s="5">
        <v>0</v>
      </c>
      <c r="AE42" s="5">
        <v>1</v>
      </c>
      <c r="AF42" s="5">
        <v>0</v>
      </c>
      <c r="AG42" s="5">
        <v>0</v>
      </c>
      <c r="AH42" s="5">
        <v>1</v>
      </c>
      <c r="AI42" s="5">
        <v>1</v>
      </c>
      <c r="AJ42" s="5">
        <v>0</v>
      </c>
      <c r="AK42" s="5">
        <v>0</v>
      </c>
      <c r="AL42" s="5">
        <v>1</v>
      </c>
      <c r="AM42" s="5">
        <v>1</v>
      </c>
      <c r="AN42" s="5">
        <v>1</v>
      </c>
      <c r="AO42" s="5">
        <v>0</v>
      </c>
      <c r="AP42" s="5">
        <v>0</v>
      </c>
      <c r="AQ42" s="5">
        <v>0</v>
      </c>
      <c r="AR42" s="5">
        <v>1</v>
      </c>
      <c r="AS42" s="7">
        <f t="shared" si="10"/>
        <v>10</v>
      </c>
      <c r="AT42" s="8">
        <f t="shared" si="11"/>
        <v>0.55555555555555558</v>
      </c>
      <c r="AU42" s="14" t="str">
        <f t="shared" si="5"/>
        <v>INTERMEDIÁRIO</v>
      </c>
      <c r="AV42" s="7">
        <f t="shared" si="12"/>
        <v>27</v>
      </c>
      <c r="AW42" s="8">
        <f t="shared" si="7"/>
        <v>0.75</v>
      </c>
    </row>
    <row r="43" spans="1:49" ht="15.75" customHeight="1" x14ac:dyDescent="0.25">
      <c r="A43" s="5" t="s">
        <v>5</v>
      </c>
      <c r="B43" s="7" t="s">
        <v>1070</v>
      </c>
      <c r="C43" s="7" t="s">
        <v>1162</v>
      </c>
      <c r="D43" s="7" t="s">
        <v>1097</v>
      </c>
      <c r="E43" s="5" t="s">
        <v>750</v>
      </c>
      <c r="F43" s="5">
        <v>0</v>
      </c>
      <c r="G43" s="5">
        <v>1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1</v>
      </c>
      <c r="O43" s="5">
        <v>0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7">
        <f t="shared" si="8"/>
        <v>13</v>
      </c>
      <c r="Y43" s="8">
        <f t="shared" si="9"/>
        <v>0.72222222222222232</v>
      </c>
      <c r="Z43" s="14" t="str">
        <f t="shared" si="2"/>
        <v>ADEQUADA</v>
      </c>
      <c r="AA43" s="5">
        <v>0</v>
      </c>
      <c r="AB43" s="5">
        <v>1</v>
      </c>
      <c r="AC43" s="5">
        <v>1</v>
      </c>
      <c r="AD43" s="5">
        <v>1</v>
      </c>
      <c r="AE43" s="5">
        <v>0</v>
      </c>
      <c r="AF43" s="5">
        <v>0</v>
      </c>
      <c r="AG43" s="5">
        <v>1</v>
      </c>
      <c r="AH43" s="5">
        <v>0</v>
      </c>
      <c r="AI43" s="5">
        <v>0</v>
      </c>
      <c r="AJ43" s="5">
        <v>0</v>
      </c>
      <c r="AK43" s="5">
        <v>1</v>
      </c>
      <c r="AL43" s="5">
        <v>0</v>
      </c>
      <c r="AM43" s="5">
        <v>0</v>
      </c>
      <c r="AN43" s="5">
        <v>1</v>
      </c>
      <c r="AO43" s="5">
        <v>1</v>
      </c>
      <c r="AP43" s="5">
        <v>0</v>
      </c>
      <c r="AQ43" s="5">
        <v>1</v>
      </c>
      <c r="AR43" s="5">
        <v>1</v>
      </c>
      <c r="AS43" s="7">
        <f t="shared" si="10"/>
        <v>9</v>
      </c>
      <c r="AT43" s="8">
        <f t="shared" si="11"/>
        <v>0.5</v>
      </c>
      <c r="AU43" s="14" t="str">
        <f t="shared" si="5"/>
        <v>INTERMEDIÁRIO</v>
      </c>
      <c r="AV43" s="7">
        <f t="shared" si="12"/>
        <v>22</v>
      </c>
      <c r="AW43" s="8">
        <f t="shared" si="7"/>
        <v>0.61111111111111116</v>
      </c>
    </row>
    <row r="44" spans="1:49" ht="15.75" customHeight="1" x14ac:dyDescent="0.25">
      <c r="A44" s="5" t="s">
        <v>5</v>
      </c>
      <c r="B44" s="7" t="s">
        <v>1070</v>
      </c>
      <c r="C44" s="7" t="s">
        <v>1162</v>
      </c>
      <c r="D44" s="7" t="s">
        <v>1097</v>
      </c>
      <c r="E44" s="5" t="s">
        <v>751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0</v>
      </c>
      <c r="L44" s="5">
        <v>1</v>
      </c>
      <c r="M44" s="5">
        <v>1</v>
      </c>
      <c r="N44" s="5">
        <v>1</v>
      </c>
      <c r="O44" s="5">
        <v>0</v>
      </c>
      <c r="P44" s="5">
        <v>0</v>
      </c>
      <c r="Q44" s="5">
        <v>1</v>
      </c>
      <c r="R44" s="5">
        <v>1</v>
      </c>
      <c r="S44" s="5">
        <v>1</v>
      </c>
      <c r="T44" s="5">
        <v>0</v>
      </c>
      <c r="U44" s="5">
        <v>1</v>
      </c>
      <c r="V44" s="5">
        <v>0</v>
      </c>
      <c r="W44" s="5">
        <v>1</v>
      </c>
      <c r="X44" s="7">
        <f t="shared" si="8"/>
        <v>13</v>
      </c>
      <c r="Y44" s="8">
        <f t="shared" si="9"/>
        <v>0.72222222222222232</v>
      </c>
      <c r="Z44" s="14" t="str">
        <f t="shared" si="2"/>
        <v>ADEQUADA</v>
      </c>
      <c r="AA44" s="5">
        <v>1</v>
      </c>
      <c r="AB44" s="5">
        <v>0</v>
      </c>
      <c r="AC44" s="5">
        <v>1</v>
      </c>
      <c r="AD44" s="5">
        <v>1</v>
      </c>
      <c r="AE44" s="5">
        <v>0</v>
      </c>
      <c r="AF44" s="5">
        <v>1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1</v>
      </c>
      <c r="AM44" s="5">
        <v>1</v>
      </c>
      <c r="AN44" s="5">
        <v>1</v>
      </c>
      <c r="AO44" s="5">
        <v>0</v>
      </c>
      <c r="AP44" s="5">
        <v>0</v>
      </c>
      <c r="AQ44" s="5">
        <v>1</v>
      </c>
      <c r="AR44" s="5">
        <v>1</v>
      </c>
      <c r="AS44" s="7">
        <f t="shared" si="10"/>
        <v>9</v>
      </c>
      <c r="AT44" s="8">
        <f t="shared" si="11"/>
        <v>0.5</v>
      </c>
      <c r="AU44" s="14" t="str">
        <f t="shared" si="5"/>
        <v>INTERMEDIÁRIO</v>
      </c>
      <c r="AV44" s="7">
        <f t="shared" si="12"/>
        <v>22</v>
      </c>
      <c r="AW44" s="8">
        <f t="shared" si="7"/>
        <v>0.61111111111111116</v>
      </c>
    </row>
    <row r="45" spans="1:49" ht="15.75" customHeight="1" x14ac:dyDescent="0.25">
      <c r="A45" s="5" t="s">
        <v>5</v>
      </c>
      <c r="B45" s="7" t="s">
        <v>1070</v>
      </c>
      <c r="C45" s="7" t="s">
        <v>1162</v>
      </c>
      <c r="D45" s="7" t="s">
        <v>1097</v>
      </c>
      <c r="E45" s="5" t="s">
        <v>752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0</v>
      </c>
      <c r="N45" s="5">
        <v>1</v>
      </c>
      <c r="O45" s="5">
        <v>1</v>
      </c>
      <c r="P45" s="5">
        <v>0</v>
      </c>
      <c r="Q45" s="5">
        <v>0</v>
      </c>
      <c r="R45" s="5">
        <v>1</v>
      </c>
      <c r="S45" s="5">
        <v>1</v>
      </c>
      <c r="T45" s="5">
        <v>1</v>
      </c>
      <c r="U45" s="5">
        <v>1</v>
      </c>
      <c r="V45" s="5">
        <v>0</v>
      </c>
      <c r="W45" s="5">
        <v>1</v>
      </c>
      <c r="X45" s="7">
        <f t="shared" si="8"/>
        <v>14</v>
      </c>
      <c r="Y45" s="8">
        <f t="shared" si="9"/>
        <v>0.77777777777777768</v>
      </c>
      <c r="Z45" s="14" t="str">
        <f t="shared" si="2"/>
        <v>ADEQUADA</v>
      </c>
      <c r="AA45" s="5">
        <v>1</v>
      </c>
      <c r="AB45" s="5">
        <v>1</v>
      </c>
      <c r="AC45" s="5">
        <v>0</v>
      </c>
      <c r="AD45" s="5">
        <v>1</v>
      </c>
      <c r="AE45" s="5">
        <v>0</v>
      </c>
      <c r="AF45" s="5">
        <v>0</v>
      </c>
      <c r="AG45" s="5">
        <v>1</v>
      </c>
      <c r="AH45" s="5">
        <v>1</v>
      </c>
      <c r="AI45" s="5">
        <v>0</v>
      </c>
      <c r="AJ45" s="5">
        <v>0</v>
      </c>
      <c r="AK45" s="5">
        <v>1</v>
      </c>
      <c r="AL45" s="5">
        <v>0</v>
      </c>
      <c r="AM45" s="5">
        <v>0</v>
      </c>
      <c r="AN45" s="5">
        <v>1</v>
      </c>
      <c r="AO45" s="5">
        <v>1</v>
      </c>
      <c r="AP45" s="5">
        <v>0</v>
      </c>
      <c r="AQ45" s="5">
        <v>1</v>
      </c>
      <c r="AR45" s="5">
        <v>1</v>
      </c>
      <c r="AS45" s="7">
        <f t="shared" si="10"/>
        <v>10</v>
      </c>
      <c r="AT45" s="8">
        <f t="shared" si="11"/>
        <v>0.55555555555555558</v>
      </c>
      <c r="AU45" s="14" t="str">
        <f t="shared" si="5"/>
        <v>INTERMEDIÁRIO</v>
      </c>
      <c r="AV45" s="7">
        <f t="shared" si="12"/>
        <v>24</v>
      </c>
      <c r="AW45" s="8">
        <f t="shared" si="7"/>
        <v>0.66666666666666674</v>
      </c>
    </row>
    <row r="46" spans="1:49" ht="15.75" customHeight="1" x14ac:dyDescent="0.25">
      <c r="A46" s="5" t="s">
        <v>5</v>
      </c>
      <c r="B46" s="7" t="s">
        <v>1070</v>
      </c>
      <c r="C46" s="7" t="s">
        <v>1223</v>
      </c>
      <c r="D46" s="7" t="s">
        <v>1097</v>
      </c>
      <c r="E46" s="5" t="s">
        <v>753</v>
      </c>
      <c r="F46" s="5">
        <v>1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0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7">
        <f t="shared" si="8"/>
        <v>5</v>
      </c>
      <c r="Y46" s="8">
        <f t="shared" si="9"/>
        <v>0.27777777777777779</v>
      </c>
      <c r="Z46" s="14" t="str">
        <f t="shared" si="2"/>
        <v>DEFASAGEM</v>
      </c>
      <c r="AA46" s="5">
        <v>1</v>
      </c>
      <c r="AB46" s="5">
        <v>1</v>
      </c>
      <c r="AC46" s="5">
        <v>1</v>
      </c>
      <c r="AD46" s="5">
        <v>1</v>
      </c>
      <c r="AE46" s="5">
        <v>0</v>
      </c>
      <c r="AF46" s="5">
        <v>1</v>
      </c>
      <c r="AG46" s="5">
        <v>1</v>
      </c>
      <c r="AH46" s="5">
        <v>1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</v>
      </c>
      <c r="AO46" s="5">
        <v>1</v>
      </c>
      <c r="AP46" s="5">
        <v>1</v>
      </c>
      <c r="AQ46" s="5">
        <v>0</v>
      </c>
      <c r="AR46" s="5">
        <v>0</v>
      </c>
      <c r="AS46" s="7">
        <f t="shared" si="10"/>
        <v>10</v>
      </c>
      <c r="AT46" s="8">
        <f t="shared" si="11"/>
        <v>0.55555555555555558</v>
      </c>
      <c r="AU46" s="14" t="str">
        <f t="shared" si="5"/>
        <v>INTERMEDIÁRIO</v>
      </c>
      <c r="AV46" s="7">
        <f t="shared" si="12"/>
        <v>15</v>
      </c>
      <c r="AW46" s="8">
        <f t="shared" si="7"/>
        <v>0.41666666666666663</v>
      </c>
    </row>
    <row r="47" spans="1:49" ht="15.75" customHeight="1" x14ac:dyDescent="0.25">
      <c r="A47" s="5" t="s">
        <v>5</v>
      </c>
      <c r="B47" s="7" t="s">
        <v>1070</v>
      </c>
      <c r="C47" s="7" t="s">
        <v>1105</v>
      </c>
      <c r="D47" s="7" t="s">
        <v>1097</v>
      </c>
      <c r="E47" s="5" t="s">
        <v>754</v>
      </c>
      <c r="F47" s="5">
        <v>1</v>
      </c>
      <c r="G47" s="5">
        <v>0</v>
      </c>
      <c r="H47" s="5">
        <v>1</v>
      </c>
      <c r="I47" s="5">
        <v>0</v>
      </c>
      <c r="J47" s="5">
        <v>0</v>
      </c>
      <c r="K47" s="5">
        <v>1</v>
      </c>
      <c r="L47" s="5">
        <v>1</v>
      </c>
      <c r="M47" s="5">
        <v>1</v>
      </c>
      <c r="N47" s="5">
        <v>0</v>
      </c>
      <c r="O47" s="5">
        <v>1</v>
      </c>
      <c r="P47" s="5">
        <v>1</v>
      </c>
      <c r="Q47" s="5">
        <v>0</v>
      </c>
      <c r="R47" s="5">
        <v>1</v>
      </c>
      <c r="S47" s="5">
        <v>1</v>
      </c>
      <c r="T47" s="5">
        <v>1</v>
      </c>
      <c r="U47" s="5">
        <v>1</v>
      </c>
      <c r="V47" s="5">
        <v>0</v>
      </c>
      <c r="W47" s="5">
        <v>1</v>
      </c>
      <c r="X47" s="7">
        <f t="shared" si="8"/>
        <v>12</v>
      </c>
      <c r="Y47" s="8">
        <f t="shared" si="9"/>
        <v>0.66666666666666674</v>
      </c>
      <c r="Z47" s="14" t="str">
        <f t="shared" si="2"/>
        <v>INTERMEDIÁRIO</v>
      </c>
      <c r="AA47" s="5">
        <v>1</v>
      </c>
      <c r="AB47" s="5">
        <v>1</v>
      </c>
      <c r="AC47" s="5">
        <v>1</v>
      </c>
      <c r="AD47" s="5">
        <v>0</v>
      </c>
      <c r="AE47" s="5">
        <v>1</v>
      </c>
      <c r="AF47" s="5">
        <v>0</v>
      </c>
      <c r="AG47" s="5">
        <v>1</v>
      </c>
      <c r="AH47" s="5">
        <v>1</v>
      </c>
      <c r="AI47" s="5">
        <v>0</v>
      </c>
      <c r="AJ47" s="5">
        <v>0</v>
      </c>
      <c r="AK47" s="5">
        <v>0</v>
      </c>
      <c r="AL47" s="5">
        <v>1</v>
      </c>
      <c r="AM47" s="5">
        <v>0</v>
      </c>
      <c r="AN47" s="5">
        <v>1</v>
      </c>
      <c r="AO47" s="5">
        <v>1</v>
      </c>
      <c r="AP47" s="5">
        <v>1</v>
      </c>
      <c r="AQ47" s="5">
        <v>0</v>
      </c>
      <c r="AR47" s="5">
        <v>1</v>
      </c>
      <c r="AS47" s="7">
        <f t="shared" si="10"/>
        <v>11</v>
      </c>
      <c r="AT47" s="8">
        <f t="shared" si="11"/>
        <v>0.61111111111111116</v>
      </c>
      <c r="AU47" s="14" t="str">
        <f t="shared" si="5"/>
        <v>INTERMEDIÁRIO</v>
      </c>
      <c r="AV47" s="7">
        <f t="shared" si="12"/>
        <v>23</v>
      </c>
      <c r="AW47" s="8">
        <f t="shared" si="7"/>
        <v>0.63888888888888884</v>
      </c>
    </row>
    <row r="48" spans="1:49" ht="15.75" customHeight="1" x14ac:dyDescent="0.25">
      <c r="A48" s="5" t="s">
        <v>5</v>
      </c>
      <c r="B48" s="7" t="s">
        <v>1070</v>
      </c>
      <c r="C48" s="7" t="s">
        <v>1162</v>
      </c>
      <c r="D48" s="7" t="s">
        <v>1097</v>
      </c>
      <c r="E48" s="5" t="s">
        <v>755</v>
      </c>
      <c r="F48" s="5">
        <v>0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1</v>
      </c>
      <c r="S48" s="5">
        <v>1</v>
      </c>
      <c r="T48" s="5">
        <v>0</v>
      </c>
      <c r="U48" s="5">
        <v>1</v>
      </c>
      <c r="V48" s="5">
        <v>1</v>
      </c>
      <c r="W48" s="5">
        <v>1</v>
      </c>
      <c r="X48" s="7">
        <f t="shared" si="8"/>
        <v>15</v>
      </c>
      <c r="Y48" s="8">
        <f t="shared" si="9"/>
        <v>0.83333333333333326</v>
      </c>
      <c r="Z48" s="14" t="str">
        <f t="shared" si="2"/>
        <v>ADEQUADA</v>
      </c>
      <c r="AA48" s="5">
        <v>1</v>
      </c>
      <c r="AB48" s="5">
        <v>1</v>
      </c>
      <c r="AC48" s="5">
        <v>1</v>
      </c>
      <c r="AD48" s="5">
        <v>1</v>
      </c>
      <c r="AE48" s="5">
        <v>0</v>
      </c>
      <c r="AF48" s="5">
        <v>0</v>
      </c>
      <c r="AG48" s="5">
        <v>1</v>
      </c>
      <c r="AH48" s="5">
        <v>1</v>
      </c>
      <c r="AI48" s="5">
        <v>0</v>
      </c>
      <c r="AJ48" s="5">
        <v>1</v>
      </c>
      <c r="AK48" s="5">
        <v>1</v>
      </c>
      <c r="AL48" s="5">
        <v>0</v>
      </c>
      <c r="AM48" s="5">
        <v>0</v>
      </c>
      <c r="AN48" s="5">
        <v>1</v>
      </c>
      <c r="AO48" s="5">
        <v>0</v>
      </c>
      <c r="AP48" s="5">
        <v>0</v>
      </c>
      <c r="AQ48" s="5">
        <v>1</v>
      </c>
      <c r="AR48" s="5">
        <v>1</v>
      </c>
      <c r="AS48" s="7">
        <f t="shared" si="10"/>
        <v>11</v>
      </c>
      <c r="AT48" s="8">
        <f t="shared" si="11"/>
        <v>0.61111111111111116</v>
      </c>
      <c r="AU48" s="14" t="str">
        <f t="shared" si="5"/>
        <v>INTERMEDIÁRIO</v>
      </c>
      <c r="AV48" s="7">
        <f t="shared" si="12"/>
        <v>26</v>
      </c>
      <c r="AW48" s="8">
        <f t="shared" si="7"/>
        <v>0.72222222222222232</v>
      </c>
    </row>
    <row r="49" spans="1:49" ht="15.75" customHeight="1" x14ac:dyDescent="0.25">
      <c r="A49" s="5" t="s">
        <v>5</v>
      </c>
      <c r="B49" s="7" t="s">
        <v>1070</v>
      </c>
      <c r="C49" s="7" t="s">
        <v>1162</v>
      </c>
      <c r="D49" s="7" t="s">
        <v>1097</v>
      </c>
      <c r="E49" s="5" t="s">
        <v>756</v>
      </c>
      <c r="F49" s="5">
        <v>0</v>
      </c>
      <c r="G49" s="5">
        <v>0</v>
      </c>
      <c r="H49" s="5">
        <v>1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  <c r="N49" s="5">
        <v>1</v>
      </c>
      <c r="O49" s="5">
        <v>0</v>
      </c>
      <c r="P49" s="5">
        <v>0</v>
      </c>
      <c r="Q49" s="5">
        <v>1</v>
      </c>
      <c r="R49" s="5">
        <v>1</v>
      </c>
      <c r="S49" s="5">
        <v>1</v>
      </c>
      <c r="T49" s="5">
        <v>0</v>
      </c>
      <c r="U49" s="5">
        <v>1</v>
      </c>
      <c r="V49" s="5">
        <v>0</v>
      </c>
      <c r="W49" s="5">
        <v>0</v>
      </c>
      <c r="X49" s="7">
        <f t="shared" si="8"/>
        <v>8</v>
      </c>
      <c r="Y49" s="8">
        <f t="shared" si="9"/>
        <v>0.44444444444444442</v>
      </c>
      <c r="Z49" s="14" t="str">
        <f t="shared" si="2"/>
        <v>INTERMEDIÁRIO</v>
      </c>
      <c r="AA49" s="5">
        <v>1</v>
      </c>
      <c r="AB49" s="5">
        <v>1</v>
      </c>
      <c r="AC49" s="5">
        <v>0</v>
      </c>
      <c r="AD49" s="5">
        <v>1</v>
      </c>
      <c r="AE49" s="5">
        <v>0</v>
      </c>
      <c r="AF49" s="5">
        <v>0</v>
      </c>
      <c r="AG49" s="5">
        <v>1</v>
      </c>
      <c r="AH49" s="5">
        <v>0</v>
      </c>
      <c r="AI49" s="5">
        <v>1</v>
      </c>
      <c r="AJ49" s="5">
        <v>0</v>
      </c>
      <c r="AK49" s="5">
        <v>0</v>
      </c>
      <c r="AL49" s="5">
        <v>0</v>
      </c>
      <c r="AM49" s="5">
        <v>1</v>
      </c>
      <c r="AN49" s="5">
        <v>0</v>
      </c>
      <c r="AO49" s="5">
        <v>0</v>
      </c>
      <c r="AP49" s="5">
        <v>0</v>
      </c>
      <c r="AQ49" s="5">
        <v>1</v>
      </c>
      <c r="AR49" s="5">
        <v>1</v>
      </c>
      <c r="AS49" s="7">
        <f t="shared" si="10"/>
        <v>8</v>
      </c>
      <c r="AT49" s="8">
        <f t="shared" si="11"/>
        <v>0.44444444444444442</v>
      </c>
      <c r="AU49" s="14" t="str">
        <f t="shared" si="5"/>
        <v>INTERMEDIÁRIO</v>
      </c>
      <c r="AV49" s="7">
        <f t="shared" si="12"/>
        <v>16</v>
      </c>
      <c r="AW49" s="8">
        <f t="shared" si="7"/>
        <v>0.44444444444444442</v>
      </c>
    </row>
    <row r="50" spans="1:49" ht="15.75" customHeight="1" x14ac:dyDescent="0.25">
      <c r="A50" s="5" t="s">
        <v>5</v>
      </c>
      <c r="B50" s="7" t="s">
        <v>1070</v>
      </c>
      <c r="C50" s="7" t="s">
        <v>1162</v>
      </c>
      <c r="D50" s="7" t="s">
        <v>1097</v>
      </c>
      <c r="E50" s="5" t="s">
        <v>757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7">
        <f t="shared" si="8"/>
        <v>3</v>
      </c>
      <c r="Y50" s="8">
        <f t="shared" si="9"/>
        <v>0.16666666666666669</v>
      </c>
      <c r="Z50" s="14" t="str">
        <f t="shared" si="2"/>
        <v>DEFASAGEM</v>
      </c>
      <c r="AA50" s="5">
        <v>1</v>
      </c>
      <c r="AB50" s="5">
        <v>1</v>
      </c>
      <c r="AC50" s="5">
        <v>0</v>
      </c>
      <c r="AD50" s="5">
        <v>1</v>
      </c>
      <c r="AE50" s="5">
        <v>0</v>
      </c>
      <c r="AF50" s="5">
        <v>0</v>
      </c>
      <c r="AG50" s="5">
        <v>0</v>
      </c>
      <c r="AH50" s="5">
        <v>0</v>
      </c>
      <c r="AI50" s="5">
        <v>1</v>
      </c>
      <c r="AJ50" s="5">
        <v>1</v>
      </c>
      <c r="AK50" s="5">
        <v>0</v>
      </c>
      <c r="AL50" s="5">
        <v>0</v>
      </c>
      <c r="AM50" s="5">
        <v>0</v>
      </c>
      <c r="AN50" s="5">
        <v>0</v>
      </c>
      <c r="AO50" s="5">
        <v>1</v>
      </c>
      <c r="AP50" s="5">
        <v>0</v>
      </c>
      <c r="AQ50" s="5">
        <v>0</v>
      </c>
      <c r="AR50" s="5">
        <v>1</v>
      </c>
      <c r="AS50" s="7">
        <f t="shared" si="10"/>
        <v>7</v>
      </c>
      <c r="AT50" s="8">
        <f t="shared" si="11"/>
        <v>0.38888888888888884</v>
      </c>
      <c r="AU50" s="14" t="str">
        <f t="shared" si="5"/>
        <v>DEFASAGEM</v>
      </c>
      <c r="AV50" s="7">
        <f t="shared" si="12"/>
        <v>10</v>
      </c>
      <c r="AW50" s="8">
        <f t="shared" si="7"/>
        <v>0.27777777777777779</v>
      </c>
    </row>
    <row r="51" spans="1:49" ht="15.75" customHeight="1" x14ac:dyDescent="0.25">
      <c r="A51" s="5" t="s">
        <v>5</v>
      </c>
      <c r="B51" s="7" t="s">
        <v>1070</v>
      </c>
      <c r="C51" s="7" t="s">
        <v>1220</v>
      </c>
      <c r="D51" s="7" t="s">
        <v>1097</v>
      </c>
      <c r="E51" s="5" t="s">
        <v>758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7">
        <f t="shared" si="8"/>
        <v>18</v>
      </c>
      <c r="Y51" s="8">
        <f t="shared" si="9"/>
        <v>1</v>
      </c>
      <c r="Z51" s="14" t="str">
        <f t="shared" si="2"/>
        <v>ADEQUADA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0</v>
      </c>
      <c r="AG51" s="5">
        <v>1</v>
      </c>
      <c r="AH51" s="5">
        <v>1</v>
      </c>
      <c r="AI51" s="5">
        <v>0</v>
      </c>
      <c r="AJ51" s="5">
        <v>1</v>
      </c>
      <c r="AK51" s="5">
        <v>1</v>
      </c>
      <c r="AL51" s="5">
        <v>0</v>
      </c>
      <c r="AM51" s="5">
        <v>0</v>
      </c>
      <c r="AN51" s="5">
        <v>1</v>
      </c>
      <c r="AO51" s="5">
        <v>1</v>
      </c>
      <c r="AP51" s="5">
        <v>0</v>
      </c>
      <c r="AQ51" s="5">
        <v>1</v>
      </c>
      <c r="AR51" s="5">
        <v>1</v>
      </c>
      <c r="AS51" s="7">
        <f t="shared" si="10"/>
        <v>13</v>
      </c>
      <c r="AT51" s="8">
        <f t="shared" si="11"/>
        <v>0.72222222222222232</v>
      </c>
      <c r="AU51" s="14" t="str">
        <f t="shared" si="5"/>
        <v>ADEQUADA</v>
      </c>
      <c r="AV51" s="7">
        <f t="shared" si="12"/>
        <v>31</v>
      </c>
      <c r="AW51" s="8">
        <f t="shared" si="7"/>
        <v>0.86111111111111116</v>
      </c>
    </row>
    <row r="52" spans="1:49" ht="15.75" customHeight="1" x14ac:dyDescent="0.25">
      <c r="A52" s="5" t="s">
        <v>5</v>
      </c>
      <c r="B52" s="7" t="s">
        <v>1070</v>
      </c>
      <c r="C52" s="7" t="s">
        <v>1162</v>
      </c>
      <c r="D52" s="7" t="s">
        <v>1097</v>
      </c>
      <c r="E52" s="5" t="s">
        <v>759</v>
      </c>
      <c r="F52" s="5">
        <v>1</v>
      </c>
      <c r="G52" s="5">
        <v>0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0</v>
      </c>
      <c r="N52" s="5">
        <v>1</v>
      </c>
      <c r="O52" s="5">
        <v>1</v>
      </c>
      <c r="P52" s="5">
        <v>0</v>
      </c>
      <c r="Q52" s="5">
        <v>0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7">
        <f t="shared" si="8"/>
        <v>14</v>
      </c>
      <c r="Y52" s="8">
        <f t="shared" si="9"/>
        <v>0.77777777777777768</v>
      </c>
      <c r="Z52" s="14" t="str">
        <f t="shared" si="2"/>
        <v>ADEQUADA</v>
      </c>
      <c r="AA52" s="5">
        <v>1</v>
      </c>
      <c r="AB52" s="5">
        <v>1</v>
      </c>
      <c r="AC52" s="5">
        <v>0</v>
      </c>
      <c r="AD52" s="5">
        <v>1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1</v>
      </c>
      <c r="AM52" s="5">
        <v>1</v>
      </c>
      <c r="AN52" s="5">
        <v>0</v>
      </c>
      <c r="AO52" s="5">
        <v>0</v>
      </c>
      <c r="AP52" s="5">
        <v>1</v>
      </c>
      <c r="AQ52" s="5">
        <v>1</v>
      </c>
      <c r="AR52" s="5">
        <v>1</v>
      </c>
      <c r="AS52" s="7">
        <f t="shared" si="10"/>
        <v>8</v>
      </c>
      <c r="AT52" s="8">
        <f t="shared" si="11"/>
        <v>0.44444444444444442</v>
      </c>
      <c r="AU52" s="14" t="str">
        <f t="shared" si="5"/>
        <v>INTERMEDIÁRIO</v>
      </c>
      <c r="AV52" s="7">
        <f t="shared" si="12"/>
        <v>22</v>
      </c>
      <c r="AW52" s="8">
        <f t="shared" si="7"/>
        <v>0.61111111111111116</v>
      </c>
    </row>
    <row r="53" spans="1:49" ht="15.75" customHeight="1" x14ac:dyDescent="0.25">
      <c r="A53" s="5" t="s">
        <v>5</v>
      </c>
      <c r="B53" s="7" t="s">
        <v>1070</v>
      </c>
      <c r="C53" s="26" t="s">
        <v>1220</v>
      </c>
      <c r="D53" s="7" t="s">
        <v>1097</v>
      </c>
      <c r="E53" s="5" t="s">
        <v>760</v>
      </c>
      <c r="F53" s="5">
        <v>1</v>
      </c>
      <c r="G53" s="5">
        <v>0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0</v>
      </c>
      <c r="U53" s="5">
        <v>1</v>
      </c>
      <c r="V53" s="5">
        <v>1</v>
      </c>
      <c r="W53" s="5">
        <v>1</v>
      </c>
      <c r="X53" s="7">
        <f t="shared" si="8"/>
        <v>16</v>
      </c>
      <c r="Y53" s="8">
        <f t="shared" si="9"/>
        <v>0.88888888888888884</v>
      </c>
      <c r="Z53" s="14" t="str">
        <f t="shared" si="2"/>
        <v>ADEQUADA</v>
      </c>
      <c r="AA53" s="5">
        <v>1</v>
      </c>
      <c r="AB53" s="5">
        <v>1</v>
      </c>
      <c r="AC53" s="5">
        <v>0</v>
      </c>
      <c r="AD53" s="5">
        <v>0</v>
      </c>
      <c r="AE53" s="5">
        <v>0</v>
      </c>
      <c r="AF53" s="5">
        <v>0</v>
      </c>
      <c r="AG53" s="5">
        <v>1</v>
      </c>
      <c r="AH53" s="5">
        <v>1</v>
      </c>
      <c r="AI53" s="5">
        <v>0</v>
      </c>
      <c r="AJ53" s="5">
        <v>0</v>
      </c>
      <c r="AK53" s="5">
        <v>1</v>
      </c>
      <c r="AL53" s="5">
        <v>0</v>
      </c>
      <c r="AM53" s="5">
        <v>1</v>
      </c>
      <c r="AN53" s="5">
        <v>1</v>
      </c>
      <c r="AO53" s="5">
        <v>0</v>
      </c>
      <c r="AP53" s="5">
        <v>0</v>
      </c>
      <c r="AQ53" s="5">
        <v>1</v>
      </c>
      <c r="AR53" s="5">
        <v>1</v>
      </c>
      <c r="AS53" s="7">
        <f t="shared" si="10"/>
        <v>9</v>
      </c>
      <c r="AT53" s="8">
        <f t="shared" si="11"/>
        <v>0.5</v>
      </c>
      <c r="AU53" s="14" t="str">
        <f t="shared" si="5"/>
        <v>INTERMEDIÁRIO</v>
      </c>
      <c r="AV53" s="7">
        <f t="shared" si="12"/>
        <v>25</v>
      </c>
      <c r="AW53" s="8">
        <f t="shared" si="7"/>
        <v>0.69444444444444442</v>
      </c>
    </row>
    <row r="54" spans="1:49" ht="15.75" customHeight="1" x14ac:dyDescent="0.25">
      <c r="A54" s="5" t="s">
        <v>5</v>
      </c>
      <c r="B54" s="27" t="s">
        <v>1070</v>
      </c>
      <c r="C54" s="28" t="s">
        <v>1099</v>
      </c>
      <c r="D54" s="29" t="s">
        <v>1100</v>
      </c>
      <c r="E54" s="5" t="s">
        <v>761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7">
        <f t="shared" si="8"/>
        <v>0</v>
      </c>
      <c r="Y54" s="8">
        <f t="shared" si="9"/>
        <v>0</v>
      </c>
      <c r="Z54" s="14" t="str">
        <f t="shared" si="2"/>
        <v>DEFASAGEM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7">
        <f t="shared" si="10"/>
        <v>0</v>
      </c>
      <c r="AT54" s="8">
        <f t="shared" si="11"/>
        <v>0</v>
      </c>
      <c r="AU54" s="14" t="str">
        <f t="shared" si="5"/>
        <v>DEFASAGEM</v>
      </c>
      <c r="AV54" s="7">
        <f t="shared" si="12"/>
        <v>0</v>
      </c>
      <c r="AW54" s="8">
        <f t="shared" si="7"/>
        <v>0</v>
      </c>
    </row>
    <row r="55" spans="1:49" ht="15.75" customHeight="1" x14ac:dyDescent="0.25">
      <c r="A55" s="5" t="s">
        <v>5</v>
      </c>
      <c r="B55" s="7" t="s">
        <v>1070</v>
      </c>
      <c r="C55" s="30" t="s">
        <v>1104</v>
      </c>
      <c r="D55" s="7" t="s">
        <v>1097</v>
      </c>
      <c r="E55" s="5" t="s">
        <v>762</v>
      </c>
      <c r="F55" s="5">
        <v>1</v>
      </c>
      <c r="G55" s="5">
        <v>1</v>
      </c>
      <c r="H55" s="5">
        <v>1</v>
      </c>
      <c r="I55" s="5">
        <v>0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0</v>
      </c>
      <c r="U55" s="5">
        <v>1</v>
      </c>
      <c r="V55" s="5">
        <v>1</v>
      </c>
      <c r="W55" s="5">
        <v>1</v>
      </c>
      <c r="X55" s="7">
        <f t="shared" si="8"/>
        <v>16</v>
      </c>
      <c r="Y55" s="8">
        <f t="shared" si="9"/>
        <v>0.88888888888888884</v>
      </c>
      <c r="Z55" s="14" t="str">
        <f t="shared" si="2"/>
        <v>ADEQUADA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0</v>
      </c>
      <c r="AG55" s="5">
        <v>1</v>
      </c>
      <c r="AH55" s="5">
        <v>1</v>
      </c>
      <c r="AI55" s="5">
        <v>0</v>
      </c>
      <c r="AJ55" s="5">
        <v>1</v>
      </c>
      <c r="AK55" s="5">
        <v>0</v>
      </c>
      <c r="AL55" s="5">
        <v>0</v>
      </c>
      <c r="AM55" s="5">
        <v>1</v>
      </c>
      <c r="AN55" s="5">
        <v>1</v>
      </c>
      <c r="AO55" s="5">
        <v>1</v>
      </c>
      <c r="AP55" s="5">
        <v>1</v>
      </c>
      <c r="AQ55" s="5">
        <v>0</v>
      </c>
      <c r="AR55" s="5">
        <v>1</v>
      </c>
      <c r="AS55" s="7">
        <f t="shared" si="10"/>
        <v>13</v>
      </c>
      <c r="AT55" s="8">
        <f t="shared" si="11"/>
        <v>0.72222222222222232</v>
      </c>
      <c r="AU55" s="14" t="str">
        <f t="shared" si="5"/>
        <v>ADEQUADA</v>
      </c>
      <c r="AV55" s="7">
        <f t="shared" si="12"/>
        <v>29</v>
      </c>
      <c r="AW55" s="8">
        <f t="shared" si="7"/>
        <v>0.80555555555555558</v>
      </c>
    </row>
    <row r="56" spans="1:49" ht="15.75" customHeight="1" x14ac:dyDescent="0.25">
      <c r="A56" s="5" t="s">
        <v>5</v>
      </c>
      <c r="B56" s="7" t="s">
        <v>1070</v>
      </c>
      <c r="C56" s="7" t="s">
        <v>1104</v>
      </c>
      <c r="D56" s="7" t="s">
        <v>1097</v>
      </c>
      <c r="E56" s="5" t="s">
        <v>763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0</v>
      </c>
      <c r="P56" s="5">
        <v>1</v>
      </c>
      <c r="Q56" s="5">
        <v>0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7">
        <f t="shared" si="8"/>
        <v>16</v>
      </c>
      <c r="Y56" s="8">
        <f t="shared" si="9"/>
        <v>0.88888888888888884</v>
      </c>
      <c r="Z56" s="14" t="str">
        <f t="shared" si="2"/>
        <v>ADEQUADA</v>
      </c>
      <c r="AA56" s="5">
        <v>1</v>
      </c>
      <c r="AB56" s="5">
        <v>1</v>
      </c>
      <c r="AC56" s="5">
        <v>0</v>
      </c>
      <c r="AD56" s="5">
        <v>0</v>
      </c>
      <c r="AE56" s="5">
        <v>0</v>
      </c>
      <c r="AF56" s="5">
        <v>1</v>
      </c>
      <c r="AG56" s="5">
        <v>1</v>
      </c>
      <c r="AH56" s="5">
        <v>0</v>
      </c>
      <c r="AI56" s="5">
        <v>0</v>
      </c>
      <c r="AJ56" s="5">
        <v>1</v>
      </c>
      <c r="AK56" s="5">
        <v>1</v>
      </c>
      <c r="AL56" s="5">
        <v>0</v>
      </c>
      <c r="AM56" s="5">
        <v>1</v>
      </c>
      <c r="AN56" s="5">
        <v>1</v>
      </c>
      <c r="AO56" s="5">
        <v>0</v>
      </c>
      <c r="AP56" s="5">
        <v>0</v>
      </c>
      <c r="AQ56" s="5">
        <v>0</v>
      </c>
      <c r="AR56" s="5">
        <v>1</v>
      </c>
      <c r="AS56" s="7">
        <f t="shared" si="10"/>
        <v>9</v>
      </c>
      <c r="AT56" s="8">
        <f t="shared" si="11"/>
        <v>0.5</v>
      </c>
      <c r="AU56" s="14" t="str">
        <f t="shared" si="5"/>
        <v>INTERMEDIÁRIO</v>
      </c>
      <c r="AV56" s="7">
        <f t="shared" si="12"/>
        <v>25</v>
      </c>
      <c r="AW56" s="8">
        <f t="shared" si="7"/>
        <v>0.69444444444444442</v>
      </c>
    </row>
    <row r="57" spans="1:49" ht="15.75" customHeight="1" x14ac:dyDescent="0.25">
      <c r="A57" s="5" t="s">
        <v>5</v>
      </c>
      <c r="B57" s="7" t="s">
        <v>1070</v>
      </c>
      <c r="C57" s="7" t="s">
        <v>1220</v>
      </c>
      <c r="D57" s="7" t="s">
        <v>1097</v>
      </c>
      <c r="E57" s="5" t="s">
        <v>764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0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7">
        <f t="shared" si="8"/>
        <v>17</v>
      </c>
      <c r="Y57" s="8">
        <f t="shared" si="9"/>
        <v>0.94444444444444442</v>
      </c>
      <c r="Z57" s="14" t="str">
        <f t="shared" si="2"/>
        <v>ADEQUADA</v>
      </c>
      <c r="AA57" s="5">
        <v>1</v>
      </c>
      <c r="AB57" s="5">
        <v>1</v>
      </c>
      <c r="AC57" s="5">
        <v>1</v>
      </c>
      <c r="AD57" s="5">
        <v>1</v>
      </c>
      <c r="AE57" s="5">
        <v>0</v>
      </c>
      <c r="AF57" s="5">
        <v>0</v>
      </c>
      <c r="AG57" s="5">
        <v>1</v>
      </c>
      <c r="AH57" s="5">
        <v>1</v>
      </c>
      <c r="AI57" s="5">
        <v>0</v>
      </c>
      <c r="AJ57" s="5">
        <v>1</v>
      </c>
      <c r="AK57" s="5">
        <v>0</v>
      </c>
      <c r="AL57" s="5">
        <v>0</v>
      </c>
      <c r="AM57" s="5">
        <v>0</v>
      </c>
      <c r="AN57" s="5">
        <v>1</v>
      </c>
      <c r="AO57" s="5">
        <v>0</v>
      </c>
      <c r="AP57" s="5">
        <v>0</v>
      </c>
      <c r="AQ57" s="5">
        <v>1</v>
      </c>
      <c r="AR57" s="5">
        <v>1</v>
      </c>
      <c r="AS57" s="7">
        <f t="shared" si="10"/>
        <v>10</v>
      </c>
      <c r="AT57" s="8">
        <f t="shared" si="11"/>
        <v>0.55555555555555558</v>
      </c>
      <c r="AU57" s="14" t="str">
        <f t="shared" si="5"/>
        <v>INTERMEDIÁRIO</v>
      </c>
      <c r="AV57" s="7">
        <f t="shared" si="12"/>
        <v>27</v>
      </c>
      <c r="AW57" s="8">
        <f t="shared" si="7"/>
        <v>0.75</v>
      </c>
    </row>
    <row r="58" spans="1:49" ht="15.75" customHeight="1" x14ac:dyDescent="0.25">
      <c r="A58" s="5" t="s">
        <v>5</v>
      </c>
      <c r="B58" s="7" t="s">
        <v>1070</v>
      </c>
      <c r="C58" s="7" t="s">
        <v>1162</v>
      </c>
      <c r="D58" s="7" t="s">
        <v>1097</v>
      </c>
      <c r="E58" s="5" t="s">
        <v>765</v>
      </c>
      <c r="F58" s="5">
        <v>1</v>
      </c>
      <c r="G58" s="5">
        <v>0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0</v>
      </c>
      <c r="N58" s="5">
        <v>0</v>
      </c>
      <c r="O58" s="5">
        <v>1</v>
      </c>
      <c r="P58" s="5">
        <v>1</v>
      </c>
      <c r="Q58" s="5">
        <v>1</v>
      </c>
      <c r="R58" s="5">
        <v>1</v>
      </c>
      <c r="S58" s="5">
        <v>0</v>
      </c>
      <c r="T58" s="5">
        <v>1</v>
      </c>
      <c r="U58" s="5">
        <v>1</v>
      </c>
      <c r="V58" s="5">
        <v>0</v>
      </c>
      <c r="W58" s="5">
        <v>1</v>
      </c>
      <c r="X58" s="7">
        <f t="shared" si="8"/>
        <v>13</v>
      </c>
      <c r="Y58" s="8">
        <f t="shared" si="9"/>
        <v>0.72222222222222232</v>
      </c>
      <c r="Z58" s="14" t="str">
        <f t="shared" si="2"/>
        <v>ADEQUADA</v>
      </c>
      <c r="AA58" s="5">
        <v>1</v>
      </c>
      <c r="AB58" s="5">
        <v>1</v>
      </c>
      <c r="AC58" s="5">
        <v>1</v>
      </c>
      <c r="AD58" s="5">
        <v>1</v>
      </c>
      <c r="AE58" s="5">
        <v>0</v>
      </c>
      <c r="AF58" s="5">
        <v>1</v>
      </c>
      <c r="AG58" s="5">
        <v>1</v>
      </c>
      <c r="AH58" s="5">
        <v>1</v>
      </c>
      <c r="AI58" s="5">
        <v>0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0</v>
      </c>
      <c r="AQ58" s="5">
        <v>0</v>
      </c>
      <c r="AR58" s="5">
        <v>1</v>
      </c>
      <c r="AS58" s="7">
        <f t="shared" si="10"/>
        <v>14</v>
      </c>
      <c r="AT58" s="8">
        <f t="shared" si="11"/>
        <v>0.77777777777777768</v>
      </c>
      <c r="AU58" s="14" t="str">
        <f t="shared" si="5"/>
        <v>ADEQUADA</v>
      </c>
      <c r="AV58" s="7">
        <f t="shared" si="12"/>
        <v>27</v>
      </c>
      <c r="AW58" s="8">
        <f t="shared" si="7"/>
        <v>0.75</v>
      </c>
    </row>
    <row r="59" spans="1:49" ht="15.75" customHeight="1" x14ac:dyDescent="0.25">
      <c r="A59" s="5" t="s">
        <v>5</v>
      </c>
      <c r="B59" s="7" t="s">
        <v>1070</v>
      </c>
      <c r="C59" s="7" t="s">
        <v>1162</v>
      </c>
      <c r="D59" s="7" t="s">
        <v>1097</v>
      </c>
      <c r="E59" s="5" t="s">
        <v>766</v>
      </c>
      <c r="F59" s="5">
        <v>0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7">
        <f t="shared" si="8"/>
        <v>17</v>
      </c>
      <c r="Y59" s="8">
        <f t="shared" si="9"/>
        <v>0.94444444444444442</v>
      </c>
      <c r="Z59" s="14" t="str">
        <f t="shared" si="2"/>
        <v>ADEQUADA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0</v>
      </c>
      <c r="AJ59" s="5">
        <v>0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7">
        <f t="shared" si="10"/>
        <v>16</v>
      </c>
      <c r="AT59" s="8">
        <f t="shared" si="11"/>
        <v>0.88888888888888884</v>
      </c>
      <c r="AU59" s="14" t="str">
        <f t="shared" si="5"/>
        <v>ADEQUADA</v>
      </c>
      <c r="AV59" s="7">
        <f t="shared" si="12"/>
        <v>33</v>
      </c>
      <c r="AW59" s="8">
        <f t="shared" si="7"/>
        <v>0.91666666666666674</v>
      </c>
    </row>
    <row r="60" spans="1:49" ht="15.75" customHeight="1" x14ac:dyDescent="0.25">
      <c r="A60" s="5" t="s">
        <v>5</v>
      </c>
      <c r="B60" s="7" t="s">
        <v>1070</v>
      </c>
      <c r="C60" s="7" t="s">
        <v>1162</v>
      </c>
      <c r="D60" s="7" t="s">
        <v>1097</v>
      </c>
      <c r="E60" s="5" t="s">
        <v>767</v>
      </c>
      <c r="F60" s="5">
        <v>1</v>
      </c>
      <c r="G60" s="5">
        <v>0</v>
      </c>
      <c r="H60" s="5">
        <v>0</v>
      </c>
      <c r="I60" s="5">
        <v>0</v>
      </c>
      <c r="J60" s="5">
        <v>1</v>
      </c>
      <c r="K60" s="5">
        <v>0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1</v>
      </c>
      <c r="R60" s="5">
        <v>1</v>
      </c>
      <c r="S60" s="5">
        <v>0</v>
      </c>
      <c r="T60" s="5">
        <v>0</v>
      </c>
      <c r="U60" s="5">
        <v>1</v>
      </c>
      <c r="V60" s="5">
        <v>0</v>
      </c>
      <c r="W60" s="5">
        <v>1</v>
      </c>
      <c r="X60" s="7">
        <f t="shared" si="8"/>
        <v>8</v>
      </c>
      <c r="Y60" s="8">
        <f t="shared" si="9"/>
        <v>0.44444444444444442</v>
      </c>
      <c r="Z60" s="14" t="str">
        <f t="shared" si="2"/>
        <v>INTERMEDIÁRIO</v>
      </c>
      <c r="AA60" s="5">
        <v>1</v>
      </c>
      <c r="AB60" s="5">
        <v>1</v>
      </c>
      <c r="AC60" s="5">
        <v>1</v>
      </c>
      <c r="AD60" s="5">
        <v>1</v>
      </c>
      <c r="AE60" s="5">
        <v>0</v>
      </c>
      <c r="AF60" s="5">
        <v>1</v>
      </c>
      <c r="AG60" s="5">
        <v>0</v>
      </c>
      <c r="AH60" s="5">
        <v>0</v>
      </c>
      <c r="AI60" s="5">
        <v>1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7">
        <f t="shared" si="10"/>
        <v>6</v>
      </c>
      <c r="AT60" s="8">
        <f t="shared" si="11"/>
        <v>0.33333333333333337</v>
      </c>
      <c r="AU60" s="14" t="str">
        <f t="shared" si="5"/>
        <v>DEFASAGEM</v>
      </c>
      <c r="AV60" s="7">
        <f t="shared" si="12"/>
        <v>14</v>
      </c>
      <c r="AW60" s="8">
        <f t="shared" si="7"/>
        <v>0.38888888888888884</v>
      </c>
    </row>
    <row r="61" spans="1:49" ht="15.75" customHeight="1" x14ac:dyDescent="0.25">
      <c r="A61" s="5" t="s">
        <v>6</v>
      </c>
      <c r="B61" s="7" t="s">
        <v>1070</v>
      </c>
      <c r="C61" s="7" t="s">
        <v>1220</v>
      </c>
      <c r="D61" s="7" t="s">
        <v>1097</v>
      </c>
      <c r="E61" s="5" t="s">
        <v>768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0</v>
      </c>
      <c r="R61" s="5">
        <v>1</v>
      </c>
      <c r="S61" s="5">
        <v>1</v>
      </c>
      <c r="T61" s="5">
        <v>0</v>
      </c>
      <c r="U61" s="5">
        <v>1</v>
      </c>
      <c r="V61" s="5">
        <v>1</v>
      </c>
      <c r="W61" s="5">
        <v>1</v>
      </c>
      <c r="X61" s="7">
        <f t="shared" si="8"/>
        <v>16</v>
      </c>
      <c r="Y61" s="8">
        <f t="shared" si="9"/>
        <v>0.88888888888888884</v>
      </c>
      <c r="Z61" s="14" t="str">
        <f t="shared" si="2"/>
        <v>ADEQUADA</v>
      </c>
      <c r="AA61" s="5">
        <v>1</v>
      </c>
      <c r="AB61" s="5">
        <v>1</v>
      </c>
      <c r="AC61" s="5">
        <v>1</v>
      </c>
      <c r="AD61" s="5">
        <v>1</v>
      </c>
      <c r="AE61" s="5">
        <v>0</v>
      </c>
      <c r="AF61" s="5">
        <v>1</v>
      </c>
      <c r="AG61" s="5">
        <v>1</v>
      </c>
      <c r="AH61" s="5">
        <v>1</v>
      </c>
      <c r="AI61" s="5">
        <v>0</v>
      </c>
      <c r="AJ61" s="5">
        <v>0</v>
      </c>
      <c r="AK61" s="5">
        <v>1</v>
      </c>
      <c r="AL61" s="5">
        <v>0</v>
      </c>
      <c r="AM61" s="5">
        <v>1</v>
      </c>
      <c r="AN61" s="5">
        <v>1</v>
      </c>
      <c r="AO61" s="5">
        <v>0</v>
      </c>
      <c r="AP61" s="5">
        <v>0</v>
      </c>
      <c r="AQ61" s="5">
        <v>1</v>
      </c>
      <c r="AR61" s="5">
        <v>1</v>
      </c>
      <c r="AS61" s="7">
        <f t="shared" si="10"/>
        <v>12</v>
      </c>
      <c r="AT61" s="8">
        <f t="shared" si="11"/>
        <v>0.66666666666666674</v>
      </c>
      <c r="AU61" s="14" t="str">
        <f t="shared" si="5"/>
        <v>INTERMEDIÁRIO</v>
      </c>
      <c r="AV61" s="7">
        <f t="shared" si="12"/>
        <v>28</v>
      </c>
      <c r="AW61" s="8">
        <f t="shared" si="7"/>
        <v>0.77777777777777768</v>
      </c>
    </row>
    <row r="62" spans="1:49" ht="15.75" customHeight="1" x14ac:dyDescent="0.25">
      <c r="A62" s="5" t="s">
        <v>6</v>
      </c>
      <c r="B62" s="7" t="s">
        <v>1070</v>
      </c>
      <c r="C62" s="7" t="s">
        <v>1162</v>
      </c>
      <c r="D62" s="7" t="s">
        <v>1097</v>
      </c>
      <c r="E62" s="5" t="s">
        <v>769</v>
      </c>
      <c r="F62" s="5">
        <v>0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0</v>
      </c>
      <c r="U62" s="5">
        <v>1</v>
      </c>
      <c r="V62" s="5">
        <v>1</v>
      </c>
      <c r="W62" s="5">
        <v>1</v>
      </c>
      <c r="X62" s="7">
        <f t="shared" si="8"/>
        <v>16</v>
      </c>
      <c r="Y62" s="8">
        <f t="shared" si="9"/>
        <v>0.88888888888888884</v>
      </c>
      <c r="Z62" s="14" t="str">
        <f t="shared" si="2"/>
        <v>ADEQUADA</v>
      </c>
      <c r="AA62" s="5">
        <v>1</v>
      </c>
      <c r="AB62" s="5">
        <v>1</v>
      </c>
      <c r="AC62" s="5">
        <v>1</v>
      </c>
      <c r="AD62" s="5">
        <v>1</v>
      </c>
      <c r="AE62" s="5">
        <v>0</v>
      </c>
      <c r="AF62" s="5">
        <v>1</v>
      </c>
      <c r="AG62" s="5">
        <v>1</v>
      </c>
      <c r="AH62" s="5">
        <v>1</v>
      </c>
      <c r="AI62" s="5">
        <v>0</v>
      </c>
      <c r="AJ62" s="5">
        <v>0</v>
      </c>
      <c r="AK62" s="5">
        <v>1</v>
      </c>
      <c r="AL62" s="5">
        <v>0</v>
      </c>
      <c r="AM62" s="5">
        <v>1</v>
      </c>
      <c r="AN62" s="5">
        <v>1</v>
      </c>
      <c r="AO62" s="5">
        <v>0</v>
      </c>
      <c r="AP62" s="5">
        <v>0</v>
      </c>
      <c r="AQ62" s="5">
        <v>1</v>
      </c>
      <c r="AR62" s="5">
        <v>1</v>
      </c>
      <c r="AS62" s="7">
        <f t="shared" si="10"/>
        <v>12</v>
      </c>
      <c r="AT62" s="8">
        <f t="shared" si="11"/>
        <v>0.66666666666666674</v>
      </c>
      <c r="AU62" s="14" t="str">
        <f t="shared" si="5"/>
        <v>INTERMEDIÁRIO</v>
      </c>
      <c r="AV62" s="7">
        <f t="shared" si="12"/>
        <v>28</v>
      </c>
      <c r="AW62" s="8">
        <f t="shared" si="7"/>
        <v>0.77777777777777768</v>
      </c>
    </row>
    <row r="63" spans="1:49" ht="15.75" customHeight="1" x14ac:dyDescent="0.25">
      <c r="A63" s="5" t="s">
        <v>6</v>
      </c>
      <c r="B63" s="7" t="s">
        <v>1070</v>
      </c>
      <c r="C63" s="7" t="s">
        <v>1162</v>
      </c>
      <c r="D63" s="7" t="s">
        <v>1097</v>
      </c>
      <c r="E63" s="5" t="s">
        <v>770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0</v>
      </c>
      <c r="M63" s="5">
        <v>1</v>
      </c>
      <c r="N63" s="5">
        <v>0</v>
      </c>
      <c r="O63" s="5">
        <v>1</v>
      </c>
      <c r="P63" s="5">
        <v>1</v>
      </c>
      <c r="Q63" s="5">
        <v>0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7">
        <f t="shared" si="8"/>
        <v>15</v>
      </c>
      <c r="Y63" s="8">
        <f t="shared" si="9"/>
        <v>0.83333333333333326</v>
      </c>
      <c r="Z63" s="14" t="str">
        <f t="shared" si="2"/>
        <v>ADEQUADA</v>
      </c>
      <c r="AA63" s="5">
        <v>1</v>
      </c>
      <c r="AB63" s="5">
        <v>1</v>
      </c>
      <c r="AC63" s="5">
        <v>1</v>
      </c>
      <c r="AD63" s="5">
        <v>1</v>
      </c>
      <c r="AE63" s="5">
        <v>0</v>
      </c>
      <c r="AF63" s="5">
        <v>1</v>
      </c>
      <c r="AG63" s="5">
        <v>1</v>
      </c>
      <c r="AH63" s="5">
        <v>1</v>
      </c>
      <c r="AI63" s="5">
        <v>0</v>
      </c>
      <c r="AJ63" s="5">
        <v>0</v>
      </c>
      <c r="AK63" s="5">
        <v>0</v>
      </c>
      <c r="AL63" s="5">
        <v>0</v>
      </c>
      <c r="AM63" s="5">
        <v>1</v>
      </c>
      <c r="AN63" s="5">
        <v>1</v>
      </c>
      <c r="AO63" s="5">
        <v>0</v>
      </c>
      <c r="AP63" s="5">
        <v>0</v>
      </c>
      <c r="AQ63" s="5">
        <v>1</v>
      </c>
      <c r="AR63" s="5">
        <v>1</v>
      </c>
      <c r="AS63" s="7">
        <f t="shared" si="10"/>
        <v>11</v>
      </c>
      <c r="AT63" s="8">
        <f t="shared" si="11"/>
        <v>0.61111111111111116</v>
      </c>
      <c r="AU63" s="14" t="str">
        <f t="shared" si="5"/>
        <v>INTERMEDIÁRIO</v>
      </c>
      <c r="AV63" s="7">
        <f t="shared" si="12"/>
        <v>26</v>
      </c>
      <c r="AW63" s="8">
        <f t="shared" si="7"/>
        <v>0.72222222222222232</v>
      </c>
    </row>
    <row r="64" spans="1:49" ht="15.75" customHeight="1" x14ac:dyDescent="0.25">
      <c r="A64" s="5" t="s">
        <v>6</v>
      </c>
      <c r="B64" s="7" t="s">
        <v>1070</v>
      </c>
      <c r="C64" s="7" t="s">
        <v>1162</v>
      </c>
      <c r="D64" s="7" t="s">
        <v>1097</v>
      </c>
      <c r="E64" s="5" t="s">
        <v>771</v>
      </c>
      <c r="F64" s="5">
        <v>0</v>
      </c>
      <c r="G64" s="5">
        <v>0</v>
      </c>
      <c r="H64" s="5">
        <v>0</v>
      </c>
      <c r="I64" s="5">
        <v>1</v>
      </c>
      <c r="J64" s="5">
        <v>1</v>
      </c>
      <c r="K64" s="5">
        <v>1</v>
      </c>
      <c r="L64" s="5">
        <v>1</v>
      </c>
      <c r="M64" s="5">
        <v>0</v>
      </c>
      <c r="N64" s="5">
        <v>0</v>
      </c>
      <c r="O64" s="5">
        <v>1</v>
      </c>
      <c r="P64" s="5">
        <v>1</v>
      </c>
      <c r="Q64" s="5">
        <v>0</v>
      </c>
      <c r="R64" s="5">
        <v>1</v>
      </c>
      <c r="S64" s="5">
        <v>1</v>
      </c>
      <c r="T64" s="5">
        <v>0</v>
      </c>
      <c r="U64" s="5">
        <v>0</v>
      </c>
      <c r="V64" s="5">
        <v>1</v>
      </c>
      <c r="W64" s="5">
        <v>1</v>
      </c>
      <c r="X64" s="7">
        <f t="shared" si="8"/>
        <v>10</v>
      </c>
      <c r="Y64" s="8">
        <f t="shared" si="9"/>
        <v>0.55555555555555558</v>
      </c>
      <c r="Z64" s="14" t="str">
        <f t="shared" si="2"/>
        <v>INTERMEDIÁRIO</v>
      </c>
      <c r="AA64" s="5">
        <v>1</v>
      </c>
      <c r="AB64" s="5">
        <v>1</v>
      </c>
      <c r="AC64" s="5">
        <v>1</v>
      </c>
      <c r="AD64" s="5">
        <v>1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</v>
      </c>
      <c r="AO64" s="5">
        <v>1</v>
      </c>
      <c r="AP64" s="5">
        <v>0</v>
      </c>
      <c r="AQ64" s="5">
        <v>0</v>
      </c>
      <c r="AR64" s="5">
        <v>1</v>
      </c>
      <c r="AS64" s="7">
        <f t="shared" si="10"/>
        <v>7</v>
      </c>
      <c r="AT64" s="8">
        <f t="shared" si="11"/>
        <v>0.38888888888888884</v>
      </c>
      <c r="AU64" s="14" t="str">
        <f t="shared" si="5"/>
        <v>DEFASAGEM</v>
      </c>
      <c r="AV64" s="7">
        <f t="shared" si="12"/>
        <v>17</v>
      </c>
      <c r="AW64" s="8">
        <f t="shared" si="7"/>
        <v>0.47222222222222221</v>
      </c>
    </row>
    <row r="65" spans="1:49" ht="15.75" customHeight="1" x14ac:dyDescent="0.25">
      <c r="A65" s="5" t="s">
        <v>6</v>
      </c>
      <c r="B65" s="7" t="s">
        <v>1070</v>
      </c>
      <c r="C65" s="7" t="s">
        <v>1162</v>
      </c>
      <c r="D65" s="7" t="s">
        <v>1097</v>
      </c>
      <c r="E65" s="5" t="s">
        <v>772</v>
      </c>
      <c r="F65" s="5">
        <v>1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1</v>
      </c>
      <c r="M65" s="5">
        <v>1</v>
      </c>
      <c r="N65" s="5">
        <v>0</v>
      </c>
      <c r="O65" s="5">
        <v>1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7">
        <f t="shared" si="8"/>
        <v>7</v>
      </c>
      <c r="Y65" s="8">
        <f t="shared" si="9"/>
        <v>0.38888888888888884</v>
      </c>
      <c r="Z65" s="14" t="str">
        <f t="shared" si="2"/>
        <v>DEFASAGEM</v>
      </c>
      <c r="AA65" s="5">
        <v>1</v>
      </c>
      <c r="AB65" s="5">
        <v>0</v>
      </c>
      <c r="AC65" s="5">
        <v>1</v>
      </c>
      <c r="AD65" s="5">
        <v>1</v>
      </c>
      <c r="AE65" s="5">
        <v>1</v>
      </c>
      <c r="AF65" s="5">
        <v>1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1</v>
      </c>
      <c r="AQ65" s="5">
        <v>0</v>
      </c>
      <c r="AR65" s="5">
        <v>0</v>
      </c>
      <c r="AS65" s="7">
        <f t="shared" si="10"/>
        <v>6</v>
      </c>
      <c r="AT65" s="8">
        <f t="shared" si="11"/>
        <v>0.33333333333333337</v>
      </c>
      <c r="AU65" s="14" t="str">
        <f t="shared" si="5"/>
        <v>DEFASAGEM</v>
      </c>
      <c r="AV65" s="7">
        <f t="shared" si="12"/>
        <v>13</v>
      </c>
      <c r="AW65" s="8">
        <f t="shared" si="7"/>
        <v>0.36111111111111116</v>
      </c>
    </row>
    <row r="66" spans="1:49" ht="15.75" customHeight="1" x14ac:dyDescent="0.25">
      <c r="A66" s="5" t="s">
        <v>6</v>
      </c>
      <c r="B66" s="7" t="s">
        <v>1070</v>
      </c>
      <c r="C66" s="7" t="s">
        <v>1162</v>
      </c>
      <c r="D66" s="7" t="s">
        <v>1097</v>
      </c>
      <c r="E66" s="5" t="s">
        <v>773</v>
      </c>
      <c r="F66" s="5">
        <v>1</v>
      </c>
      <c r="G66" s="5">
        <v>1</v>
      </c>
      <c r="H66" s="5">
        <v>1</v>
      </c>
      <c r="I66" s="5">
        <v>0</v>
      </c>
      <c r="J66" s="5">
        <v>1</v>
      </c>
      <c r="K66" s="5">
        <v>1</v>
      </c>
      <c r="L66" s="5">
        <v>1</v>
      </c>
      <c r="M66" s="5">
        <v>0</v>
      </c>
      <c r="N66" s="5">
        <v>1</v>
      </c>
      <c r="O66" s="5">
        <v>1</v>
      </c>
      <c r="P66" s="5">
        <v>0</v>
      </c>
      <c r="Q66" s="5">
        <v>0</v>
      </c>
      <c r="R66" s="5">
        <v>1</v>
      </c>
      <c r="S66" s="5">
        <v>1</v>
      </c>
      <c r="T66" s="5">
        <v>1</v>
      </c>
      <c r="U66" s="5">
        <v>1</v>
      </c>
      <c r="V66" s="5">
        <v>0</v>
      </c>
      <c r="W66" s="5">
        <v>1</v>
      </c>
      <c r="X66" s="7">
        <f t="shared" si="8"/>
        <v>13</v>
      </c>
      <c r="Y66" s="8">
        <f t="shared" si="9"/>
        <v>0.72222222222222232</v>
      </c>
      <c r="Z66" s="14" t="str">
        <f t="shared" ref="Z66:Z129" si="13">IF(Y66&lt;0.4,"DEFASAGEM",IF(Y66&lt;0.7,"INTERMEDIÁRIO","ADEQUADA"))</f>
        <v>ADEQUADA</v>
      </c>
      <c r="AA66" s="5">
        <v>1</v>
      </c>
      <c r="AB66" s="5">
        <v>1</v>
      </c>
      <c r="AC66" s="5">
        <v>1</v>
      </c>
      <c r="AD66" s="5">
        <v>1</v>
      </c>
      <c r="AE66" s="5">
        <v>0</v>
      </c>
      <c r="AF66" s="5">
        <v>1</v>
      </c>
      <c r="AG66" s="5">
        <v>0</v>
      </c>
      <c r="AH66" s="5">
        <v>1</v>
      </c>
      <c r="AI66" s="5">
        <v>0</v>
      </c>
      <c r="AJ66" s="5">
        <v>1</v>
      </c>
      <c r="AK66" s="5">
        <v>0</v>
      </c>
      <c r="AL66" s="5">
        <v>1</v>
      </c>
      <c r="AM66" s="5">
        <v>0</v>
      </c>
      <c r="AN66" s="5">
        <v>1</v>
      </c>
      <c r="AO66" s="5">
        <v>0</v>
      </c>
      <c r="AP66" s="5">
        <v>0</v>
      </c>
      <c r="AQ66" s="5">
        <v>1</v>
      </c>
      <c r="AR66" s="5">
        <v>1</v>
      </c>
      <c r="AS66" s="7">
        <f t="shared" si="10"/>
        <v>11</v>
      </c>
      <c r="AT66" s="8">
        <f t="shared" si="11"/>
        <v>0.61111111111111116</v>
      </c>
      <c r="AU66" s="14" t="str">
        <f t="shared" ref="AU66:AU129" si="14">IF(AT66&lt;0.4,"DEFASAGEM",IF(AT66&lt;0.7,"INTERMEDIÁRIO","ADEQUADA"))</f>
        <v>INTERMEDIÁRIO</v>
      </c>
      <c r="AV66" s="7">
        <f t="shared" si="12"/>
        <v>24</v>
      </c>
      <c r="AW66" s="8">
        <f t="shared" ref="AW66:AW129" si="15">((AV66*100)/36)/100</f>
        <v>0.66666666666666674</v>
      </c>
    </row>
    <row r="67" spans="1:49" ht="15.75" customHeight="1" x14ac:dyDescent="0.25">
      <c r="A67" s="5" t="s">
        <v>6</v>
      </c>
      <c r="B67" s="7" t="s">
        <v>1070</v>
      </c>
      <c r="C67" s="7" t="s">
        <v>1162</v>
      </c>
      <c r="D67" s="7" t="s">
        <v>1097</v>
      </c>
      <c r="E67" s="5" t="s">
        <v>774</v>
      </c>
      <c r="F67" s="5">
        <v>0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5">
        <v>1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7">
        <f t="shared" si="8"/>
        <v>4</v>
      </c>
      <c r="Y67" s="8">
        <f t="shared" si="9"/>
        <v>0.22222222222222221</v>
      </c>
      <c r="Z67" s="14" t="str">
        <f t="shared" si="13"/>
        <v>DEFASAGEM</v>
      </c>
      <c r="AA67" s="5">
        <v>0</v>
      </c>
      <c r="AB67" s="5">
        <v>1</v>
      </c>
      <c r="AC67" s="5">
        <v>0</v>
      </c>
      <c r="AD67" s="5">
        <v>1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1</v>
      </c>
      <c r="AM67" s="5">
        <v>1</v>
      </c>
      <c r="AN67" s="5">
        <v>0</v>
      </c>
      <c r="AO67" s="5">
        <v>1</v>
      </c>
      <c r="AP67" s="5">
        <v>0</v>
      </c>
      <c r="AQ67" s="5">
        <v>0</v>
      </c>
      <c r="AR67" s="5">
        <v>0</v>
      </c>
      <c r="AS67" s="7">
        <f t="shared" si="10"/>
        <v>5</v>
      </c>
      <c r="AT67" s="8">
        <f t="shared" si="11"/>
        <v>0.27777777777777779</v>
      </c>
      <c r="AU67" s="14" t="str">
        <f t="shared" si="14"/>
        <v>DEFASAGEM</v>
      </c>
      <c r="AV67" s="7">
        <f t="shared" si="12"/>
        <v>9</v>
      </c>
      <c r="AW67" s="8">
        <f t="shared" si="15"/>
        <v>0.25</v>
      </c>
    </row>
    <row r="68" spans="1:49" ht="15.75" customHeight="1" x14ac:dyDescent="0.25">
      <c r="A68" s="5" t="s">
        <v>6</v>
      </c>
      <c r="B68" s="7" t="s">
        <v>1070</v>
      </c>
      <c r="C68" s="7" t="s">
        <v>1162</v>
      </c>
      <c r="D68" s="7" t="s">
        <v>1097</v>
      </c>
      <c r="E68" s="5" t="s">
        <v>775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0</v>
      </c>
      <c r="N68" s="5">
        <v>1</v>
      </c>
      <c r="O68" s="5">
        <v>0</v>
      </c>
      <c r="P68" s="5">
        <v>1</v>
      </c>
      <c r="Q68" s="5">
        <v>0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7">
        <f t="shared" si="8"/>
        <v>15</v>
      </c>
      <c r="Y68" s="8">
        <f t="shared" si="9"/>
        <v>0.83333333333333326</v>
      </c>
      <c r="Z68" s="14" t="str">
        <f t="shared" si="13"/>
        <v>ADEQUADA</v>
      </c>
      <c r="AA68" s="5">
        <v>1</v>
      </c>
      <c r="AB68" s="5">
        <v>1</v>
      </c>
      <c r="AC68" s="5">
        <v>0</v>
      </c>
      <c r="AD68" s="5">
        <v>1</v>
      </c>
      <c r="AE68" s="5">
        <v>0</v>
      </c>
      <c r="AF68" s="5">
        <v>1</v>
      </c>
      <c r="AG68" s="5">
        <v>1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1</v>
      </c>
      <c r="AO68" s="5">
        <v>0</v>
      </c>
      <c r="AP68" s="5">
        <v>1</v>
      </c>
      <c r="AQ68" s="5">
        <v>0</v>
      </c>
      <c r="AR68" s="5">
        <v>1</v>
      </c>
      <c r="AS68" s="7">
        <f t="shared" si="10"/>
        <v>8</v>
      </c>
      <c r="AT68" s="8">
        <f t="shared" si="11"/>
        <v>0.44444444444444442</v>
      </c>
      <c r="AU68" s="14" t="str">
        <f t="shared" si="14"/>
        <v>INTERMEDIÁRIO</v>
      </c>
      <c r="AV68" s="7">
        <f t="shared" si="12"/>
        <v>23</v>
      </c>
      <c r="AW68" s="8">
        <f t="shared" si="15"/>
        <v>0.63888888888888884</v>
      </c>
    </row>
    <row r="69" spans="1:49" ht="15.75" customHeight="1" x14ac:dyDescent="0.25">
      <c r="A69" s="5" t="s">
        <v>6</v>
      </c>
      <c r="B69" s="7" t="s">
        <v>1070</v>
      </c>
      <c r="C69" s="7" t="s">
        <v>1220</v>
      </c>
      <c r="D69" s="7" t="s">
        <v>1097</v>
      </c>
      <c r="E69" s="5" t="s">
        <v>776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0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7">
        <f t="shared" si="8"/>
        <v>17</v>
      </c>
      <c r="Y69" s="8">
        <f t="shared" si="9"/>
        <v>0.94444444444444442</v>
      </c>
      <c r="Z69" s="14" t="str">
        <f t="shared" si="13"/>
        <v>ADEQUADA</v>
      </c>
      <c r="AA69" s="5">
        <v>1</v>
      </c>
      <c r="AB69" s="5">
        <v>1</v>
      </c>
      <c r="AC69" s="5">
        <v>0</v>
      </c>
      <c r="AD69" s="5">
        <v>1</v>
      </c>
      <c r="AE69" s="5">
        <v>0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0</v>
      </c>
      <c r="AN69" s="5">
        <v>1</v>
      </c>
      <c r="AO69" s="5">
        <v>1</v>
      </c>
      <c r="AP69" s="5">
        <v>0</v>
      </c>
      <c r="AQ69" s="5">
        <v>1</v>
      </c>
      <c r="AR69" s="5">
        <v>1</v>
      </c>
      <c r="AS69" s="7">
        <f t="shared" si="10"/>
        <v>14</v>
      </c>
      <c r="AT69" s="8">
        <f t="shared" si="11"/>
        <v>0.77777777777777768</v>
      </c>
      <c r="AU69" s="14" t="str">
        <f t="shared" si="14"/>
        <v>ADEQUADA</v>
      </c>
      <c r="AV69" s="7">
        <f t="shared" si="12"/>
        <v>31</v>
      </c>
      <c r="AW69" s="8">
        <f t="shared" si="15"/>
        <v>0.86111111111111116</v>
      </c>
    </row>
    <row r="70" spans="1:49" ht="15.75" customHeight="1" x14ac:dyDescent="0.25">
      <c r="A70" s="5" t="s">
        <v>6</v>
      </c>
      <c r="B70" s="7" t="s">
        <v>1070</v>
      </c>
      <c r="C70" s="7" t="s">
        <v>1162</v>
      </c>
      <c r="D70" s="7" t="s">
        <v>1097</v>
      </c>
      <c r="E70" s="5" t="s">
        <v>777</v>
      </c>
      <c r="F70" s="5">
        <v>0</v>
      </c>
      <c r="G70" s="5">
        <v>0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1</v>
      </c>
      <c r="N70" s="5">
        <v>0</v>
      </c>
      <c r="O70" s="5">
        <v>0</v>
      </c>
      <c r="P70" s="5">
        <v>1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1</v>
      </c>
      <c r="W70" s="5">
        <v>1</v>
      </c>
      <c r="X70" s="7">
        <f t="shared" si="8"/>
        <v>6</v>
      </c>
      <c r="Y70" s="8">
        <f t="shared" si="9"/>
        <v>0.33333333333333337</v>
      </c>
      <c r="Z70" s="14" t="str">
        <f t="shared" si="13"/>
        <v>DEFASAGEM</v>
      </c>
      <c r="AA70" s="5">
        <v>0</v>
      </c>
      <c r="AB70" s="5">
        <v>1</v>
      </c>
      <c r="AC70" s="5">
        <v>0</v>
      </c>
      <c r="AD70" s="5">
        <v>1</v>
      </c>
      <c r="AE70" s="5">
        <v>0</v>
      </c>
      <c r="AF70" s="5">
        <v>1</v>
      </c>
      <c r="AG70" s="5">
        <v>0</v>
      </c>
      <c r="AH70" s="5">
        <v>1</v>
      </c>
      <c r="AI70" s="5">
        <v>0</v>
      </c>
      <c r="AJ70" s="5">
        <v>0</v>
      </c>
      <c r="AK70" s="5">
        <v>0</v>
      </c>
      <c r="AL70" s="5">
        <v>1</v>
      </c>
      <c r="AM70" s="5">
        <v>0</v>
      </c>
      <c r="AN70" s="5">
        <v>0</v>
      </c>
      <c r="AO70" s="5">
        <v>0</v>
      </c>
      <c r="AP70" s="5">
        <v>0</v>
      </c>
      <c r="AQ70" s="5">
        <v>1</v>
      </c>
      <c r="AR70" s="5">
        <v>0</v>
      </c>
      <c r="AS70" s="7">
        <f t="shared" si="10"/>
        <v>6</v>
      </c>
      <c r="AT70" s="8">
        <f t="shared" si="11"/>
        <v>0.33333333333333337</v>
      </c>
      <c r="AU70" s="14" t="str">
        <f t="shared" si="14"/>
        <v>DEFASAGEM</v>
      </c>
      <c r="AV70" s="7">
        <f t="shared" si="12"/>
        <v>12</v>
      </c>
      <c r="AW70" s="8">
        <f t="shared" si="15"/>
        <v>0.33333333333333337</v>
      </c>
    </row>
    <row r="71" spans="1:49" ht="15.75" customHeight="1" x14ac:dyDescent="0.25">
      <c r="A71" s="5" t="s">
        <v>6</v>
      </c>
      <c r="B71" s="7" t="s">
        <v>1070</v>
      </c>
      <c r="C71" s="7" t="s">
        <v>1162</v>
      </c>
      <c r="D71" s="7" t="s">
        <v>1097</v>
      </c>
      <c r="E71" s="5" t="s">
        <v>778</v>
      </c>
      <c r="F71" s="5">
        <v>1</v>
      </c>
      <c r="G71" s="5">
        <v>1</v>
      </c>
      <c r="H71" s="5">
        <v>0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0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0</v>
      </c>
      <c r="W71" s="5">
        <v>1</v>
      </c>
      <c r="X71" s="7">
        <f t="shared" si="8"/>
        <v>15</v>
      </c>
      <c r="Y71" s="8">
        <f t="shared" si="9"/>
        <v>0.83333333333333326</v>
      </c>
      <c r="Z71" s="14" t="str">
        <f t="shared" si="13"/>
        <v>ADEQUADA</v>
      </c>
      <c r="AA71" s="5">
        <v>1</v>
      </c>
      <c r="AB71" s="5">
        <v>1</v>
      </c>
      <c r="AC71" s="5">
        <v>1</v>
      </c>
      <c r="AD71" s="5">
        <v>1</v>
      </c>
      <c r="AE71" s="5">
        <v>0</v>
      </c>
      <c r="AF71" s="5">
        <v>1</v>
      </c>
      <c r="AG71" s="5">
        <v>0</v>
      </c>
      <c r="AH71" s="5">
        <v>0</v>
      </c>
      <c r="AI71" s="5">
        <v>0</v>
      </c>
      <c r="AJ71" s="5">
        <v>1</v>
      </c>
      <c r="AK71" s="5">
        <v>1</v>
      </c>
      <c r="AL71" s="5">
        <v>0</v>
      </c>
      <c r="AM71" s="5">
        <v>0</v>
      </c>
      <c r="AN71" s="5">
        <v>0</v>
      </c>
      <c r="AO71" s="5">
        <v>1</v>
      </c>
      <c r="AP71" s="5">
        <v>0</v>
      </c>
      <c r="AQ71" s="5">
        <v>0</v>
      </c>
      <c r="AR71" s="5">
        <v>1</v>
      </c>
      <c r="AS71" s="7">
        <f t="shared" si="10"/>
        <v>9</v>
      </c>
      <c r="AT71" s="8">
        <f t="shared" si="11"/>
        <v>0.5</v>
      </c>
      <c r="AU71" s="14" t="str">
        <f t="shared" si="14"/>
        <v>INTERMEDIÁRIO</v>
      </c>
      <c r="AV71" s="7">
        <f t="shared" si="12"/>
        <v>24</v>
      </c>
      <c r="AW71" s="8">
        <f t="shared" si="15"/>
        <v>0.66666666666666674</v>
      </c>
    </row>
    <row r="72" spans="1:49" ht="15.75" customHeight="1" x14ac:dyDescent="0.25">
      <c r="A72" s="5" t="s">
        <v>6</v>
      </c>
      <c r="B72" s="7" t="s">
        <v>1070</v>
      </c>
      <c r="C72" s="7" t="s">
        <v>1220</v>
      </c>
      <c r="D72" s="7" t="s">
        <v>1097</v>
      </c>
      <c r="E72" s="5" t="s">
        <v>779</v>
      </c>
      <c r="F72" s="5">
        <v>0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7">
        <f t="shared" si="8"/>
        <v>17</v>
      </c>
      <c r="Y72" s="8">
        <f t="shared" si="9"/>
        <v>0.94444444444444442</v>
      </c>
      <c r="Z72" s="14" t="str">
        <f t="shared" si="13"/>
        <v>ADEQUADA</v>
      </c>
      <c r="AA72" s="5">
        <v>1</v>
      </c>
      <c r="AB72" s="5">
        <v>1</v>
      </c>
      <c r="AC72" s="5">
        <v>1</v>
      </c>
      <c r="AD72" s="5">
        <v>0</v>
      </c>
      <c r="AE72" s="5">
        <v>0</v>
      </c>
      <c r="AF72" s="5">
        <v>1</v>
      </c>
      <c r="AG72" s="5">
        <v>1</v>
      </c>
      <c r="AH72" s="5">
        <v>1</v>
      </c>
      <c r="AI72" s="5">
        <v>0</v>
      </c>
      <c r="AJ72" s="5">
        <v>0</v>
      </c>
      <c r="AK72" s="5">
        <v>1</v>
      </c>
      <c r="AL72" s="5">
        <v>0</v>
      </c>
      <c r="AM72" s="5">
        <v>1</v>
      </c>
      <c r="AN72" s="5">
        <v>1</v>
      </c>
      <c r="AO72" s="5">
        <v>1</v>
      </c>
      <c r="AP72" s="5">
        <v>0</v>
      </c>
      <c r="AQ72" s="5">
        <v>1</v>
      </c>
      <c r="AR72" s="5">
        <v>1</v>
      </c>
      <c r="AS72" s="7">
        <f t="shared" si="10"/>
        <v>12</v>
      </c>
      <c r="AT72" s="8">
        <f t="shared" si="11"/>
        <v>0.66666666666666674</v>
      </c>
      <c r="AU72" s="14" t="str">
        <f t="shared" si="14"/>
        <v>INTERMEDIÁRIO</v>
      </c>
      <c r="AV72" s="7">
        <f t="shared" si="12"/>
        <v>29</v>
      </c>
      <c r="AW72" s="8">
        <f t="shared" si="15"/>
        <v>0.80555555555555558</v>
      </c>
    </row>
    <row r="73" spans="1:49" ht="15.75" customHeight="1" x14ac:dyDescent="0.25">
      <c r="A73" s="5" t="s">
        <v>6</v>
      </c>
      <c r="B73" s="7" t="s">
        <v>1070</v>
      </c>
      <c r="C73" s="7" t="s">
        <v>1105</v>
      </c>
      <c r="D73" s="7" t="s">
        <v>1097</v>
      </c>
      <c r="E73" s="5" t="s">
        <v>780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0</v>
      </c>
      <c r="P73" s="5">
        <v>1</v>
      </c>
      <c r="Q73" s="5">
        <v>1</v>
      </c>
      <c r="R73" s="5">
        <v>1</v>
      </c>
      <c r="S73" s="5">
        <v>1</v>
      </c>
      <c r="T73" s="5">
        <v>0</v>
      </c>
      <c r="U73" s="5">
        <v>1</v>
      </c>
      <c r="V73" s="5">
        <v>0</v>
      </c>
      <c r="W73" s="5">
        <v>1</v>
      </c>
      <c r="X73" s="7">
        <f t="shared" si="8"/>
        <v>15</v>
      </c>
      <c r="Y73" s="8">
        <f t="shared" si="9"/>
        <v>0.83333333333333326</v>
      </c>
      <c r="Z73" s="14" t="str">
        <f t="shared" si="13"/>
        <v>ADEQUADA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0</v>
      </c>
      <c r="AJ73" s="5">
        <v>0</v>
      </c>
      <c r="AK73" s="5">
        <v>0</v>
      </c>
      <c r="AL73" s="5">
        <v>0</v>
      </c>
      <c r="AM73" s="5">
        <v>1</v>
      </c>
      <c r="AN73" s="5">
        <v>1</v>
      </c>
      <c r="AO73" s="5">
        <v>0</v>
      </c>
      <c r="AP73" s="5">
        <v>0</v>
      </c>
      <c r="AQ73" s="5">
        <v>0</v>
      </c>
      <c r="AR73" s="5">
        <v>1</v>
      </c>
      <c r="AS73" s="7">
        <f t="shared" si="10"/>
        <v>11</v>
      </c>
      <c r="AT73" s="8">
        <f t="shared" si="11"/>
        <v>0.61111111111111116</v>
      </c>
      <c r="AU73" s="14" t="str">
        <f t="shared" si="14"/>
        <v>INTERMEDIÁRIO</v>
      </c>
      <c r="AV73" s="7">
        <f t="shared" si="12"/>
        <v>26</v>
      </c>
      <c r="AW73" s="8">
        <f t="shared" si="15"/>
        <v>0.72222222222222232</v>
      </c>
    </row>
    <row r="74" spans="1:49" ht="15.75" customHeight="1" x14ac:dyDescent="0.25">
      <c r="A74" s="5" t="s">
        <v>6</v>
      </c>
      <c r="B74" s="7" t="s">
        <v>1070</v>
      </c>
      <c r="C74" s="7" t="s">
        <v>1162</v>
      </c>
      <c r="D74" s="7" t="s">
        <v>1097</v>
      </c>
      <c r="E74" s="5" t="s">
        <v>781</v>
      </c>
      <c r="F74" s="5">
        <v>0</v>
      </c>
      <c r="G74" s="5">
        <v>0</v>
      </c>
      <c r="H74" s="5">
        <v>0</v>
      </c>
      <c r="I74" s="5">
        <v>0</v>
      </c>
      <c r="J74" s="5">
        <v>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1</v>
      </c>
      <c r="T74" s="5">
        <v>1</v>
      </c>
      <c r="U74" s="5">
        <v>0</v>
      </c>
      <c r="V74" s="5">
        <v>0</v>
      </c>
      <c r="W74" s="5">
        <v>0</v>
      </c>
      <c r="X74" s="7">
        <f t="shared" si="8"/>
        <v>4</v>
      </c>
      <c r="Y74" s="8">
        <f t="shared" si="9"/>
        <v>0.22222222222222221</v>
      </c>
      <c r="Z74" s="14" t="str">
        <f t="shared" si="13"/>
        <v>DEFASAGEM</v>
      </c>
      <c r="AA74" s="5">
        <v>1</v>
      </c>
      <c r="AB74" s="5">
        <v>1</v>
      </c>
      <c r="AC74" s="5">
        <v>1</v>
      </c>
      <c r="AD74" s="5">
        <v>1</v>
      </c>
      <c r="AE74" s="5">
        <v>0</v>
      </c>
      <c r="AF74" s="5">
        <v>0</v>
      </c>
      <c r="AG74" s="5">
        <v>0</v>
      </c>
      <c r="AH74" s="5">
        <v>1</v>
      </c>
      <c r="AI74" s="5">
        <v>0</v>
      </c>
      <c r="AJ74" s="5">
        <v>0</v>
      </c>
      <c r="AK74" s="5">
        <v>1</v>
      </c>
      <c r="AL74" s="5">
        <v>0</v>
      </c>
      <c r="AM74" s="5">
        <v>0</v>
      </c>
      <c r="AN74" s="5">
        <v>1</v>
      </c>
      <c r="AO74" s="5">
        <v>0</v>
      </c>
      <c r="AP74" s="5">
        <v>0</v>
      </c>
      <c r="AQ74" s="5">
        <v>1</v>
      </c>
      <c r="AR74" s="5">
        <v>0</v>
      </c>
      <c r="AS74" s="7">
        <f t="shared" si="10"/>
        <v>8</v>
      </c>
      <c r="AT74" s="8">
        <f t="shared" si="11"/>
        <v>0.44444444444444442</v>
      </c>
      <c r="AU74" s="14" t="str">
        <f t="shared" si="14"/>
        <v>INTERMEDIÁRIO</v>
      </c>
      <c r="AV74" s="7">
        <f t="shared" si="12"/>
        <v>12</v>
      </c>
      <c r="AW74" s="8">
        <f t="shared" si="15"/>
        <v>0.33333333333333337</v>
      </c>
    </row>
    <row r="75" spans="1:49" ht="15.75" customHeight="1" x14ac:dyDescent="0.25">
      <c r="A75" s="5" t="s">
        <v>6</v>
      </c>
      <c r="B75" s="7" t="s">
        <v>1070</v>
      </c>
      <c r="C75" s="7" t="s">
        <v>1162</v>
      </c>
      <c r="D75" s="7" t="s">
        <v>1097</v>
      </c>
      <c r="E75" s="5" t="s">
        <v>782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1</v>
      </c>
      <c r="U75" s="5">
        <v>0</v>
      </c>
      <c r="V75" s="5">
        <v>1</v>
      </c>
      <c r="W75" s="5">
        <v>1</v>
      </c>
      <c r="X75" s="7">
        <f t="shared" si="8"/>
        <v>13</v>
      </c>
      <c r="Y75" s="8">
        <f t="shared" si="9"/>
        <v>0.72222222222222232</v>
      </c>
      <c r="Z75" s="14" t="str">
        <f t="shared" si="13"/>
        <v>ADEQUADA</v>
      </c>
      <c r="AA75" s="5">
        <v>1</v>
      </c>
      <c r="AB75" s="5">
        <v>1</v>
      </c>
      <c r="AC75" s="5">
        <v>1</v>
      </c>
      <c r="AD75" s="5">
        <v>1</v>
      </c>
      <c r="AE75" s="5">
        <v>0</v>
      </c>
      <c r="AF75" s="5">
        <v>1</v>
      </c>
      <c r="AG75" s="5">
        <v>1</v>
      </c>
      <c r="AH75" s="5">
        <v>0</v>
      </c>
      <c r="AI75" s="5">
        <v>0</v>
      </c>
      <c r="AJ75" s="5">
        <v>0</v>
      </c>
      <c r="AK75" s="5">
        <v>1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1</v>
      </c>
      <c r="AS75" s="7">
        <f t="shared" si="10"/>
        <v>8</v>
      </c>
      <c r="AT75" s="8">
        <f t="shared" si="11"/>
        <v>0.44444444444444442</v>
      </c>
      <c r="AU75" s="14" t="str">
        <f t="shared" si="14"/>
        <v>INTERMEDIÁRIO</v>
      </c>
      <c r="AV75" s="7">
        <f t="shared" si="12"/>
        <v>21</v>
      </c>
      <c r="AW75" s="8">
        <f t="shared" si="15"/>
        <v>0.58333333333333337</v>
      </c>
    </row>
    <row r="76" spans="1:49" ht="15.75" customHeight="1" x14ac:dyDescent="0.25">
      <c r="A76" s="5" t="s">
        <v>7</v>
      </c>
      <c r="B76" s="7" t="s">
        <v>1070</v>
      </c>
      <c r="C76" s="7" t="s">
        <v>1104</v>
      </c>
      <c r="D76" s="7" t="s">
        <v>1097</v>
      </c>
      <c r="E76" s="5" t="s">
        <v>1225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0</v>
      </c>
      <c r="P76" s="5">
        <v>1</v>
      </c>
      <c r="Q76" s="5">
        <v>1</v>
      </c>
      <c r="R76" s="5">
        <v>1</v>
      </c>
      <c r="S76" s="5">
        <v>0</v>
      </c>
      <c r="T76" s="5">
        <v>0</v>
      </c>
      <c r="U76" s="5">
        <v>1</v>
      </c>
      <c r="V76" s="5">
        <v>1</v>
      </c>
      <c r="W76" s="5">
        <v>1</v>
      </c>
      <c r="X76" s="7">
        <f t="shared" si="8"/>
        <v>15</v>
      </c>
      <c r="Y76" s="8">
        <f t="shared" si="9"/>
        <v>0.83333333333333326</v>
      </c>
      <c r="Z76" s="14" t="str">
        <f t="shared" si="13"/>
        <v>ADEQUADA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1</v>
      </c>
      <c r="AQ76" s="5">
        <v>1</v>
      </c>
      <c r="AR76" s="5">
        <v>1</v>
      </c>
      <c r="AS76" s="7">
        <f t="shared" si="10"/>
        <v>10</v>
      </c>
      <c r="AT76" s="8">
        <f t="shared" si="11"/>
        <v>0.55555555555555558</v>
      </c>
      <c r="AU76" s="14" t="str">
        <f t="shared" si="14"/>
        <v>INTERMEDIÁRIO</v>
      </c>
      <c r="AV76" s="7">
        <f t="shared" si="12"/>
        <v>25</v>
      </c>
      <c r="AW76" s="8">
        <f t="shared" si="15"/>
        <v>0.69444444444444442</v>
      </c>
    </row>
    <row r="77" spans="1:49" ht="15.75" customHeight="1" x14ac:dyDescent="0.25">
      <c r="A77" s="5" t="s">
        <v>7</v>
      </c>
      <c r="B77" s="7" t="s">
        <v>1070</v>
      </c>
      <c r="C77" s="7" t="s">
        <v>1220</v>
      </c>
      <c r="D77" s="7" t="s">
        <v>1097</v>
      </c>
      <c r="E77" s="5" t="s">
        <v>783</v>
      </c>
      <c r="F77" s="5">
        <v>1</v>
      </c>
      <c r="G77" s="5">
        <v>1</v>
      </c>
      <c r="H77" s="5">
        <v>0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0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0</v>
      </c>
      <c r="U77" s="5">
        <v>1</v>
      </c>
      <c r="V77" s="5">
        <v>1</v>
      </c>
      <c r="W77" s="5">
        <v>1</v>
      </c>
      <c r="X77" s="7">
        <f t="shared" si="8"/>
        <v>14</v>
      </c>
      <c r="Y77" s="8">
        <f t="shared" si="9"/>
        <v>0.77777777777777768</v>
      </c>
      <c r="Z77" s="14" t="str">
        <f t="shared" si="13"/>
        <v>ADEQUADA</v>
      </c>
      <c r="AA77" s="5">
        <v>1</v>
      </c>
      <c r="AB77" s="5">
        <v>1</v>
      </c>
      <c r="AC77" s="5">
        <v>1</v>
      </c>
      <c r="AD77" s="5">
        <v>1</v>
      </c>
      <c r="AE77" s="5">
        <v>0</v>
      </c>
      <c r="AF77" s="5">
        <v>0</v>
      </c>
      <c r="AG77" s="5">
        <v>1</v>
      </c>
      <c r="AH77" s="5">
        <v>1</v>
      </c>
      <c r="AI77" s="5">
        <v>0</v>
      </c>
      <c r="AJ77" s="5">
        <v>0</v>
      </c>
      <c r="AK77" s="5">
        <v>1</v>
      </c>
      <c r="AL77" s="5">
        <v>1</v>
      </c>
      <c r="AM77" s="5">
        <v>0</v>
      </c>
      <c r="AN77" s="5">
        <v>1</v>
      </c>
      <c r="AO77" s="5">
        <v>0</v>
      </c>
      <c r="AP77" s="5">
        <v>0</v>
      </c>
      <c r="AQ77" s="5">
        <v>1</v>
      </c>
      <c r="AR77" s="5">
        <v>1</v>
      </c>
      <c r="AS77" s="7">
        <f t="shared" si="10"/>
        <v>11</v>
      </c>
      <c r="AT77" s="8">
        <f t="shared" si="11"/>
        <v>0.61111111111111116</v>
      </c>
      <c r="AU77" s="14" t="str">
        <f t="shared" si="14"/>
        <v>INTERMEDIÁRIO</v>
      </c>
      <c r="AV77" s="7">
        <f t="shared" si="12"/>
        <v>25</v>
      </c>
      <c r="AW77" s="8">
        <f t="shared" si="15"/>
        <v>0.69444444444444442</v>
      </c>
    </row>
    <row r="78" spans="1:49" ht="15.75" customHeight="1" x14ac:dyDescent="0.25">
      <c r="A78" s="5" t="s">
        <v>7</v>
      </c>
      <c r="B78" s="7" t="s">
        <v>1070</v>
      </c>
      <c r="C78" s="7" t="s">
        <v>1162</v>
      </c>
      <c r="D78" s="7" t="s">
        <v>1097</v>
      </c>
      <c r="E78" s="5" t="s">
        <v>784</v>
      </c>
      <c r="F78" s="5">
        <v>1</v>
      </c>
      <c r="G78" s="5">
        <v>0</v>
      </c>
      <c r="H78" s="5">
        <v>1</v>
      </c>
      <c r="I78" s="5">
        <v>0</v>
      </c>
      <c r="J78" s="5">
        <v>0</v>
      </c>
      <c r="K78" s="5">
        <v>1</v>
      </c>
      <c r="L78" s="5">
        <v>1</v>
      </c>
      <c r="M78" s="5">
        <v>0</v>
      </c>
      <c r="N78" s="5">
        <v>1</v>
      </c>
      <c r="O78" s="5">
        <v>1</v>
      </c>
      <c r="P78" s="5">
        <v>0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0</v>
      </c>
      <c r="W78" s="5">
        <v>1</v>
      </c>
      <c r="X78" s="7">
        <f t="shared" si="8"/>
        <v>12</v>
      </c>
      <c r="Y78" s="8">
        <f t="shared" si="9"/>
        <v>0.66666666666666674</v>
      </c>
      <c r="Z78" s="14" t="str">
        <f t="shared" si="13"/>
        <v>INTERMEDIÁRIO</v>
      </c>
      <c r="AA78" s="5">
        <v>1</v>
      </c>
      <c r="AB78" s="5">
        <v>1</v>
      </c>
      <c r="AC78" s="5">
        <v>1</v>
      </c>
      <c r="AD78" s="5">
        <v>1</v>
      </c>
      <c r="AE78" s="5">
        <v>0</v>
      </c>
      <c r="AF78" s="5">
        <v>0</v>
      </c>
      <c r="AG78" s="5">
        <v>1</v>
      </c>
      <c r="AH78" s="5">
        <v>0</v>
      </c>
      <c r="AI78" s="5">
        <v>0</v>
      </c>
      <c r="AJ78" s="5">
        <v>0</v>
      </c>
      <c r="AK78" s="5">
        <v>1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1</v>
      </c>
      <c r="AR78" s="5">
        <v>1</v>
      </c>
      <c r="AS78" s="7">
        <f t="shared" si="10"/>
        <v>8</v>
      </c>
      <c r="AT78" s="8">
        <f t="shared" si="11"/>
        <v>0.44444444444444442</v>
      </c>
      <c r="AU78" s="14" t="str">
        <f t="shared" si="14"/>
        <v>INTERMEDIÁRIO</v>
      </c>
      <c r="AV78" s="7">
        <f t="shared" si="12"/>
        <v>20</v>
      </c>
      <c r="AW78" s="8">
        <f t="shared" si="15"/>
        <v>0.55555555555555558</v>
      </c>
    </row>
    <row r="79" spans="1:49" ht="15.75" customHeight="1" x14ac:dyDescent="0.25">
      <c r="A79" s="5" t="s">
        <v>7</v>
      </c>
      <c r="B79" s="7" t="s">
        <v>1070</v>
      </c>
      <c r="C79" s="7" t="s">
        <v>1104</v>
      </c>
      <c r="D79" s="7" t="s">
        <v>1097</v>
      </c>
      <c r="E79" s="5" t="s">
        <v>785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1</v>
      </c>
      <c r="M79" s="5">
        <v>1</v>
      </c>
      <c r="N79" s="5">
        <v>1</v>
      </c>
      <c r="O79" s="5">
        <v>0</v>
      </c>
      <c r="P79" s="5">
        <v>0</v>
      </c>
      <c r="Q79" s="5">
        <v>0</v>
      </c>
      <c r="R79" s="5">
        <v>1</v>
      </c>
      <c r="S79" s="5">
        <v>1</v>
      </c>
      <c r="T79" s="5">
        <v>0</v>
      </c>
      <c r="U79" s="5">
        <v>0</v>
      </c>
      <c r="V79" s="5">
        <v>0</v>
      </c>
      <c r="W79" s="5">
        <v>0</v>
      </c>
      <c r="X79" s="7">
        <f t="shared" si="8"/>
        <v>6</v>
      </c>
      <c r="Y79" s="8">
        <f t="shared" si="9"/>
        <v>0.33333333333333337</v>
      </c>
      <c r="Z79" s="14" t="str">
        <f t="shared" si="13"/>
        <v>DEFASAGEM</v>
      </c>
      <c r="AA79" s="5">
        <v>1</v>
      </c>
      <c r="AB79" s="5">
        <v>1</v>
      </c>
      <c r="AC79" s="5">
        <v>0</v>
      </c>
      <c r="AD79" s="5">
        <v>1</v>
      </c>
      <c r="AE79" s="5">
        <v>0</v>
      </c>
      <c r="AF79" s="5">
        <v>0</v>
      </c>
      <c r="AG79" s="5">
        <v>0</v>
      </c>
      <c r="AH79" s="5">
        <v>1</v>
      </c>
      <c r="AI79" s="5">
        <v>1</v>
      </c>
      <c r="AJ79" s="5">
        <v>0</v>
      </c>
      <c r="AK79" s="5">
        <v>0</v>
      </c>
      <c r="AL79" s="5">
        <v>1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1</v>
      </c>
      <c r="AS79" s="7">
        <f t="shared" si="10"/>
        <v>7</v>
      </c>
      <c r="AT79" s="8">
        <f t="shared" si="11"/>
        <v>0.38888888888888884</v>
      </c>
      <c r="AU79" s="14" t="str">
        <f t="shared" si="14"/>
        <v>DEFASAGEM</v>
      </c>
      <c r="AV79" s="7">
        <f t="shared" si="12"/>
        <v>13</v>
      </c>
      <c r="AW79" s="8">
        <f t="shared" si="15"/>
        <v>0.36111111111111116</v>
      </c>
    </row>
    <row r="80" spans="1:49" ht="15.75" customHeight="1" x14ac:dyDescent="0.25">
      <c r="A80" s="5" t="s">
        <v>7</v>
      </c>
      <c r="B80" s="7" t="s">
        <v>1070</v>
      </c>
      <c r="C80" s="7" t="s">
        <v>1162</v>
      </c>
      <c r="D80" s="7" t="s">
        <v>1097</v>
      </c>
      <c r="E80" s="5" t="s">
        <v>786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1</v>
      </c>
      <c r="S80" s="5">
        <v>0</v>
      </c>
      <c r="T80" s="5">
        <v>0</v>
      </c>
      <c r="U80" s="5">
        <v>1</v>
      </c>
      <c r="V80" s="5">
        <v>0</v>
      </c>
      <c r="W80" s="5">
        <v>1</v>
      </c>
      <c r="X80" s="7">
        <f t="shared" si="8"/>
        <v>9</v>
      </c>
      <c r="Y80" s="8">
        <f t="shared" si="9"/>
        <v>0.5</v>
      </c>
      <c r="Z80" s="14" t="str">
        <f t="shared" si="13"/>
        <v>INTERMEDIÁRIO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0</v>
      </c>
      <c r="AG80" s="5">
        <v>0</v>
      </c>
      <c r="AH80" s="5">
        <v>0</v>
      </c>
      <c r="AI80" s="5">
        <v>1</v>
      </c>
      <c r="AJ80" s="5">
        <v>1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1</v>
      </c>
      <c r="AS80" s="7">
        <f t="shared" si="10"/>
        <v>8</v>
      </c>
      <c r="AT80" s="8">
        <f t="shared" si="11"/>
        <v>0.44444444444444442</v>
      </c>
      <c r="AU80" s="14" t="str">
        <f t="shared" si="14"/>
        <v>INTERMEDIÁRIO</v>
      </c>
      <c r="AV80" s="7">
        <f t="shared" si="12"/>
        <v>17</v>
      </c>
      <c r="AW80" s="8">
        <f t="shared" si="15"/>
        <v>0.47222222222222221</v>
      </c>
    </row>
    <row r="81" spans="1:49" ht="15.75" customHeight="1" x14ac:dyDescent="0.25">
      <c r="A81" s="5" t="s">
        <v>7</v>
      </c>
      <c r="B81" s="7" t="s">
        <v>1070</v>
      </c>
      <c r="C81" s="7" t="s">
        <v>1104</v>
      </c>
      <c r="D81" s="7" t="s">
        <v>1097</v>
      </c>
      <c r="E81" s="5" t="s">
        <v>787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0</v>
      </c>
      <c r="L81" s="5">
        <v>1</v>
      </c>
      <c r="M81" s="5">
        <v>1</v>
      </c>
      <c r="N81" s="5">
        <v>0</v>
      </c>
      <c r="O81" s="5">
        <v>0</v>
      </c>
      <c r="P81" s="5">
        <v>0</v>
      </c>
      <c r="Q81" s="5">
        <v>1</v>
      </c>
      <c r="R81" s="5">
        <v>1</v>
      </c>
      <c r="S81" s="5">
        <v>1</v>
      </c>
      <c r="T81" s="5">
        <v>1</v>
      </c>
      <c r="U81" s="5">
        <v>0</v>
      </c>
      <c r="V81" s="5">
        <v>1</v>
      </c>
      <c r="W81" s="5">
        <v>1</v>
      </c>
      <c r="X81" s="7">
        <f t="shared" si="8"/>
        <v>13</v>
      </c>
      <c r="Y81" s="8">
        <f t="shared" si="9"/>
        <v>0.72222222222222232</v>
      </c>
      <c r="Z81" s="14" t="str">
        <f t="shared" si="13"/>
        <v>ADEQUADA</v>
      </c>
      <c r="AA81" s="5">
        <v>1</v>
      </c>
      <c r="AB81" s="5">
        <v>1</v>
      </c>
      <c r="AC81" s="5">
        <v>1</v>
      </c>
      <c r="AD81" s="5">
        <v>1</v>
      </c>
      <c r="AE81" s="5">
        <v>0</v>
      </c>
      <c r="AF81" s="5">
        <v>1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1</v>
      </c>
      <c r="AM81" s="5">
        <v>0</v>
      </c>
      <c r="AN81" s="5">
        <v>0</v>
      </c>
      <c r="AO81" s="5">
        <v>0</v>
      </c>
      <c r="AP81" s="5">
        <v>0</v>
      </c>
      <c r="AQ81" s="5">
        <v>1</v>
      </c>
      <c r="AR81" s="5">
        <v>0</v>
      </c>
      <c r="AS81" s="7">
        <f t="shared" si="10"/>
        <v>7</v>
      </c>
      <c r="AT81" s="8">
        <f t="shared" si="11"/>
        <v>0.38888888888888884</v>
      </c>
      <c r="AU81" s="14" t="str">
        <f t="shared" si="14"/>
        <v>DEFASAGEM</v>
      </c>
      <c r="AV81" s="7">
        <f t="shared" si="12"/>
        <v>20</v>
      </c>
      <c r="AW81" s="8">
        <f t="shared" si="15"/>
        <v>0.55555555555555558</v>
      </c>
    </row>
    <row r="82" spans="1:49" ht="15.75" customHeight="1" x14ac:dyDescent="0.25">
      <c r="A82" s="5" t="s">
        <v>7</v>
      </c>
      <c r="B82" s="7" t="s">
        <v>1070</v>
      </c>
      <c r="C82" s="7" t="s">
        <v>1220</v>
      </c>
      <c r="D82" s="7" t="s">
        <v>1097</v>
      </c>
      <c r="E82" s="5" t="s">
        <v>788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7">
        <f t="shared" si="8"/>
        <v>14</v>
      </c>
      <c r="Y82" s="8">
        <f t="shared" si="9"/>
        <v>0.77777777777777768</v>
      </c>
      <c r="Z82" s="14" t="str">
        <f t="shared" si="13"/>
        <v>ADEQUADA</v>
      </c>
      <c r="AA82" s="5">
        <v>1</v>
      </c>
      <c r="AB82" s="5">
        <v>1</v>
      </c>
      <c r="AC82" s="5">
        <v>1</v>
      </c>
      <c r="AD82" s="5">
        <v>1</v>
      </c>
      <c r="AE82" s="5">
        <v>0</v>
      </c>
      <c r="AF82" s="5">
        <v>1</v>
      </c>
      <c r="AG82" s="5">
        <v>1</v>
      </c>
      <c r="AH82" s="5">
        <v>1</v>
      </c>
      <c r="AI82" s="5">
        <v>1</v>
      </c>
      <c r="AJ82" s="5">
        <v>0</v>
      </c>
      <c r="AK82" s="5">
        <v>1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1</v>
      </c>
      <c r="AR82" s="5">
        <v>1</v>
      </c>
      <c r="AS82" s="7">
        <f t="shared" si="10"/>
        <v>11</v>
      </c>
      <c r="AT82" s="8">
        <f t="shared" si="11"/>
        <v>0.61111111111111116</v>
      </c>
      <c r="AU82" s="14" t="str">
        <f t="shared" si="14"/>
        <v>INTERMEDIÁRIO</v>
      </c>
      <c r="AV82" s="7">
        <v>25</v>
      </c>
      <c r="AW82" s="8">
        <f t="shared" si="15"/>
        <v>0.69444444444444442</v>
      </c>
    </row>
    <row r="83" spans="1:49" ht="15.75" customHeight="1" x14ac:dyDescent="0.25">
      <c r="A83" s="5" t="s">
        <v>8</v>
      </c>
      <c r="B83" s="7" t="s">
        <v>1070</v>
      </c>
      <c r="C83" s="7" t="s">
        <v>1104</v>
      </c>
      <c r="D83" s="7" t="s">
        <v>1097</v>
      </c>
      <c r="E83" s="5" t="s">
        <v>789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0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7">
        <f t="shared" si="8"/>
        <v>17</v>
      </c>
      <c r="Y83" s="8">
        <f t="shared" si="9"/>
        <v>0.94444444444444442</v>
      </c>
      <c r="Z83" s="14" t="str">
        <f t="shared" si="13"/>
        <v>ADEQUADA</v>
      </c>
      <c r="AA83" s="5">
        <v>0</v>
      </c>
      <c r="AB83" s="5">
        <v>1</v>
      </c>
      <c r="AC83" s="5">
        <v>1</v>
      </c>
      <c r="AD83" s="5">
        <v>0</v>
      </c>
      <c r="AE83" s="5">
        <v>0</v>
      </c>
      <c r="AF83" s="5">
        <v>0</v>
      </c>
      <c r="AG83" s="5">
        <v>1</v>
      </c>
      <c r="AH83" s="5">
        <v>1</v>
      </c>
      <c r="AI83" s="5">
        <v>0</v>
      </c>
      <c r="AJ83" s="5">
        <v>1</v>
      </c>
      <c r="AK83" s="5">
        <v>1</v>
      </c>
      <c r="AL83" s="5">
        <v>0</v>
      </c>
      <c r="AM83" s="5">
        <v>1</v>
      </c>
      <c r="AN83" s="5">
        <v>0</v>
      </c>
      <c r="AO83" s="5">
        <v>1</v>
      </c>
      <c r="AP83" s="5">
        <v>0</v>
      </c>
      <c r="AQ83" s="5">
        <v>1</v>
      </c>
      <c r="AR83" s="5">
        <v>1</v>
      </c>
      <c r="AS83" s="7">
        <f t="shared" si="10"/>
        <v>10</v>
      </c>
      <c r="AT83" s="8">
        <f t="shared" si="11"/>
        <v>0.55555555555555558</v>
      </c>
      <c r="AU83" s="14" t="str">
        <f t="shared" si="14"/>
        <v>INTERMEDIÁRIO</v>
      </c>
      <c r="AV83" s="7">
        <f t="shared" ref="AV83:AV146" si="16">SUM(F83:W83)+(SUM(AA83:AR83))</f>
        <v>27</v>
      </c>
      <c r="AW83" s="8">
        <f t="shared" si="15"/>
        <v>0.75</v>
      </c>
    </row>
    <row r="84" spans="1:49" ht="15.75" customHeight="1" x14ac:dyDescent="0.25">
      <c r="A84" s="5" t="s">
        <v>8</v>
      </c>
      <c r="B84" s="7" t="s">
        <v>1070</v>
      </c>
      <c r="C84" s="7" t="s">
        <v>1162</v>
      </c>
      <c r="D84" s="7" t="s">
        <v>1097</v>
      </c>
      <c r="E84" s="5" t="s">
        <v>790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0</v>
      </c>
      <c r="N84" s="5">
        <v>1</v>
      </c>
      <c r="O84" s="5">
        <v>0</v>
      </c>
      <c r="P84" s="5">
        <v>1</v>
      </c>
      <c r="Q84" s="5">
        <v>0</v>
      </c>
      <c r="R84" s="5">
        <v>1</v>
      </c>
      <c r="S84" s="5">
        <v>0</v>
      </c>
      <c r="T84" s="5">
        <v>1</v>
      </c>
      <c r="U84" s="5">
        <v>1</v>
      </c>
      <c r="V84" s="5">
        <v>1</v>
      </c>
      <c r="W84" s="5">
        <v>1</v>
      </c>
      <c r="X84" s="7">
        <f t="shared" si="8"/>
        <v>14</v>
      </c>
      <c r="Y84" s="8">
        <f t="shared" si="9"/>
        <v>0.77777777777777768</v>
      </c>
      <c r="Z84" s="14" t="str">
        <f t="shared" si="13"/>
        <v>ADEQUADA</v>
      </c>
      <c r="AA84" s="5">
        <v>1</v>
      </c>
      <c r="AB84" s="5">
        <v>1</v>
      </c>
      <c r="AC84" s="5">
        <v>1</v>
      </c>
      <c r="AD84" s="5">
        <v>1</v>
      </c>
      <c r="AE84" s="5">
        <v>0</v>
      </c>
      <c r="AF84" s="5">
        <v>0</v>
      </c>
      <c r="AG84" s="5">
        <v>0</v>
      </c>
      <c r="AH84" s="5">
        <v>1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1</v>
      </c>
      <c r="AP84" s="5">
        <v>1</v>
      </c>
      <c r="AQ84" s="5">
        <v>1</v>
      </c>
      <c r="AR84" s="5">
        <v>1</v>
      </c>
      <c r="AS84" s="7">
        <f t="shared" si="10"/>
        <v>9</v>
      </c>
      <c r="AT84" s="8">
        <f t="shared" si="11"/>
        <v>0.5</v>
      </c>
      <c r="AU84" s="14" t="str">
        <f t="shared" si="14"/>
        <v>INTERMEDIÁRIO</v>
      </c>
      <c r="AV84" s="7">
        <f t="shared" si="16"/>
        <v>23</v>
      </c>
      <c r="AW84" s="8">
        <f t="shared" si="15"/>
        <v>0.63888888888888884</v>
      </c>
    </row>
    <row r="85" spans="1:49" ht="15.75" customHeight="1" x14ac:dyDescent="0.25">
      <c r="A85" s="5" t="s">
        <v>8</v>
      </c>
      <c r="B85" s="7" t="s">
        <v>1070</v>
      </c>
      <c r="C85" s="7" t="s">
        <v>1104</v>
      </c>
      <c r="D85" s="7" t="s">
        <v>1097</v>
      </c>
      <c r="E85" s="5" t="s">
        <v>791</v>
      </c>
      <c r="F85" s="5">
        <v>1</v>
      </c>
      <c r="G85" s="5">
        <v>1</v>
      </c>
      <c r="H85" s="5">
        <v>1</v>
      </c>
      <c r="I85" s="5">
        <v>1</v>
      </c>
      <c r="J85" s="5">
        <v>0</v>
      </c>
      <c r="K85" s="5">
        <v>1</v>
      </c>
      <c r="L85" s="5">
        <v>1</v>
      </c>
      <c r="M85" s="5">
        <v>1</v>
      </c>
      <c r="N85" s="5">
        <v>1</v>
      </c>
      <c r="O85" s="5">
        <v>0</v>
      </c>
      <c r="P85" s="5">
        <v>1</v>
      </c>
      <c r="Q85" s="5">
        <v>1</v>
      </c>
      <c r="R85" s="5">
        <v>0</v>
      </c>
      <c r="S85" s="5">
        <v>1</v>
      </c>
      <c r="T85" s="5">
        <v>0</v>
      </c>
      <c r="U85" s="5">
        <v>1</v>
      </c>
      <c r="V85" s="5">
        <v>1</v>
      </c>
      <c r="W85" s="5">
        <v>1</v>
      </c>
      <c r="X85" s="7">
        <f t="shared" si="8"/>
        <v>14</v>
      </c>
      <c r="Y85" s="8">
        <f t="shared" si="9"/>
        <v>0.77777777777777768</v>
      </c>
      <c r="Z85" s="14" t="str">
        <f t="shared" si="13"/>
        <v>ADEQUADA</v>
      </c>
      <c r="AA85" s="5">
        <v>1</v>
      </c>
      <c r="AB85" s="5">
        <v>0</v>
      </c>
      <c r="AC85" s="5">
        <v>0</v>
      </c>
      <c r="AD85" s="5">
        <v>1</v>
      </c>
      <c r="AE85" s="5">
        <v>0</v>
      </c>
      <c r="AF85" s="5">
        <v>0</v>
      </c>
      <c r="AG85" s="5">
        <v>0</v>
      </c>
      <c r="AH85" s="5">
        <v>1</v>
      </c>
      <c r="AI85" s="5">
        <v>0</v>
      </c>
      <c r="AJ85" s="5">
        <v>0</v>
      </c>
      <c r="AK85" s="5">
        <v>0</v>
      </c>
      <c r="AL85" s="5">
        <v>1</v>
      </c>
      <c r="AM85" s="5">
        <v>0</v>
      </c>
      <c r="AN85" s="5">
        <v>1</v>
      </c>
      <c r="AO85" s="5">
        <v>0</v>
      </c>
      <c r="AP85" s="5">
        <v>0</v>
      </c>
      <c r="AQ85" s="5">
        <v>1</v>
      </c>
      <c r="AR85" s="5">
        <v>1</v>
      </c>
      <c r="AS85" s="7">
        <f t="shared" si="10"/>
        <v>7</v>
      </c>
      <c r="AT85" s="8">
        <f t="shared" si="11"/>
        <v>0.38888888888888884</v>
      </c>
      <c r="AU85" s="14" t="str">
        <f t="shared" si="14"/>
        <v>DEFASAGEM</v>
      </c>
      <c r="AV85" s="7">
        <f t="shared" si="16"/>
        <v>21</v>
      </c>
      <c r="AW85" s="8">
        <f t="shared" si="15"/>
        <v>0.58333333333333337</v>
      </c>
    </row>
    <row r="86" spans="1:49" ht="15.75" customHeight="1" x14ac:dyDescent="0.25">
      <c r="A86" s="5" t="s">
        <v>8</v>
      </c>
      <c r="B86" s="7" t="s">
        <v>1070</v>
      </c>
      <c r="C86" s="7" t="s">
        <v>1162</v>
      </c>
      <c r="D86" s="7" t="s">
        <v>1097</v>
      </c>
      <c r="E86" s="5" t="s">
        <v>792</v>
      </c>
      <c r="F86" s="5">
        <v>1</v>
      </c>
      <c r="G86" s="5">
        <v>0</v>
      </c>
      <c r="H86" s="5">
        <v>1</v>
      </c>
      <c r="I86" s="5">
        <v>1</v>
      </c>
      <c r="J86" s="5">
        <v>1</v>
      </c>
      <c r="K86" s="5">
        <v>0</v>
      </c>
      <c r="L86" s="5">
        <v>1</v>
      </c>
      <c r="M86" s="5">
        <v>1</v>
      </c>
      <c r="N86" s="5">
        <v>1</v>
      </c>
      <c r="O86" s="5">
        <v>1</v>
      </c>
      <c r="P86" s="5">
        <v>0</v>
      </c>
      <c r="Q86" s="5">
        <v>1</v>
      </c>
      <c r="R86" s="5">
        <v>1</v>
      </c>
      <c r="S86" s="5">
        <v>0</v>
      </c>
      <c r="T86" s="5">
        <v>1</v>
      </c>
      <c r="U86" s="5">
        <v>1</v>
      </c>
      <c r="V86" s="5">
        <v>1</v>
      </c>
      <c r="W86" s="5">
        <v>1</v>
      </c>
      <c r="X86" s="7">
        <f t="shared" si="8"/>
        <v>14</v>
      </c>
      <c r="Y86" s="8">
        <f t="shared" si="9"/>
        <v>0.77777777777777768</v>
      </c>
      <c r="Z86" s="14" t="str">
        <f t="shared" si="13"/>
        <v>ADEQUADA</v>
      </c>
      <c r="AA86" s="5">
        <v>1</v>
      </c>
      <c r="AB86" s="5">
        <v>1</v>
      </c>
      <c r="AC86" s="5">
        <v>1</v>
      </c>
      <c r="AD86" s="5">
        <v>1</v>
      </c>
      <c r="AE86" s="5">
        <v>0</v>
      </c>
      <c r="AF86" s="5">
        <v>1</v>
      </c>
      <c r="AG86" s="5">
        <v>1</v>
      </c>
      <c r="AH86" s="5">
        <v>0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0</v>
      </c>
      <c r="AQ86" s="5">
        <v>0</v>
      </c>
      <c r="AR86" s="5">
        <v>1</v>
      </c>
      <c r="AS86" s="7">
        <f t="shared" si="10"/>
        <v>14</v>
      </c>
      <c r="AT86" s="8">
        <f t="shared" si="11"/>
        <v>0.77777777777777768</v>
      </c>
      <c r="AU86" s="14" t="str">
        <f t="shared" si="14"/>
        <v>ADEQUADA</v>
      </c>
      <c r="AV86" s="7">
        <f t="shared" si="16"/>
        <v>28</v>
      </c>
      <c r="AW86" s="8">
        <f t="shared" si="15"/>
        <v>0.77777777777777768</v>
      </c>
    </row>
    <row r="87" spans="1:49" ht="15.75" customHeight="1" x14ac:dyDescent="0.25">
      <c r="A87" s="5" t="s">
        <v>8</v>
      </c>
      <c r="B87" s="7" t="s">
        <v>1070</v>
      </c>
      <c r="C87" s="7" t="s">
        <v>1162</v>
      </c>
      <c r="D87" s="7" t="s">
        <v>1097</v>
      </c>
      <c r="E87" s="5" t="s">
        <v>793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0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7">
        <v>1</v>
      </c>
      <c r="Y87" s="8">
        <f t="shared" si="9"/>
        <v>5.5555555555555552E-2</v>
      </c>
      <c r="Z87" s="14" t="str">
        <f t="shared" si="13"/>
        <v>DEFASAGEM</v>
      </c>
      <c r="AA87" s="5">
        <v>1</v>
      </c>
      <c r="AB87" s="5">
        <v>1</v>
      </c>
      <c r="AC87" s="5">
        <v>1</v>
      </c>
      <c r="AD87" s="5">
        <v>0</v>
      </c>
      <c r="AE87" s="5">
        <v>0</v>
      </c>
      <c r="AF87" s="5">
        <v>0</v>
      </c>
      <c r="AG87" s="5">
        <v>1</v>
      </c>
      <c r="AH87" s="5">
        <v>1</v>
      </c>
      <c r="AI87" s="5">
        <v>0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0</v>
      </c>
      <c r="AP87" s="5">
        <v>0</v>
      </c>
      <c r="AQ87" s="5">
        <v>1</v>
      </c>
      <c r="AR87" s="5">
        <v>1</v>
      </c>
      <c r="AS87" s="7">
        <f t="shared" si="10"/>
        <v>12</v>
      </c>
      <c r="AT87" s="8">
        <f t="shared" si="11"/>
        <v>0.66666666666666674</v>
      </c>
      <c r="AU87" s="14" t="str">
        <f t="shared" si="14"/>
        <v>INTERMEDIÁRIO</v>
      </c>
      <c r="AV87" s="7">
        <f t="shared" si="16"/>
        <v>29</v>
      </c>
      <c r="AW87" s="8">
        <f t="shared" si="15"/>
        <v>0.80555555555555558</v>
      </c>
    </row>
    <row r="88" spans="1:49" ht="15.75" customHeight="1" x14ac:dyDescent="0.25">
      <c r="A88" s="5" t="s">
        <v>8</v>
      </c>
      <c r="B88" s="7" t="s">
        <v>1070</v>
      </c>
      <c r="C88" s="7" t="s">
        <v>1162</v>
      </c>
      <c r="D88" s="7" t="s">
        <v>1097</v>
      </c>
      <c r="E88" s="5" t="s">
        <v>794</v>
      </c>
      <c r="F88" s="5">
        <v>1</v>
      </c>
      <c r="G88" s="5">
        <v>0</v>
      </c>
      <c r="H88" s="5">
        <v>0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0</v>
      </c>
      <c r="Q88" s="5">
        <v>0</v>
      </c>
      <c r="R88" s="5">
        <v>1</v>
      </c>
      <c r="S88" s="5">
        <v>1</v>
      </c>
      <c r="T88" s="5">
        <v>0</v>
      </c>
      <c r="U88" s="5">
        <v>1</v>
      </c>
      <c r="V88" s="5">
        <v>1</v>
      </c>
      <c r="W88" s="5">
        <v>1</v>
      </c>
      <c r="X88" s="7">
        <f>SUM(F88:W88)</f>
        <v>13</v>
      </c>
      <c r="Y88" s="8">
        <f t="shared" si="9"/>
        <v>0.72222222222222232</v>
      </c>
      <c r="Z88" s="14" t="str">
        <f t="shared" si="13"/>
        <v>ADEQUADA</v>
      </c>
      <c r="AA88" s="5">
        <v>0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0</v>
      </c>
      <c r="AH88" s="5">
        <v>0</v>
      </c>
      <c r="AI88" s="5">
        <v>0</v>
      </c>
      <c r="AJ88" s="5">
        <v>1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1</v>
      </c>
      <c r="AR88" s="5">
        <v>1</v>
      </c>
      <c r="AS88" s="7">
        <f t="shared" si="10"/>
        <v>8</v>
      </c>
      <c r="AT88" s="8">
        <f t="shared" si="11"/>
        <v>0.44444444444444442</v>
      </c>
      <c r="AU88" s="14" t="str">
        <f t="shared" si="14"/>
        <v>INTERMEDIÁRIO</v>
      </c>
      <c r="AV88" s="7">
        <f t="shared" si="16"/>
        <v>21</v>
      </c>
      <c r="AW88" s="8">
        <f t="shared" si="15"/>
        <v>0.58333333333333337</v>
      </c>
    </row>
    <row r="89" spans="1:49" ht="15.75" customHeight="1" x14ac:dyDescent="0.25">
      <c r="A89" s="5" t="s">
        <v>8</v>
      </c>
      <c r="B89" s="7" t="s">
        <v>1070</v>
      </c>
      <c r="C89" s="7" t="s">
        <v>1104</v>
      </c>
      <c r="D89" s="7" t="s">
        <v>1097</v>
      </c>
      <c r="E89" s="5" t="s">
        <v>795</v>
      </c>
      <c r="F89" s="5">
        <v>1</v>
      </c>
      <c r="G89" s="5">
        <v>1</v>
      </c>
      <c r="H89" s="5">
        <v>0</v>
      </c>
      <c r="I89" s="5">
        <v>0</v>
      </c>
      <c r="J89" s="5">
        <v>1</v>
      </c>
      <c r="K89" s="5">
        <v>1</v>
      </c>
      <c r="L89" s="5">
        <v>0</v>
      </c>
      <c r="M89" s="5">
        <v>1</v>
      </c>
      <c r="N89" s="5">
        <v>1</v>
      </c>
      <c r="O89" s="5">
        <v>0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7">
        <f>SUM(F89:W89)</f>
        <v>14</v>
      </c>
      <c r="Y89" s="8">
        <f t="shared" si="9"/>
        <v>0.77777777777777768</v>
      </c>
      <c r="Z89" s="14" t="str">
        <f t="shared" si="13"/>
        <v>ADEQUADA</v>
      </c>
      <c r="AA89" s="5">
        <v>1</v>
      </c>
      <c r="AB89" s="5">
        <v>0</v>
      </c>
      <c r="AC89" s="5">
        <v>1</v>
      </c>
      <c r="AD89" s="5">
        <v>1</v>
      </c>
      <c r="AE89" s="5">
        <v>0</v>
      </c>
      <c r="AF89" s="5">
        <v>1</v>
      </c>
      <c r="AG89" s="5">
        <v>1</v>
      </c>
      <c r="AH89" s="5">
        <v>0</v>
      </c>
      <c r="AI89" s="5">
        <v>1</v>
      </c>
      <c r="AJ89" s="5">
        <v>1</v>
      </c>
      <c r="AK89" s="5">
        <v>1</v>
      </c>
      <c r="AL89" s="5">
        <v>0</v>
      </c>
      <c r="AM89" s="5">
        <v>0</v>
      </c>
      <c r="AN89" s="5">
        <v>1</v>
      </c>
      <c r="AO89" s="5">
        <v>0</v>
      </c>
      <c r="AP89" s="5">
        <v>1</v>
      </c>
      <c r="AQ89" s="5">
        <v>1</v>
      </c>
      <c r="AR89" s="5">
        <v>1</v>
      </c>
      <c r="AS89" s="7">
        <f t="shared" si="10"/>
        <v>12</v>
      </c>
      <c r="AT89" s="8">
        <f t="shared" si="11"/>
        <v>0.66666666666666674</v>
      </c>
      <c r="AU89" s="14" t="str">
        <f t="shared" si="14"/>
        <v>INTERMEDIÁRIO</v>
      </c>
      <c r="AV89" s="7">
        <f t="shared" si="16"/>
        <v>26</v>
      </c>
      <c r="AW89" s="8">
        <f t="shared" si="15"/>
        <v>0.72222222222222232</v>
      </c>
    </row>
    <row r="90" spans="1:49" ht="15.75" customHeight="1" x14ac:dyDescent="0.25">
      <c r="A90" s="5" t="s">
        <v>8</v>
      </c>
      <c r="B90" s="7" t="s">
        <v>1070</v>
      </c>
      <c r="C90" s="26" t="s">
        <v>1104</v>
      </c>
      <c r="D90" s="7" t="s">
        <v>1097</v>
      </c>
      <c r="E90" s="5" t="s">
        <v>796</v>
      </c>
      <c r="F90" s="5">
        <v>0</v>
      </c>
      <c r="G90" s="5">
        <v>1</v>
      </c>
      <c r="H90" s="5">
        <v>0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5">
        <v>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1</v>
      </c>
      <c r="V90" s="5">
        <v>0</v>
      </c>
      <c r="W90" s="5">
        <v>1</v>
      </c>
      <c r="X90" s="7">
        <f>SUM(F90:W90)</f>
        <v>5</v>
      </c>
      <c r="Y90" s="8">
        <f t="shared" si="9"/>
        <v>0.27777777777777779</v>
      </c>
      <c r="Z90" s="14" t="str">
        <f t="shared" si="13"/>
        <v>DEFASAGEM</v>
      </c>
      <c r="AA90" s="5">
        <v>1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1</v>
      </c>
      <c r="AK90" s="5">
        <v>1</v>
      </c>
      <c r="AL90" s="5">
        <v>0</v>
      </c>
      <c r="AM90" s="5">
        <v>0</v>
      </c>
      <c r="AN90" s="5">
        <v>0</v>
      </c>
      <c r="AO90" s="5">
        <v>1</v>
      </c>
      <c r="AP90" s="5">
        <v>0</v>
      </c>
      <c r="AQ90" s="5">
        <v>0</v>
      </c>
      <c r="AR90" s="5">
        <v>1</v>
      </c>
      <c r="AS90" s="7">
        <f t="shared" si="10"/>
        <v>5</v>
      </c>
      <c r="AT90" s="8">
        <f t="shared" si="11"/>
        <v>0.27777777777777779</v>
      </c>
      <c r="AU90" s="14" t="str">
        <f t="shared" si="14"/>
        <v>DEFASAGEM</v>
      </c>
      <c r="AV90" s="7">
        <f t="shared" si="16"/>
        <v>10</v>
      </c>
      <c r="AW90" s="8">
        <f t="shared" si="15"/>
        <v>0.27777777777777779</v>
      </c>
    </row>
    <row r="91" spans="1:49" ht="15.75" customHeight="1" x14ac:dyDescent="0.25">
      <c r="A91" s="5" t="s">
        <v>8</v>
      </c>
      <c r="B91" s="27" t="s">
        <v>1070</v>
      </c>
      <c r="C91" s="28" t="s">
        <v>1099</v>
      </c>
      <c r="D91" s="29" t="s">
        <v>1100</v>
      </c>
      <c r="E91" s="5" t="s">
        <v>1226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7">
        <v>0</v>
      </c>
      <c r="Y91" s="8">
        <f t="shared" si="9"/>
        <v>0</v>
      </c>
      <c r="Z91" s="14" t="str">
        <f t="shared" si="13"/>
        <v>DEFASAGEM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7">
        <v>0</v>
      </c>
      <c r="AT91" s="8">
        <v>0</v>
      </c>
      <c r="AU91" s="14" t="str">
        <f t="shared" si="14"/>
        <v>DEFASAGEM</v>
      </c>
      <c r="AV91" s="7">
        <f t="shared" si="16"/>
        <v>0</v>
      </c>
      <c r="AW91" s="8">
        <f t="shared" si="15"/>
        <v>0</v>
      </c>
    </row>
    <row r="92" spans="1:49" ht="15.75" customHeight="1" x14ac:dyDescent="0.25">
      <c r="A92" s="5" t="s">
        <v>8</v>
      </c>
      <c r="B92" s="7" t="s">
        <v>1070</v>
      </c>
      <c r="C92" s="30" t="s">
        <v>1104</v>
      </c>
      <c r="D92" s="7" t="s">
        <v>1097</v>
      </c>
      <c r="E92" s="5" t="s">
        <v>797</v>
      </c>
      <c r="F92" s="5">
        <v>1</v>
      </c>
      <c r="G92" s="5">
        <v>0</v>
      </c>
      <c r="H92" s="5">
        <v>1</v>
      </c>
      <c r="I92" s="5">
        <v>0</v>
      </c>
      <c r="J92" s="5">
        <v>0</v>
      </c>
      <c r="K92" s="5">
        <v>0</v>
      </c>
      <c r="L92" s="5">
        <v>1</v>
      </c>
      <c r="M92" s="5">
        <v>1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>
        <v>1</v>
      </c>
      <c r="V92" s="5">
        <v>1</v>
      </c>
      <c r="W92" s="5">
        <v>0</v>
      </c>
      <c r="X92" s="7">
        <f t="shared" ref="X92:X98" si="17">SUM(F92:W92)</f>
        <v>8</v>
      </c>
      <c r="Y92" s="8">
        <f t="shared" si="9"/>
        <v>0.44444444444444442</v>
      </c>
      <c r="Z92" s="14" t="str">
        <f t="shared" si="13"/>
        <v>INTERMEDIÁRIO</v>
      </c>
      <c r="AA92" s="5">
        <v>1</v>
      </c>
      <c r="AB92" s="5">
        <v>1</v>
      </c>
      <c r="AC92" s="5">
        <v>0</v>
      </c>
      <c r="AD92" s="5">
        <v>1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1</v>
      </c>
      <c r="AK92" s="5">
        <v>0</v>
      </c>
      <c r="AL92" s="5">
        <v>1</v>
      </c>
      <c r="AM92" s="5">
        <v>0</v>
      </c>
      <c r="AN92" s="5">
        <v>1</v>
      </c>
      <c r="AO92" s="5">
        <v>0</v>
      </c>
      <c r="AP92" s="5">
        <v>0</v>
      </c>
      <c r="AQ92" s="5">
        <v>1</v>
      </c>
      <c r="AR92" s="5">
        <v>1</v>
      </c>
      <c r="AS92" s="7">
        <f t="shared" ref="AS92:AS98" si="18">SUM(AA92:AR92)</f>
        <v>8</v>
      </c>
      <c r="AT92" s="8">
        <f t="shared" ref="AT92:AT155" si="19">((AS92*100)/18)/100</f>
        <v>0.44444444444444442</v>
      </c>
      <c r="AU92" s="14" t="str">
        <f t="shared" si="14"/>
        <v>INTERMEDIÁRIO</v>
      </c>
      <c r="AV92" s="7">
        <f t="shared" si="16"/>
        <v>16</v>
      </c>
      <c r="AW92" s="8">
        <f t="shared" si="15"/>
        <v>0.44444444444444442</v>
      </c>
    </row>
    <row r="93" spans="1:49" ht="15.75" customHeight="1" x14ac:dyDescent="0.25">
      <c r="A93" s="5" t="s">
        <v>8</v>
      </c>
      <c r="B93" s="7" t="s">
        <v>1070</v>
      </c>
      <c r="C93" s="7" t="s">
        <v>1104</v>
      </c>
      <c r="D93" s="7" t="s">
        <v>1097</v>
      </c>
      <c r="E93" s="5" t="s">
        <v>798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0</v>
      </c>
      <c r="L93" s="5">
        <v>0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7">
        <f t="shared" si="17"/>
        <v>16</v>
      </c>
      <c r="Y93" s="8">
        <f t="shared" si="9"/>
        <v>0.88888888888888884</v>
      </c>
      <c r="Z93" s="14" t="str">
        <f t="shared" si="13"/>
        <v>ADEQUADA</v>
      </c>
      <c r="AA93" s="5">
        <v>1</v>
      </c>
      <c r="AB93" s="5">
        <v>1</v>
      </c>
      <c r="AC93" s="5">
        <v>0</v>
      </c>
      <c r="AD93" s="5">
        <v>1</v>
      </c>
      <c r="AE93" s="5">
        <v>0</v>
      </c>
      <c r="AF93" s="5">
        <v>0</v>
      </c>
      <c r="AG93" s="5">
        <v>1</v>
      </c>
      <c r="AH93" s="5">
        <v>0</v>
      </c>
      <c r="AI93" s="5">
        <v>0</v>
      </c>
      <c r="AJ93" s="5">
        <v>1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1</v>
      </c>
      <c r="AS93" s="7">
        <f t="shared" si="18"/>
        <v>6</v>
      </c>
      <c r="AT93" s="8">
        <f t="shared" si="19"/>
        <v>0.33333333333333337</v>
      </c>
      <c r="AU93" s="14" t="str">
        <f t="shared" si="14"/>
        <v>DEFASAGEM</v>
      </c>
      <c r="AV93" s="7">
        <f t="shared" si="16"/>
        <v>22</v>
      </c>
      <c r="AW93" s="8">
        <f t="shared" si="15"/>
        <v>0.61111111111111116</v>
      </c>
    </row>
    <row r="94" spans="1:49" ht="15.75" customHeight="1" x14ac:dyDescent="0.25">
      <c r="A94" s="5" t="s">
        <v>8</v>
      </c>
      <c r="B94" s="7" t="s">
        <v>1227</v>
      </c>
      <c r="C94" s="7" t="s">
        <v>1220</v>
      </c>
      <c r="D94" s="7" t="s">
        <v>1097</v>
      </c>
      <c r="E94" s="5" t="s">
        <v>1035</v>
      </c>
      <c r="F94" s="5">
        <v>1</v>
      </c>
      <c r="G94" s="5">
        <v>1</v>
      </c>
      <c r="H94" s="5">
        <v>1</v>
      </c>
      <c r="I94" s="5">
        <v>0</v>
      </c>
      <c r="J94" s="5">
        <v>0</v>
      </c>
      <c r="K94" s="5">
        <v>1</v>
      </c>
      <c r="L94" s="5">
        <v>1</v>
      </c>
      <c r="M94" s="5">
        <v>0</v>
      </c>
      <c r="N94" s="5">
        <v>1</v>
      </c>
      <c r="O94" s="5">
        <v>0</v>
      </c>
      <c r="P94" s="5">
        <v>1</v>
      </c>
      <c r="Q94" s="5">
        <v>0</v>
      </c>
      <c r="R94" s="5">
        <v>1</v>
      </c>
      <c r="S94" s="5">
        <v>0</v>
      </c>
      <c r="T94" s="5">
        <v>0</v>
      </c>
      <c r="U94" s="5">
        <v>1</v>
      </c>
      <c r="V94" s="5">
        <v>1</v>
      </c>
      <c r="W94" s="5">
        <v>1</v>
      </c>
      <c r="X94" s="7">
        <f t="shared" si="17"/>
        <v>11</v>
      </c>
      <c r="Y94" s="8">
        <f t="shared" si="9"/>
        <v>0.61111111111111116</v>
      </c>
      <c r="Z94" s="14" t="str">
        <f t="shared" si="13"/>
        <v>INTERMEDIÁRIO</v>
      </c>
      <c r="AA94" s="5">
        <v>1</v>
      </c>
      <c r="AB94" s="5">
        <v>1</v>
      </c>
      <c r="AC94" s="5">
        <v>1</v>
      </c>
      <c r="AD94" s="5">
        <v>1</v>
      </c>
      <c r="AE94" s="5">
        <v>0</v>
      </c>
      <c r="AF94" s="5">
        <v>0</v>
      </c>
      <c r="AG94" s="5">
        <v>0</v>
      </c>
      <c r="AH94" s="5">
        <v>0</v>
      </c>
      <c r="AI94" s="5">
        <v>1</v>
      </c>
      <c r="AJ94" s="5">
        <v>0</v>
      </c>
      <c r="AK94" s="5">
        <v>1</v>
      </c>
      <c r="AL94" s="5">
        <v>0</v>
      </c>
      <c r="AM94" s="5">
        <v>0</v>
      </c>
      <c r="AN94" s="5">
        <v>0</v>
      </c>
      <c r="AO94" s="5">
        <v>1</v>
      </c>
      <c r="AP94" s="5">
        <v>0</v>
      </c>
      <c r="AQ94" s="5">
        <v>1</v>
      </c>
      <c r="AR94" s="5">
        <v>0</v>
      </c>
      <c r="AS94" s="7">
        <f t="shared" si="18"/>
        <v>8</v>
      </c>
      <c r="AT94" s="8">
        <f t="shared" si="19"/>
        <v>0.44444444444444442</v>
      </c>
      <c r="AU94" s="14" t="str">
        <f t="shared" si="14"/>
        <v>INTERMEDIÁRIO</v>
      </c>
      <c r="AV94" s="7">
        <f t="shared" si="16"/>
        <v>19</v>
      </c>
      <c r="AW94" s="8">
        <f t="shared" si="15"/>
        <v>0.52777777777777779</v>
      </c>
    </row>
    <row r="95" spans="1:49" ht="15.75" customHeight="1" x14ac:dyDescent="0.25">
      <c r="A95" s="5" t="s">
        <v>8</v>
      </c>
      <c r="B95" s="7" t="s">
        <v>1070</v>
      </c>
      <c r="C95" s="7" t="s">
        <v>1104</v>
      </c>
      <c r="D95" s="7" t="s">
        <v>1097</v>
      </c>
      <c r="E95" s="5" t="s">
        <v>799</v>
      </c>
      <c r="F95" s="5">
        <v>0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0</v>
      </c>
      <c r="W95" s="5">
        <v>1</v>
      </c>
      <c r="X95" s="7">
        <f t="shared" si="17"/>
        <v>16</v>
      </c>
      <c r="Y95" s="8">
        <f t="shared" si="9"/>
        <v>0.88888888888888884</v>
      </c>
      <c r="Z95" s="14" t="str">
        <f t="shared" si="13"/>
        <v>ADEQUADA</v>
      </c>
      <c r="AA95" s="5">
        <v>1</v>
      </c>
      <c r="AB95" s="5">
        <v>1</v>
      </c>
      <c r="AC95" s="5">
        <v>1</v>
      </c>
      <c r="AD95" s="5">
        <v>0</v>
      </c>
      <c r="AE95" s="5">
        <v>0</v>
      </c>
      <c r="AF95" s="5">
        <v>1</v>
      </c>
      <c r="AG95" s="5">
        <v>1</v>
      </c>
      <c r="AH95" s="5">
        <v>1</v>
      </c>
      <c r="AI95" s="5">
        <v>0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7">
        <f t="shared" si="18"/>
        <v>15</v>
      </c>
      <c r="AT95" s="8">
        <f t="shared" si="19"/>
        <v>0.83333333333333326</v>
      </c>
      <c r="AU95" s="14" t="str">
        <f t="shared" si="14"/>
        <v>ADEQUADA</v>
      </c>
      <c r="AV95" s="7">
        <f t="shared" si="16"/>
        <v>31</v>
      </c>
      <c r="AW95" s="8">
        <f t="shared" si="15"/>
        <v>0.86111111111111116</v>
      </c>
    </row>
    <row r="96" spans="1:49" ht="15.75" customHeight="1" x14ac:dyDescent="0.25">
      <c r="A96" s="5" t="s">
        <v>8</v>
      </c>
      <c r="B96" s="7" t="s">
        <v>1070</v>
      </c>
      <c r="C96" s="7" t="s">
        <v>1104</v>
      </c>
      <c r="D96" s="7" t="s">
        <v>1097</v>
      </c>
      <c r="E96" s="5" t="s">
        <v>800</v>
      </c>
      <c r="F96" s="5">
        <v>1</v>
      </c>
      <c r="G96" s="5">
        <v>1</v>
      </c>
      <c r="H96" s="5">
        <v>0</v>
      </c>
      <c r="I96" s="5">
        <v>1</v>
      </c>
      <c r="J96" s="5">
        <v>1</v>
      </c>
      <c r="K96" s="5">
        <v>1</v>
      </c>
      <c r="L96" s="5">
        <v>0</v>
      </c>
      <c r="M96" s="5">
        <v>0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7">
        <f t="shared" si="17"/>
        <v>15</v>
      </c>
      <c r="Y96" s="8">
        <f t="shared" si="9"/>
        <v>0.83333333333333326</v>
      </c>
      <c r="Z96" s="14" t="str">
        <f t="shared" si="13"/>
        <v>ADEQUADA</v>
      </c>
      <c r="AA96" s="5">
        <v>1</v>
      </c>
      <c r="AB96" s="5">
        <v>1</v>
      </c>
      <c r="AC96" s="5">
        <v>1</v>
      </c>
      <c r="AD96" s="5">
        <v>1</v>
      </c>
      <c r="AE96" s="5">
        <v>0</v>
      </c>
      <c r="AF96" s="5">
        <v>1</v>
      </c>
      <c r="AG96" s="5">
        <v>1</v>
      </c>
      <c r="AH96" s="5">
        <v>1</v>
      </c>
      <c r="AI96" s="5">
        <v>0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0</v>
      </c>
      <c r="AQ96" s="5">
        <v>0</v>
      </c>
      <c r="AR96" s="5">
        <v>1</v>
      </c>
      <c r="AS96" s="7">
        <f t="shared" si="18"/>
        <v>14</v>
      </c>
      <c r="AT96" s="8">
        <f t="shared" si="19"/>
        <v>0.77777777777777768</v>
      </c>
      <c r="AU96" s="14" t="str">
        <f t="shared" si="14"/>
        <v>ADEQUADA</v>
      </c>
      <c r="AV96" s="7">
        <f t="shared" si="16"/>
        <v>29</v>
      </c>
      <c r="AW96" s="8">
        <f t="shared" si="15"/>
        <v>0.80555555555555558</v>
      </c>
    </row>
    <row r="97" spans="1:49" ht="15.75" customHeight="1" x14ac:dyDescent="0.25">
      <c r="A97" s="5" t="s">
        <v>8</v>
      </c>
      <c r="B97" s="7" t="s">
        <v>1070</v>
      </c>
      <c r="C97" s="7" t="s">
        <v>1162</v>
      </c>
      <c r="D97" s="7" t="s">
        <v>1097</v>
      </c>
      <c r="E97" s="5" t="s">
        <v>801</v>
      </c>
      <c r="F97" s="5">
        <v>1</v>
      </c>
      <c r="G97" s="5">
        <v>1</v>
      </c>
      <c r="H97" s="5">
        <v>1</v>
      </c>
      <c r="I97" s="5">
        <v>0</v>
      </c>
      <c r="J97" s="5">
        <v>1</v>
      </c>
      <c r="K97" s="5">
        <v>1</v>
      </c>
      <c r="L97" s="5">
        <v>0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0</v>
      </c>
      <c r="T97" s="5">
        <v>1</v>
      </c>
      <c r="U97" s="5">
        <v>1</v>
      </c>
      <c r="V97" s="5">
        <v>1</v>
      </c>
      <c r="W97" s="5">
        <v>1</v>
      </c>
      <c r="X97" s="7">
        <f t="shared" si="17"/>
        <v>15</v>
      </c>
      <c r="Y97" s="8">
        <f t="shared" si="9"/>
        <v>0.83333333333333326</v>
      </c>
      <c r="Z97" s="14" t="str">
        <f t="shared" si="13"/>
        <v>ADEQUADA</v>
      </c>
      <c r="AA97" s="5">
        <v>1</v>
      </c>
      <c r="AB97" s="5">
        <v>1</v>
      </c>
      <c r="AC97" s="5">
        <v>0</v>
      </c>
      <c r="AD97" s="5">
        <v>1</v>
      </c>
      <c r="AE97" s="5">
        <v>0</v>
      </c>
      <c r="AF97" s="5">
        <v>0</v>
      </c>
      <c r="AG97" s="5">
        <v>1</v>
      </c>
      <c r="AH97" s="5">
        <v>1</v>
      </c>
      <c r="AI97" s="5">
        <v>0</v>
      </c>
      <c r="AJ97" s="5">
        <v>1</v>
      </c>
      <c r="AK97" s="5">
        <v>1</v>
      </c>
      <c r="AL97" s="5">
        <v>0</v>
      </c>
      <c r="AM97" s="5">
        <v>1</v>
      </c>
      <c r="AN97" s="5">
        <v>0</v>
      </c>
      <c r="AO97" s="5">
        <v>0</v>
      </c>
      <c r="AP97" s="5">
        <v>0</v>
      </c>
      <c r="AQ97" s="5">
        <v>1</v>
      </c>
      <c r="AR97" s="5">
        <v>1</v>
      </c>
      <c r="AS97" s="7">
        <f t="shared" si="18"/>
        <v>10</v>
      </c>
      <c r="AT97" s="8">
        <f t="shared" si="19"/>
        <v>0.55555555555555558</v>
      </c>
      <c r="AU97" s="14" t="str">
        <f t="shared" si="14"/>
        <v>INTERMEDIÁRIO</v>
      </c>
      <c r="AV97" s="7">
        <f t="shared" si="16"/>
        <v>25</v>
      </c>
      <c r="AW97" s="8">
        <f t="shared" si="15"/>
        <v>0.69444444444444442</v>
      </c>
    </row>
    <row r="98" spans="1:49" ht="15.75" customHeight="1" x14ac:dyDescent="0.25">
      <c r="A98" s="5" t="s">
        <v>8</v>
      </c>
      <c r="B98" s="7" t="s">
        <v>1070</v>
      </c>
      <c r="C98" s="26" t="s">
        <v>1162</v>
      </c>
      <c r="D98" s="7" t="s">
        <v>1097</v>
      </c>
      <c r="E98" s="5" t="s">
        <v>1228</v>
      </c>
      <c r="F98" s="5">
        <v>0</v>
      </c>
      <c r="G98" s="5">
        <v>0</v>
      </c>
      <c r="H98" s="5">
        <v>0</v>
      </c>
      <c r="I98" s="5">
        <v>0</v>
      </c>
      <c r="J98" s="5">
        <v>1</v>
      </c>
      <c r="K98" s="5">
        <v>0</v>
      </c>
      <c r="L98" s="5">
        <v>1</v>
      </c>
      <c r="M98" s="5">
        <v>1</v>
      </c>
      <c r="N98" s="5">
        <v>0</v>
      </c>
      <c r="O98" s="5">
        <v>1</v>
      </c>
      <c r="P98" s="5">
        <v>0</v>
      </c>
      <c r="Q98" s="5">
        <v>1</v>
      </c>
      <c r="R98" s="5">
        <v>0</v>
      </c>
      <c r="S98" s="5">
        <v>0</v>
      </c>
      <c r="T98" s="5">
        <v>1</v>
      </c>
      <c r="U98" s="5">
        <v>1</v>
      </c>
      <c r="V98" s="5">
        <v>0</v>
      </c>
      <c r="W98" s="5">
        <v>0</v>
      </c>
      <c r="X98" s="7">
        <f t="shared" si="17"/>
        <v>7</v>
      </c>
      <c r="Y98" s="8">
        <f t="shared" si="9"/>
        <v>0.38888888888888884</v>
      </c>
      <c r="Z98" s="14" t="str">
        <f t="shared" si="13"/>
        <v>DEFASAGEM</v>
      </c>
      <c r="AA98" s="5">
        <v>0</v>
      </c>
      <c r="AB98" s="5">
        <v>1</v>
      </c>
      <c r="AC98" s="5">
        <v>0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1</v>
      </c>
      <c r="AL98" s="5">
        <v>1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7">
        <f t="shared" si="18"/>
        <v>4</v>
      </c>
      <c r="AT98" s="8">
        <f t="shared" si="19"/>
        <v>0.22222222222222221</v>
      </c>
      <c r="AU98" s="14" t="str">
        <f t="shared" si="14"/>
        <v>DEFASAGEM</v>
      </c>
      <c r="AV98" s="7">
        <f t="shared" si="16"/>
        <v>11</v>
      </c>
      <c r="AW98" s="8">
        <f t="shared" si="15"/>
        <v>0.30555555555555558</v>
      </c>
    </row>
    <row r="99" spans="1:49" ht="15.75" customHeight="1" x14ac:dyDescent="0.25">
      <c r="A99" s="5" t="s">
        <v>8</v>
      </c>
      <c r="B99" s="27" t="s">
        <v>1070</v>
      </c>
      <c r="C99" s="28" t="s">
        <v>1099</v>
      </c>
      <c r="D99" s="29" t="s">
        <v>1100</v>
      </c>
      <c r="E99" s="5" t="s">
        <v>1229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7">
        <v>0</v>
      </c>
      <c r="Y99" s="8">
        <v>0</v>
      </c>
      <c r="Z99" s="31" t="str">
        <f t="shared" si="13"/>
        <v>DEFASAGEM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7">
        <v>0</v>
      </c>
      <c r="AT99" s="8">
        <f t="shared" si="19"/>
        <v>0</v>
      </c>
      <c r="AU99" s="14" t="str">
        <f t="shared" si="14"/>
        <v>DEFASAGEM</v>
      </c>
      <c r="AV99" s="7">
        <f t="shared" si="16"/>
        <v>0</v>
      </c>
      <c r="AW99" s="8">
        <f t="shared" si="15"/>
        <v>0</v>
      </c>
    </row>
    <row r="100" spans="1:49" ht="15.75" customHeight="1" x14ac:dyDescent="0.25">
      <c r="A100" s="5" t="s">
        <v>8</v>
      </c>
      <c r="B100" s="7" t="s">
        <v>1070</v>
      </c>
      <c r="C100" s="30" t="s">
        <v>1162</v>
      </c>
      <c r="D100" s="7" t="s">
        <v>1097</v>
      </c>
      <c r="E100" s="5" t="s">
        <v>802</v>
      </c>
      <c r="F100" s="5">
        <v>1</v>
      </c>
      <c r="G100" s="5">
        <v>0</v>
      </c>
      <c r="H100" s="5">
        <v>1</v>
      </c>
      <c r="I100" s="5">
        <v>0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0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0</v>
      </c>
      <c r="W100" s="5">
        <v>0</v>
      </c>
      <c r="X100" s="7">
        <f t="shared" ref="X100:X105" si="20">SUM(F100:W100)</f>
        <v>13</v>
      </c>
      <c r="Y100" s="8">
        <f t="shared" ref="Y100:Y163" si="21">((X100*100)/18)/100</f>
        <v>0.72222222222222232</v>
      </c>
      <c r="Z100" s="14" t="str">
        <f t="shared" si="13"/>
        <v>ADEQUADA</v>
      </c>
      <c r="AA100" s="5">
        <v>0</v>
      </c>
      <c r="AB100" s="5">
        <v>1</v>
      </c>
      <c r="AC100" s="5">
        <v>1</v>
      </c>
      <c r="AD100" s="5">
        <v>1</v>
      </c>
      <c r="AE100" s="5">
        <v>1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1</v>
      </c>
      <c r="AL100" s="5">
        <v>1</v>
      </c>
      <c r="AM100" s="5">
        <v>0</v>
      </c>
      <c r="AN100" s="5">
        <v>1</v>
      </c>
      <c r="AO100" s="5">
        <v>0</v>
      </c>
      <c r="AP100" s="5">
        <v>0</v>
      </c>
      <c r="AQ100" s="5">
        <v>0</v>
      </c>
      <c r="AR100" s="5">
        <v>1</v>
      </c>
      <c r="AS100" s="7">
        <f t="shared" ref="AS100:AS105" si="22">SUM(AA100:AR100)</f>
        <v>8</v>
      </c>
      <c r="AT100" s="8">
        <f t="shared" si="19"/>
        <v>0.44444444444444442</v>
      </c>
      <c r="AU100" s="14" t="str">
        <f t="shared" si="14"/>
        <v>INTERMEDIÁRIO</v>
      </c>
      <c r="AV100" s="7">
        <f t="shared" si="16"/>
        <v>21</v>
      </c>
      <c r="AW100" s="8">
        <f t="shared" si="15"/>
        <v>0.58333333333333337</v>
      </c>
    </row>
    <row r="101" spans="1:49" ht="15.75" customHeight="1" x14ac:dyDescent="0.25">
      <c r="A101" s="5" t="s">
        <v>8</v>
      </c>
      <c r="B101" s="7" t="s">
        <v>1070</v>
      </c>
      <c r="C101" s="7" t="s">
        <v>1162</v>
      </c>
      <c r="D101" s="7" t="s">
        <v>1097</v>
      </c>
      <c r="E101" s="5" t="s">
        <v>803</v>
      </c>
      <c r="F101" s="5">
        <v>0</v>
      </c>
      <c r="G101" s="5">
        <v>1</v>
      </c>
      <c r="H101" s="5">
        <v>1</v>
      </c>
      <c r="I101" s="5">
        <v>1</v>
      </c>
      <c r="J101" s="5">
        <v>0</v>
      </c>
      <c r="K101" s="5">
        <v>1</v>
      </c>
      <c r="L101" s="5">
        <v>0</v>
      </c>
      <c r="M101" s="5">
        <v>0</v>
      </c>
      <c r="N101" s="5">
        <v>1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5">
        <v>1</v>
      </c>
      <c r="U101" s="5">
        <v>1</v>
      </c>
      <c r="V101" s="5">
        <v>0</v>
      </c>
      <c r="W101" s="5">
        <v>0</v>
      </c>
      <c r="X101" s="7">
        <f t="shared" si="20"/>
        <v>8</v>
      </c>
      <c r="Y101" s="8">
        <f t="shared" si="21"/>
        <v>0.44444444444444442</v>
      </c>
      <c r="Z101" s="14" t="str">
        <f t="shared" si="13"/>
        <v>INTERMEDIÁRIO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1</v>
      </c>
      <c r="AM101" s="5">
        <v>1</v>
      </c>
      <c r="AN101" s="5">
        <v>0</v>
      </c>
      <c r="AO101" s="5">
        <v>0</v>
      </c>
      <c r="AP101" s="5">
        <v>0</v>
      </c>
      <c r="AQ101" s="5">
        <v>1</v>
      </c>
      <c r="AR101" s="5">
        <v>0</v>
      </c>
      <c r="AS101" s="7">
        <f t="shared" si="22"/>
        <v>3</v>
      </c>
      <c r="AT101" s="8">
        <f t="shared" si="19"/>
        <v>0.16666666666666669</v>
      </c>
      <c r="AU101" s="14" t="str">
        <f t="shared" si="14"/>
        <v>DEFASAGEM</v>
      </c>
      <c r="AV101" s="7">
        <f t="shared" si="16"/>
        <v>11</v>
      </c>
      <c r="AW101" s="8">
        <f t="shared" si="15"/>
        <v>0.30555555555555558</v>
      </c>
    </row>
    <row r="102" spans="1:49" ht="15.75" customHeight="1" x14ac:dyDescent="0.25">
      <c r="A102" s="5" t="s">
        <v>8</v>
      </c>
      <c r="B102" s="7" t="s">
        <v>1070</v>
      </c>
      <c r="C102" s="7" t="s">
        <v>1104</v>
      </c>
      <c r="D102" s="7" t="s">
        <v>1097</v>
      </c>
      <c r="E102" s="5" t="s">
        <v>804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0</v>
      </c>
      <c r="N102" s="5">
        <v>1</v>
      </c>
      <c r="O102" s="5">
        <v>0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7">
        <f t="shared" si="20"/>
        <v>16</v>
      </c>
      <c r="Y102" s="8">
        <f t="shared" si="21"/>
        <v>0.88888888888888884</v>
      </c>
      <c r="Z102" s="14" t="str">
        <f t="shared" si="13"/>
        <v>ADEQUADA</v>
      </c>
      <c r="AA102" s="5">
        <v>1</v>
      </c>
      <c r="AB102" s="5">
        <v>1</v>
      </c>
      <c r="AC102" s="5">
        <v>1</v>
      </c>
      <c r="AD102" s="5">
        <v>0</v>
      </c>
      <c r="AE102" s="5">
        <v>1</v>
      </c>
      <c r="AF102" s="5">
        <v>0</v>
      </c>
      <c r="AG102" s="5">
        <v>1</v>
      </c>
      <c r="AH102" s="5">
        <v>1</v>
      </c>
      <c r="AI102" s="5">
        <v>0</v>
      </c>
      <c r="AJ102" s="5">
        <v>0</v>
      </c>
      <c r="AK102" s="5">
        <v>1</v>
      </c>
      <c r="AL102" s="5">
        <v>0</v>
      </c>
      <c r="AM102" s="5">
        <v>1</v>
      </c>
      <c r="AN102" s="5">
        <v>1</v>
      </c>
      <c r="AO102" s="5">
        <v>1</v>
      </c>
      <c r="AP102" s="5">
        <v>0</v>
      </c>
      <c r="AQ102" s="5">
        <v>1</v>
      </c>
      <c r="AR102" s="5">
        <v>1</v>
      </c>
      <c r="AS102" s="7">
        <f t="shared" si="22"/>
        <v>12</v>
      </c>
      <c r="AT102" s="8">
        <f t="shared" si="19"/>
        <v>0.66666666666666674</v>
      </c>
      <c r="AU102" s="14" t="str">
        <f t="shared" si="14"/>
        <v>INTERMEDIÁRIO</v>
      </c>
      <c r="AV102" s="7">
        <f t="shared" si="16"/>
        <v>28</v>
      </c>
      <c r="AW102" s="8">
        <f t="shared" si="15"/>
        <v>0.77777777777777768</v>
      </c>
    </row>
    <row r="103" spans="1:49" ht="15.75" customHeight="1" x14ac:dyDescent="0.25">
      <c r="A103" s="5" t="s">
        <v>9</v>
      </c>
      <c r="B103" s="7" t="s">
        <v>1070</v>
      </c>
      <c r="C103" s="7" t="s">
        <v>1162</v>
      </c>
      <c r="D103" s="7" t="s">
        <v>1097</v>
      </c>
      <c r="E103" s="5" t="s">
        <v>805</v>
      </c>
      <c r="F103" s="5">
        <v>1</v>
      </c>
      <c r="G103" s="5">
        <v>0</v>
      </c>
      <c r="H103" s="5">
        <v>1</v>
      </c>
      <c r="I103" s="5">
        <v>0</v>
      </c>
      <c r="J103" s="5">
        <v>1</v>
      </c>
      <c r="K103" s="5">
        <v>1</v>
      </c>
      <c r="L103" s="5">
        <v>1</v>
      </c>
      <c r="M103" s="5">
        <v>0</v>
      </c>
      <c r="N103" s="5">
        <v>0</v>
      </c>
      <c r="O103" s="5">
        <v>0</v>
      </c>
      <c r="P103" s="5">
        <v>1</v>
      </c>
      <c r="Q103" s="5">
        <v>1</v>
      </c>
      <c r="R103" s="5">
        <v>1</v>
      </c>
      <c r="S103" s="5">
        <v>1</v>
      </c>
      <c r="T103" s="5">
        <v>0</v>
      </c>
      <c r="U103" s="5">
        <v>1</v>
      </c>
      <c r="V103" s="5">
        <v>0</v>
      </c>
      <c r="W103" s="5">
        <v>0</v>
      </c>
      <c r="X103" s="7">
        <f t="shared" si="20"/>
        <v>10</v>
      </c>
      <c r="Y103" s="8">
        <f t="shared" si="21"/>
        <v>0.55555555555555558</v>
      </c>
      <c r="Z103" s="14" t="str">
        <f t="shared" si="13"/>
        <v>INTERMEDIÁRIO</v>
      </c>
      <c r="AA103" s="5">
        <v>1</v>
      </c>
      <c r="AB103" s="5">
        <v>1</v>
      </c>
      <c r="AC103" s="5">
        <v>1</v>
      </c>
      <c r="AD103" s="5">
        <v>1</v>
      </c>
      <c r="AE103" s="5">
        <v>0</v>
      </c>
      <c r="AF103" s="5">
        <v>0</v>
      </c>
      <c r="AG103" s="5">
        <v>1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7">
        <f t="shared" si="22"/>
        <v>5</v>
      </c>
      <c r="AT103" s="8">
        <f t="shared" si="19"/>
        <v>0.27777777777777779</v>
      </c>
      <c r="AU103" s="14" t="str">
        <f t="shared" si="14"/>
        <v>DEFASAGEM</v>
      </c>
      <c r="AV103" s="7">
        <f t="shared" si="16"/>
        <v>15</v>
      </c>
      <c r="AW103" s="8">
        <f t="shared" si="15"/>
        <v>0.41666666666666663</v>
      </c>
    </row>
    <row r="104" spans="1:49" ht="15.75" customHeight="1" x14ac:dyDescent="0.25">
      <c r="A104" s="5" t="s">
        <v>9</v>
      </c>
      <c r="B104" s="7" t="s">
        <v>1070</v>
      </c>
      <c r="C104" s="7" t="s">
        <v>1162</v>
      </c>
      <c r="D104" s="7" t="s">
        <v>1097</v>
      </c>
      <c r="E104" s="5" t="s">
        <v>806</v>
      </c>
      <c r="F104" s="5">
        <v>1</v>
      </c>
      <c r="G104" s="5">
        <v>1</v>
      </c>
      <c r="H104" s="5">
        <v>1</v>
      </c>
      <c r="I104" s="5">
        <v>0</v>
      </c>
      <c r="J104" s="5">
        <v>1</v>
      </c>
      <c r="K104" s="5">
        <v>1</v>
      </c>
      <c r="L104" s="5">
        <v>0</v>
      </c>
      <c r="M104" s="5">
        <v>1</v>
      </c>
      <c r="N104" s="5">
        <v>1</v>
      </c>
      <c r="O104" s="5">
        <v>1</v>
      </c>
      <c r="P104" s="5">
        <v>1</v>
      </c>
      <c r="Q104" s="5">
        <v>0</v>
      </c>
      <c r="R104" s="5">
        <v>1</v>
      </c>
      <c r="S104" s="5">
        <v>1</v>
      </c>
      <c r="T104" s="5">
        <v>1</v>
      </c>
      <c r="U104" s="5">
        <v>1</v>
      </c>
      <c r="V104" s="5">
        <v>0</v>
      </c>
      <c r="W104" s="5">
        <v>1</v>
      </c>
      <c r="X104" s="7">
        <f t="shared" si="20"/>
        <v>14</v>
      </c>
      <c r="Y104" s="8">
        <f t="shared" si="21"/>
        <v>0.77777777777777768</v>
      </c>
      <c r="Z104" s="14" t="str">
        <f t="shared" si="13"/>
        <v>ADEQUADA</v>
      </c>
      <c r="AA104" s="5">
        <v>1</v>
      </c>
      <c r="AB104" s="5">
        <v>1</v>
      </c>
      <c r="AC104" s="5">
        <v>1</v>
      </c>
      <c r="AD104" s="5">
        <v>1</v>
      </c>
      <c r="AE104" s="5">
        <v>0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1</v>
      </c>
      <c r="AS104" s="7">
        <f t="shared" si="22"/>
        <v>10</v>
      </c>
      <c r="AT104" s="8">
        <f t="shared" si="19"/>
        <v>0.55555555555555558</v>
      </c>
      <c r="AU104" s="14" t="str">
        <f t="shared" si="14"/>
        <v>INTERMEDIÁRIO</v>
      </c>
      <c r="AV104" s="7">
        <f t="shared" si="16"/>
        <v>24</v>
      </c>
      <c r="AW104" s="8">
        <f t="shared" si="15"/>
        <v>0.66666666666666674</v>
      </c>
    </row>
    <row r="105" spans="1:49" ht="15.75" customHeight="1" x14ac:dyDescent="0.25">
      <c r="A105" s="5" t="s">
        <v>9</v>
      </c>
      <c r="B105" s="7" t="s">
        <v>1070</v>
      </c>
      <c r="C105" s="26" t="s">
        <v>1162</v>
      </c>
      <c r="D105" s="7" t="s">
        <v>1097</v>
      </c>
      <c r="E105" s="5" t="s">
        <v>807</v>
      </c>
      <c r="F105" s="5">
        <v>0</v>
      </c>
      <c r="G105" s="5">
        <v>0</v>
      </c>
      <c r="H105" s="5">
        <v>1</v>
      </c>
      <c r="I105" s="5">
        <v>0</v>
      </c>
      <c r="J105" s="5">
        <v>1</v>
      </c>
      <c r="K105" s="5">
        <v>1</v>
      </c>
      <c r="L105" s="5">
        <v>1</v>
      </c>
      <c r="M105" s="5">
        <v>1</v>
      </c>
      <c r="N105" s="5">
        <v>0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0</v>
      </c>
      <c r="W105" s="5">
        <v>0</v>
      </c>
      <c r="X105" s="7">
        <f t="shared" si="20"/>
        <v>12</v>
      </c>
      <c r="Y105" s="8">
        <f t="shared" si="21"/>
        <v>0.66666666666666674</v>
      </c>
      <c r="Z105" s="14" t="str">
        <f t="shared" si="13"/>
        <v>INTERMEDIÁRIO</v>
      </c>
      <c r="AA105" s="5">
        <v>0</v>
      </c>
      <c r="AB105" s="5">
        <v>1</v>
      </c>
      <c r="AC105" s="5">
        <v>1</v>
      </c>
      <c r="AD105" s="5">
        <v>1</v>
      </c>
      <c r="AE105" s="5">
        <v>0</v>
      </c>
      <c r="AF105" s="5">
        <v>1</v>
      </c>
      <c r="AG105" s="5">
        <v>1</v>
      </c>
      <c r="AH105" s="5">
        <v>0</v>
      </c>
      <c r="AI105" s="5">
        <v>1</v>
      </c>
      <c r="AJ105" s="5">
        <v>1</v>
      </c>
      <c r="AK105" s="5">
        <v>0</v>
      </c>
      <c r="AL105" s="5">
        <v>1</v>
      </c>
      <c r="AM105" s="5">
        <v>0</v>
      </c>
      <c r="AN105" s="5">
        <v>1</v>
      </c>
      <c r="AO105" s="5">
        <v>0</v>
      </c>
      <c r="AP105" s="5">
        <v>0</v>
      </c>
      <c r="AQ105" s="5">
        <v>1</v>
      </c>
      <c r="AR105" s="5">
        <v>1</v>
      </c>
      <c r="AS105" s="7">
        <f t="shared" si="22"/>
        <v>11</v>
      </c>
      <c r="AT105" s="8">
        <f t="shared" si="19"/>
        <v>0.61111111111111116</v>
      </c>
      <c r="AU105" s="14" t="str">
        <f t="shared" si="14"/>
        <v>INTERMEDIÁRIO</v>
      </c>
      <c r="AV105" s="7">
        <f t="shared" si="16"/>
        <v>23</v>
      </c>
      <c r="AW105" s="8">
        <f t="shared" si="15"/>
        <v>0.63888888888888884</v>
      </c>
    </row>
    <row r="106" spans="1:49" ht="15.75" customHeight="1" x14ac:dyDescent="0.25">
      <c r="A106" s="5" t="s">
        <v>9</v>
      </c>
      <c r="B106" s="27" t="s">
        <v>1070</v>
      </c>
      <c r="C106" s="28" t="s">
        <v>1099</v>
      </c>
      <c r="D106" s="29" t="s">
        <v>1100</v>
      </c>
      <c r="E106" s="5" t="s">
        <v>808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7">
        <v>0</v>
      </c>
      <c r="Y106" s="8">
        <f t="shared" si="21"/>
        <v>0</v>
      </c>
      <c r="Z106" s="14" t="str">
        <f t="shared" si="13"/>
        <v>DEFASAGEM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7">
        <v>0</v>
      </c>
      <c r="AT106" s="8">
        <f t="shared" si="19"/>
        <v>0</v>
      </c>
      <c r="AU106" s="14" t="str">
        <f t="shared" si="14"/>
        <v>DEFASAGEM</v>
      </c>
      <c r="AV106" s="7">
        <f t="shared" si="16"/>
        <v>0</v>
      </c>
      <c r="AW106" s="8">
        <f t="shared" si="15"/>
        <v>0</v>
      </c>
    </row>
    <row r="107" spans="1:49" ht="15.75" customHeight="1" x14ac:dyDescent="0.25">
      <c r="A107" s="5" t="s">
        <v>10</v>
      </c>
      <c r="B107" s="7" t="s">
        <v>710</v>
      </c>
      <c r="C107" s="30" t="s">
        <v>1162</v>
      </c>
      <c r="D107" s="7" t="s">
        <v>1097</v>
      </c>
      <c r="E107" s="5" t="s">
        <v>809</v>
      </c>
      <c r="F107" s="5">
        <v>0</v>
      </c>
      <c r="G107" s="5">
        <v>1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0</v>
      </c>
      <c r="P107" s="5">
        <v>0</v>
      </c>
      <c r="Q107" s="5">
        <v>1</v>
      </c>
      <c r="R107" s="5">
        <v>0</v>
      </c>
      <c r="S107" s="5">
        <v>1</v>
      </c>
      <c r="T107" s="5">
        <v>1</v>
      </c>
      <c r="U107" s="5">
        <v>0</v>
      </c>
      <c r="V107" s="5">
        <v>1</v>
      </c>
      <c r="W107" s="5">
        <v>1</v>
      </c>
      <c r="X107" s="7">
        <f t="shared" ref="X107:X170" si="23">SUM(F107:W107)</f>
        <v>7</v>
      </c>
      <c r="Y107" s="8">
        <f t="shared" si="21"/>
        <v>0.38888888888888884</v>
      </c>
      <c r="Z107" s="14" t="str">
        <f t="shared" si="13"/>
        <v>DEFASAGEM</v>
      </c>
      <c r="AA107" s="5">
        <v>0</v>
      </c>
      <c r="AB107" s="5">
        <v>1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1</v>
      </c>
      <c r="AM107" s="5">
        <v>0</v>
      </c>
      <c r="AN107" s="5">
        <v>0</v>
      </c>
      <c r="AO107" s="5">
        <v>0</v>
      </c>
      <c r="AP107" s="5">
        <v>0</v>
      </c>
      <c r="AQ107" s="5">
        <v>1</v>
      </c>
      <c r="AR107" s="5">
        <v>0</v>
      </c>
      <c r="AS107" s="7">
        <f t="shared" ref="AS107:AS146" si="24">SUM(AA107:AR107)</f>
        <v>3</v>
      </c>
      <c r="AT107" s="8">
        <f t="shared" si="19"/>
        <v>0.16666666666666669</v>
      </c>
      <c r="AU107" s="14" t="str">
        <f t="shared" si="14"/>
        <v>DEFASAGEM</v>
      </c>
      <c r="AV107" s="7">
        <f t="shared" si="16"/>
        <v>10</v>
      </c>
      <c r="AW107" s="8">
        <f t="shared" si="15"/>
        <v>0.27777777777777779</v>
      </c>
    </row>
    <row r="108" spans="1:49" ht="15.75" customHeight="1" x14ac:dyDescent="0.25">
      <c r="A108" s="5" t="s">
        <v>10</v>
      </c>
      <c r="B108" s="7" t="s">
        <v>1230</v>
      </c>
      <c r="C108" s="7" t="s">
        <v>1122</v>
      </c>
      <c r="D108" s="7" t="s">
        <v>1097</v>
      </c>
      <c r="E108" s="5" t="s">
        <v>1231</v>
      </c>
      <c r="F108" s="5">
        <v>1</v>
      </c>
      <c r="G108" s="5">
        <v>1</v>
      </c>
      <c r="H108" s="5">
        <v>1</v>
      </c>
      <c r="I108" s="5">
        <v>0</v>
      </c>
      <c r="J108" s="5">
        <v>1</v>
      </c>
      <c r="K108" s="5">
        <v>1</v>
      </c>
      <c r="L108" s="5">
        <v>1</v>
      </c>
      <c r="M108" s="5">
        <v>0</v>
      </c>
      <c r="N108" s="5">
        <v>1</v>
      </c>
      <c r="O108" s="5">
        <v>0</v>
      </c>
      <c r="P108" s="5">
        <v>1</v>
      </c>
      <c r="Q108" s="5">
        <v>0</v>
      </c>
      <c r="R108" s="5">
        <v>1</v>
      </c>
      <c r="S108" s="5">
        <v>1</v>
      </c>
      <c r="T108" s="5">
        <v>0</v>
      </c>
      <c r="U108" s="5">
        <v>1</v>
      </c>
      <c r="V108" s="5">
        <v>0</v>
      </c>
      <c r="W108" s="5">
        <v>1</v>
      </c>
      <c r="X108" s="7">
        <f t="shared" si="23"/>
        <v>12</v>
      </c>
      <c r="Y108" s="8">
        <f t="shared" si="21"/>
        <v>0.66666666666666674</v>
      </c>
      <c r="Z108" s="14" t="str">
        <f t="shared" si="13"/>
        <v>INTERMEDIÁRIO</v>
      </c>
      <c r="AA108" s="5">
        <v>1</v>
      </c>
      <c r="AB108" s="5">
        <v>1</v>
      </c>
      <c r="AC108" s="5">
        <v>1</v>
      </c>
      <c r="AD108" s="5">
        <v>1</v>
      </c>
      <c r="AE108" s="5">
        <v>0</v>
      </c>
      <c r="AF108" s="5">
        <v>1</v>
      </c>
      <c r="AG108" s="5">
        <v>1</v>
      </c>
      <c r="AH108" s="5">
        <v>0</v>
      </c>
      <c r="AI108" s="5">
        <v>1</v>
      </c>
      <c r="AJ108" s="5">
        <v>1</v>
      </c>
      <c r="AK108" s="5">
        <v>0</v>
      </c>
      <c r="AL108" s="5">
        <v>1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1</v>
      </c>
      <c r="AS108" s="7">
        <f t="shared" si="24"/>
        <v>10</v>
      </c>
      <c r="AT108" s="8">
        <f t="shared" si="19"/>
        <v>0.55555555555555558</v>
      </c>
      <c r="AU108" s="14" t="str">
        <f t="shared" si="14"/>
        <v>INTERMEDIÁRIO</v>
      </c>
      <c r="AV108" s="7">
        <f t="shared" si="16"/>
        <v>22</v>
      </c>
      <c r="AW108" s="8">
        <f t="shared" si="15"/>
        <v>0.61111111111111116</v>
      </c>
    </row>
    <row r="109" spans="1:49" ht="15.75" customHeight="1" x14ac:dyDescent="0.25">
      <c r="A109" s="5" t="s">
        <v>10</v>
      </c>
      <c r="B109" s="7" t="s">
        <v>710</v>
      </c>
      <c r="C109" s="7" t="s">
        <v>1104</v>
      </c>
      <c r="D109" s="7" t="s">
        <v>1097</v>
      </c>
      <c r="E109" s="5" t="s">
        <v>810</v>
      </c>
      <c r="F109" s="5">
        <v>1</v>
      </c>
      <c r="G109" s="5">
        <v>0</v>
      </c>
      <c r="H109" s="5">
        <v>1</v>
      </c>
      <c r="I109" s="5">
        <v>1</v>
      </c>
      <c r="J109" s="5">
        <v>1</v>
      </c>
      <c r="K109" s="5">
        <v>1</v>
      </c>
      <c r="L109" s="5">
        <v>0</v>
      </c>
      <c r="M109" s="5">
        <v>0</v>
      </c>
      <c r="N109" s="5">
        <v>1</v>
      </c>
      <c r="O109" s="5">
        <v>0</v>
      </c>
      <c r="P109" s="5">
        <v>1</v>
      </c>
      <c r="Q109" s="5">
        <v>1</v>
      </c>
      <c r="R109" s="5">
        <v>0</v>
      </c>
      <c r="S109" s="5">
        <v>1</v>
      </c>
      <c r="T109" s="5">
        <v>1</v>
      </c>
      <c r="U109" s="5">
        <v>1</v>
      </c>
      <c r="V109" s="5">
        <v>0</v>
      </c>
      <c r="W109" s="5">
        <v>1</v>
      </c>
      <c r="X109" s="7">
        <f t="shared" si="23"/>
        <v>12</v>
      </c>
      <c r="Y109" s="8">
        <f t="shared" si="21"/>
        <v>0.66666666666666674</v>
      </c>
      <c r="Z109" s="14" t="str">
        <f t="shared" si="13"/>
        <v>INTERMEDIÁRIO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0</v>
      </c>
      <c r="AG109" s="5">
        <v>1</v>
      </c>
      <c r="AH109" s="5">
        <v>1</v>
      </c>
      <c r="AI109" s="5">
        <v>0</v>
      </c>
      <c r="AJ109" s="5">
        <v>0</v>
      </c>
      <c r="AK109" s="5">
        <v>1</v>
      </c>
      <c r="AL109" s="5">
        <v>0</v>
      </c>
      <c r="AM109" s="5">
        <v>0</v>
      </c>
      <c r="AN109" s="5">
        <v>1</v>
      </c>
      <c r="AO109" s="5">
        <v>0</v>
      </c>
      <c r="AP109" s="5">
        <v>1</v>
      </c>
      <c r="AQ109" s="5">
        <v>1</v>
      </c>
      <c r="AR109" s="5">
        <v>1</v>
      </c>
      <c r="AS109" s="7">
        <f t="shared" si="24"/>
        <v>12</v>
      </c>
      <c r="AT109" s="8">
        <f t="shared" si="19"/>
        <v>0.66666666666666674</v>
      </c>
      <c r="AU109" s="14" t="str">
        <f t="shared" si="14"/>
        <v>INTERMEDIÁRIO</v>
      </c>
      <c r="AV109" s="7">
        <f t="shared" si="16"/>
        <v>24</v>
      </c>
      <c r="AW109" s="8">
        <f t="shared" si="15"/>
        <v>0.66666666666666674</v>
      </c>
    </row>
    <row r="110" spans="1:49" ht="15.75" customHeight="1" x14ac:dyDescent="0.25">
      <c r="A110" s="5" t="s">
        <v>10</v>
      </c>
      <c r="B110" s="7" t="s">
        <v>710</v>
      </c>
      <c r="C110" s="7" t="s">
        <v>1104</v>
      </c>
      <c r="D110" s="7" t="s">
        <v>1097</v>
      </c>
      <c r="E110" s="5" t="s">
        <v>811</v>
      </c>
      <c r="F110" s="5">
        <v>1</v>
      </c>
      <c r="G110" s="5">
        <v>0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0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0</v>
      </c>
      <c r="W110" s="5">
        <v>1</v>
      </c>
      <c r="X110" s="7">
        <f t="shared" si="23"/>
        <v>15</v>
      </c>
      <c r="Y110" s="8">
        <f t="shared" si="21"/>
        <v>0.83333333333333326</v>
      </c>
      <c r="Z110" s="14" t="str">
        <f t="shared" si="13"/>
        <v>ADEQUADA</v>
      </c>
      <c r="AA110" s="5">
        <v>0</v>
      </c>
      <c r="AB110" s="5">
        <v>1</v>
      </c>
      <c r="AC110" s="5">
        <v>1</v>
      </c>
      <c r="AD110" s="5">
        <v>1</v>
      </c>
      <c r="AE110" s="5">
        <v>0</v>
      </c>
      <c r="AF110" s="5">
        <v>1</v>
      </c>
      <c r="AG110" s="5">
        <v>0</v>
      </c>
      <c r="AH110" s="5">
        <v>1</v>
      </c>
      <c r="AI110" s="5">
        <v>0</v>
      </c>
      <c r="AJ110" s="5">
        <v>0</v>
      </c>
      <c r="AK110" s="5">
        <v>1</v>
      </c>
      <c r="AL110" s="5">
        <v>1</v>
      </c>
      <c r="AM110" s="5">
        <v>1</v>
      </c>
      <c r="AN110" s="5">
        <v>0</v>
      </c>
      <c r="AO110" s="5">
        <v>0</v>
      </c>
      <c r="AP110" s="5">
        <v>1</v>
      </c>
      <c r="AQ110" s="5">
        <v>1</v>
      </c>
      <c r="AR110" s="5">
        <v>1</v>
      </c>
      <c r="AS110" s="7">
        <f t="shared" si="24"/>
        <v>11</v>
      </c>
      <c r="AT110" s="8">
        <f t="shared" si="19"/>
        <v>0.61111111111111116</v>
      </c>
      <c r="AU110" s="14" t="str">
        <f t="shared" si="14"/>
        <v>INTERMEDIÁRIO</v>
      </c>
      <c r="AV110" s="7">
        <f t="shared" si="16"/>
        <v>26</v>
      </c>
      <c r="AW110" s="8">
        <f t="shared" si="15"/>
        <v>0.72222222222222232</v>
      </c>
    </row>
    <row r="111" spans="1:49" ht="15.75" customHeight="1" x14ac:dyDescent="0.25">
      <c r="A111" s="5" t="s">
        <v>10</v>
      </c>
      <c r="B111" s="7" t="s">
        <v>1221</v>
      </c>
      <c r="C111" s="7" t="s">
        <v>1162</v>
      </c>
      <c r="D111" s="7" t="s">
        <v>1097</v>
      </c>
      <c r="E111" s="5" t="s">
        <v>1232</v>
      </c>
      <c r="F111" s="5">
        <v>0</v>
      </c>
      <c r="G111" s="5">
        <v>0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0</v>
      </c>
      <c r="O111" s="5">
        <v>0</v>
      </c>
      <c r="P111" s="5">
        <v>1</v>
      </c>
      <c r="Q111" s="5">
        <v>1</v>
      </c>
      <c r="R111" s="5">
        <v>1</v>
      </c>
      <c r="S111" s="5">
        <v>0</v>
      </c>
      <c r="T111" s="5">
        <v>1</v>
      </c>
      <c r="U111" s="5">
        <v>1</v>
      </c>
      <c r="V111" s="5">
        <v>0</v>
      </c>
      <c r="W111" s="5">
        <v>1</v>
      </c>
      <c r="X111" s="7">
        <f t="shared" si="23"/>
        <v>12</v>
      </c>
      <c r="Y111" s="8">
        <f t="shared" si="21"/>
        <v>0.66666666666666674</v>
      </c>
      <c r="Z111" s="14" t="str">
        <f t="shared" si="13"/>
        <v>INTERMEDIÁRIO</v>
      </c>
      <c r="AA111" s="5">
        <v>1</v>
      </c>
      <c r="AB111" s="5">
        <v>1</v>
      </c>
      <c r="AC111" s="5">
        <v>1</v>
      </c>
      <c r="AD111" s="5">
        <v>1</v>
      </c>
      <c r="AE111" s="5">
        <v>0</v>
      </c>
      <c r="AF111" s="5">
        <v>0</v>
      </c>
      <c r="AG111" s="5">
        <v>0</v>
      </c>
      <c r="AH111" s="5">
        <v>0</v>
      </c>
      <c r="AI111" s="5">
        <v>1</v>
      </c>
      <c r="AJ111" s="5">
        <v>0</v>
      </c>
      <c r="AK111" s="5">
        <v>0</v>
      </c>
      <c r="AL111" s="5">
        <v>1</v>
      </c>
      <c r="AM111" s="5">
        <v>0</v>
      </c>
      <c r="AN111" s="5">
        <v>1</v>
      </c>
      <c r="AO111" s="5">
        <v>0</v>
      </c>
      <c r="AP111" s="5">
        <v>0</v>
      </c>
      <c r="AQ111" s="5">
        <v>0</v>
      </c>
      <c r="AR111" s="5">
        <v>1</v>
      </c>
      <c r="AS111" s="7">
        <f t="shared" si="24"/>
        <v>8</v>
      </c>
      <c r="AT111" s="8">
        <f t="shared" si="19"/>
        <v>0.44444444444444442</v>
      </c>
      <c r="AU111" s="14" t="str">
        <f t="shared" si="14"/>
        <v>INTERMEDIÁRIO</v>
      </c>
      <c r="AV111" s="7">
        <f t="shared" si="16"/>
        <v>20</v>
      </c>
      <c r="AW111" s="8">
        <f t="shared" si="15"/>
        <v>0.55555555555555558</v>
      </c>
    </row>
    <row r="112" spans="1:49" ht="15.75" customHeight="1" x14ac:dyDescent="0.25">
      <c r="A112" s="5" t="s">
        <v>10</v>
      </c>
      <c r="B112" s="7" t="s">
        <v>710</v>
      </c>
      <c r="C112" s="7" t="s">
        <v>1104</v>
      </c>
      <c r="D112" s="7" t="s">
        <v>1097</v>
      </c>
      <c r="E112" s="5" t="s">
        <v>812</v>
      </c>
      <c r="F112" s="5">
        <v>0</v>
      </c>
      <c r="G112" s="5">
        <v>0</v>
      </c>
      <c r="H112" s="5">
        <v>1</v>
      </c>
      <c r="I112" s="5">
        <v>1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</v>
      </c>
      <c r="U112" s="5">
        <v>0</v>
      </c>
      <c r="V112" s="5">
        <v>0</v>
      </c>
      <c r="W112" s="5">
        <v>0</v>
      </c>
      <c r="X112" s="7">
        <f t="shared" si="23"/>
        <v>4</v>
      </c>
      <c r="Y112" s="8">
        <f t="shared" si="21"/>
        <v>0.22222222222222221</v>
      </c>
      <c r="Z112" s="14" t="str">
        <f t="shared" si="13"/>
        <v>DEFASAGEM</v>
      </c>
      <c r="AA112" s="5">
        <v>0</v>
      </c>
      <c r="AB112" s="5">
        <v>1</v>
      </c>
      <c r="AC112" s="5">
        <v>0</v>
      </c>
      <c r="AD112" s="5">
        <v>0</v>
      </c>
      <c r="AE112" s="5">
        <v>0</v>
      </c>
      <c r="AF112" s="5">
        <v>1</v>
      </c>
      <c r="AG112" s="5">
        <v>0</v>
      </c>
      <c r="AH112" s="5">
        <v>0</v>
      </c>
      <c r="AI112" s="5">
        <v>0</v>
      </c>
      <c r="AJ112" s="5">
        <v>1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7">
        <f t="shared" si="24"/>
        <v>3</v>
      </c>
      <c r="AT112" s="8">
        <f t="shared" si="19"/>
        <v>0.16666666666666669</v>
      </c>
      <c r="AU112" s="14" t="str">
        <f t="shared" si="14"/>
        <v>DEFASAGEM</v>
      </c>
      <c r="AV112" s="7">
        <f t="shared" si="16"/>
        <v>7</v>
      </c>
      <c r="AW112" s="8">
        <f t="shared" si="15"/>
        <v>0.19444444444444442</v>
      </c>
    </row>
    <row r="113" spans="1:49" ht="15.75" customHeight="1" x14ac:dyDescent="0.25">
      <c r="A113" s="5" t="s">
        <v>10</v>
      </c>
      <c r="B113" s="7" t="s">
        <v>710</v>
      </c>
      <c r="C113" s="7" t="s">
        <v>1220</v>
      </c>
      <c r="D113" s="7" t="s">
        <v>1097</v>
      </c>
      <c r="E113" s="5" t="s">
        <v>813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0</v>
      </c>
      <c r="R113" s="5">
        <v>1</v>
      </c>
      <c r="S113" s="5">
        <v>0</v>
      </c>
      <c r="T113" s="5">
        <v>1</v>
      </c>
      <c r="U113" s="5">
        <v>1</v>
      </c>
      <c r="V113" s="5">
        <v>1</v>
      </c>
      <c r="W113" s="5">
        <v>1</v>
      </c>
      <c r="X113" s="7">
        <f t="shared" si="23"/>
        <v>16</v>
      </c>
      <c r="Y113" s="8">
        <f t="shared" si="21"/>
        <v>0.88888888888888884</v>
      </c>
      <c r="Z113" s="14" t="str">
        <f t="shared" si="13"/>
        <v>ADEQUADA</v>
      </c>
      <c r="AA113" s="5">
        <v>0</v>
      </c>
      <c r="AB113" s="5">
        <v>1</v>
      </c>
      <c r="AC113" s="5">
        <v>0</v>
      </c>
      <c r="AD113" s="5">
        <v>1</v>
      </c>
      <c r="AE113" s="5">
        <v>0</v>
      </c>
      <c r="AF113" s="5">
        <v>1</v>
      </c>
      <c r="AG113" s="5">
        <v>1</v>
      </c>
      <c r="AH113" s="5">
        <v>1</v>
      </c>
      <c r="AI113" s="5">
        <v>0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0</v>
      </c>
      <c r="AP113" s="5">
        <v>0</v>
      </c>
      <c r="AQ113" s="5">
        <v>1</v>
      </c>
      <c r="AR113" s="5">
        <v>1</v>
      </c>
      <c r="AS113" s="7">
        <f t="shared" si="24"/>
        <v>12</v>
      </c>
      <c r="AT113" s="8">
        <f t="shared" si="19"/>
        <v>0.66666666666666674</v>
      </c>
      <c r="AU113" s="14" t="str">
        <f t="shared" si="14"/>
        <v>INTERMEDIÁRIO</v>
      </c>
      <c r="AV113" s="7">
        <f t="shared" si="16"/>
        <v>28</v>
      </c>
      <c r="AW113" s="8">
        <f t="shared" si="15"/>
        <v>0.77777777777777768</v>
      </c>
    </row>
    <row r="114" spans="1:49" ht="15.75" customHeight="1" x14ac:dyDescent="0.25">
      <c r="A114" s="5" t="s">
        <v>10</v>
      </c>
      <c r="B114" s="7" t="s">
        <v>710</v>
      </c>
      <c r="C114" s="7" t="s">
        <v>1162</v>
      </c>
      <c r="D114" s="7" t="s">
        <v>1097</v>
      </c>
      <c r="E114" s="5" t="s">
        <v>814</v>
      </c>
      <c r="F114" s="5">
        <v>1</v>
      </c>
      <c r="G114" s="5">
        <v>0</v>
      </c>
      <c r="H114" s="5">
        <v>1</v>
      </c>
      <c r="I114" s="5">
        <v>0</v>
      </c>
      <c r="J114" s="5">
        <v>1</v>
      </c>
      <c r="K114" s="5">
        <v>1</v>
      </c>
      <c r="L114" s="5">
        <v>0</v>
      </c>
      <c r="M114" s="5">
        <v>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7">
        <f t="shared" si="23"/>
        <v>5</v>
      </c>
      <c r="Y114" s="8">
        <f t="shared" si="21"/>
        <v>0.27777777777777779</v>
      </c>
      <c r="Z114" s="14" t="str">
        <f t="shared" si="13"/>
        <v>DEFASAGEM</v>
      </c>
      <c r="AA114" s="5">
        <v>0</v>
      </c>
      <c r="AB114" s="5">
        <v>1</v>
      </c>
      <c r="AC114" s="5">
        <v>1</v>
      </c>
      <c r="AD114" s="5">
        <v>1</v>
      </c>
      <c r="AE114" s="5">
        <v>0</v>
      </c>
      <c r="AF114" s="5">
        <v>0</v>
      </c>
      <c r="AG114" s="5">
        <v>0</v>
      </c>
      <c r="AH114" s="5">
        <v>1</v>
      </c>
      <c r="AI114" s="5">
        <v>1</v>
      </c>
      <c r="AJ114" s="5">
        <v>0</v>
      </c>
      <c r="AK114" s="5">
        <v>0</v>
      </c>
      <c r="AL114" s="5">
        <v>1</v>
      </c>
      <c r="AM114" s="5">
        <v>0</v>
      </c>
      <c r="AN114" s="5">
        <v>1</v>
      </c>
      <c r="AO114" s="5">
        <v>1</v>
      </c>
      <c r="AP114" s="5">
        <v>0</v>
      </c>
      <c r="AQ114" s="5">
        <v>1</v>
      </c>
      <c r="AR114" s="5">
        <v>1</v>
      </c>
      <c r="AS114" s="7">
        <f t="shared" si="24"/>
        <v>10</v>
      </c>
      <c r="AT114" s="8">
        <f t="shared" si="19"/>
        <v>0.55555555555555558</v>
      </c>
      <c r="AU114" s="14" t="str">
        <f t="shared" si="14"/>
        <v>INTERMEDIÁRIO</v>
      </c>
      <c r="AV114" s="7">
        <f t="shared" si="16"/>
        <v>15</v>
      </c>
      <c r="AW114" s="8">
        <f t="shared" si="15"/>
        <v>0.41666666666666663</v>
      </c>
    </row>
    <row r="115" spans="1:49" ht="15.75" customHeight="1" x14ac:dyDescent="0.25">
      <c r="A115" s="5" t="s">
        <v>10</v>
      </c>
      <c r="B115" s="7" t="s">
        <v>710</v>
      </c>
      <c r="C115" s="7" t="s">
        <v>1223</v>
      </c>
      <c r="D115" s="7" t="s">
        <v>1097</v>
      </c>
      <c r="E115" s="5" t="s">
        <v>815</v>
      </c>
      <c r="F115" s="5">
        <v>0</v>
      </c>
      <c r="G115" s="5">
        <v>0</v>
      </c>
      <c r="H115" s="5">
        <v>1</v>
      </c>
      <c r="I115" s="5">
        <v>0</v>
      </c>
      <c r="J115" s="5">
        <v>1</v>
      </c>
      <c r="K115" s="5">
        <v>1</v>
      </c>
      <c r="L115" s="5">
        <v>1</v>
      </c>
      <c r="M115" s="5">
        <v>0</v>
      </c>
      <c r="N115" s="5">
        <v>0</v>
      </c>
      <c r="O115" s="5">
        <v>0</v>
      </c>
      <c r="P115" s="5">
        <v>1</v>
      </c>
      <c r="Q115" s="5">
        <v>1</v>
      </c>
      <c r="R115" s="5">
        <v>0</v>
      </c>
      <c r="S115" s="5">
        <v>1</v>
      </c>
      <c r="T115" s="5">
        <v>1</v>
      </c>
      <c r="U115" s="5">
        <v>1</v>
      </c>
      <c r="V115" s="5">
        <v>0</v>
      </c>
      <c r="W115" s="5">
        <v>1</v>
      </c>
      <c r="X115" s="7">
        <f t="shared" si="23"/>
        <v>10</v>
      </c>
      <c r="Y115" s="8">
        <f t="shared" si="21"/>
        <v>0.55555555555555558</v>
      </c>
      <c r="Z115" s="14" t="str">
        <f t="shared" si="13"/>
        <v>INTERMEDIÁRIO</v>
      </c>
      <c r="AA115" s="5">
        <v>1</v>
      </c>
      <c r="AB115" s="5">
        <v>1</v>
      </c>
      <c r="AC115" s="5">
        <v>0</v>
      </c>
      <c r="AD115" s="5">
        <v>1</v>
      </c>
      <c r="AE115" s="5">
        <v>0</v>
      </c>
      <c r="AF115" s="5">
        <v>0</v>
      </c>
      <c r="AG115" s="5">
        <v>1</v>
      </c>
      <c r="AH115" s="5">
        <v>0</v>
      </c>
      <c r="AI115" s="5">
        <v>0</v>
      </c>
      <c r="AJ115" s="5">
        <v>1</v>
      </c>
      <c r="AK115" s="5">
        <v>0</v>
      </c>
      <c r="AL115" s="5">
        <v>1</v>
      </c>
      <c r="AM115" s="5">
        <v>0</v>
      </c>
      <c r="AN115" s="5">
        <v>0</v>
      </c>
      <c r="AO115" s="5">
        <v>0</v>
      </c>
      <c r="AP115" s="5">
        <v>1</v>
      </c>
      <c r="AQ115" s="5">
        <v>1</v>
      </c>
      <c r="AR115" s="5">
        <v>1</v>
      </c>
      <c r="AS115" s="7">
        <f t="shared" si="24"/>
        <v>9</v>
      </c>
      <c r="AT115" s="8">
        <f t="shared" si="19"/>
        <v>0.5</v>
      </c>
      <c r="AU115" s="14" t="str">
        <f t="shared" si="14"/>
        <v>INTERMEDIÁRIO</v>
      </c>
      <c r="AV115" s="7">
        <f t="shared" si="16"/>
        <v>19</v>
      </c>
      <c r="AW115" s="8">
        <f t="shared" si="15"/>
        <v>0.52777777777777779</v>
      </c>
    </row>
    <row r="116" spans="1:49" ht="15.75" customHeight="1" x14ac:dyDescent="0.25">
      <c r="A116" s="5" t="s">
        <v>10</v>
      </c>
      <c r="B116" s="7" t="s">
        <v>710</v>
      </c>
      <c r="C116" s="7" t="s">
        <v>1104</v>
      </c>
      <c r="D116" s="7" t="s">
        <v>1097</v>
      </c>
      <c r="E116" s="5" t="s">
        <v>816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0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0</v>
      </c>
      <c r="W116" s="5">
        <v>1</v>
      </c>
      <c r="X116" s="7">
        <f t="shared" si="23"/>
        <v>16</v>
      </c>
      <c r="Y116" s="8">
        <f t="shared" si="21"/>
        <v>0.88888888888888884</v>
      </c>
      <c r="Z116" s="14" t="str">
        <f t="shared" si="13"/>
        <v>ADEQUADA</v>
      </c>
      <c r="AA116" s="5">
        <v>0</v>
      </c>
      <c r="AB116" s="5">
        <v>1</v>
      </c>
      <c r="AC116" s="5">
        <v>1</v>
      </c>
      <c r="AD116" s="5">
        <v>1</v>
      </c>
      <c r="AE116" s="5">
        <v>0</v>
      </c>
      <c r="AF116" s="5">
        <v>1</v>
      </c>
      <c r="AG116" s="5">
        <v>0</v>
      </c>
      <c r="AH116" s="5">
        <v>0</v>
      </c>
      <c r="AI116" s="5">
        <v>0</v>
      </c>
      <c r="AJ116" s="5">
        <v>1</v>
      </c>
      <c r="AK116" s="5">
        <v>1</v>
      </c>
      <c r="AL116" s="5">
        <v>0</v>
      </c>
      <c r="AM116" s="5">
        <v>1</v>
      </c>
      <c r="AN116" s="5">
        <v>0</v>
      </c>
      <c r="AO116" s="5">
        <v>0</v>
      </c>
      <c r="AP116" s="5">
        <v>0</v>
      </c>
      <c r="AQ116" s="5">
        <v>1</v>
      </c>
      <c r="AR116" s="5">
        <v>1</v>
      </c>
      <c r="AS116" s="7">
        <f t="shared" si="24"/>
        <v>9</v>
      </c>
      <c r="AT116" s="8">
        <f t="shared" si="19"/>
        <v>0.5</v>
      </c>
      <c r="AU116" s="14" t="str">
        <f t="shared" si="14"/>
        <v>INTERMEDIÁRIO</v>
      </c>
      <c r="AV116" s="7">
        <f t="shared" si="16"/>
        <v>25</v>
      </c>
      <c r="AW116" s="8">
        <f t="shared" si="15"/>
        <v>0.69444444444444442</v>
      </c>
    </row>
    <row r="117" spans="1:49" ht="15.75" customHeight="1" x14ac:dyDescent="0.25">
      <c r="A117" s="5" t="s">
        <v>11</v>
      </c>
      <c r="B117" s="7" t="s">
        <v>817</v>
      </c>
      <c r="C117" s="26" t="s">
        <v>1162</v>
      </c>
      <c r="D117" s="7" t="s">
        <v>1097</v>
      </c>
      <c r="E117" s="5" t="s">
        <v>818</v>
      </c>
      <c r="F117" s="5">
        <v>1</v>
      </c>
      <c r="G117" s="5">
        <v>1</v>
      </c>
      <c r="H117" s="5">
        <v>1</v>
      </c>
      <c r="I117" s="5">
        <v>0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7">
        <f t="shared" si="23"/>
        <v>17</v>
      </c>
      <c r="Y117" s="8">
        <f t="shared" si="21"/>
        <v>0.94444444444444442</v>
      </c>
      <c r="Z117" s="14" t="str">
        <f t="shared" si="13"/>
        <v>ADEQUADA</v>
      </c>
      <c r="AA117" s="5">
        <v>1</v>
      </c>
      <c r="AB117" s="5">
        <v>1</v>
      </c>
      <c r="AC117" s="5">
        <v>1</v>
      </c>
      <c r="AD117" s="5">
        <v>0</v>
      </c>
      <c r="AE117" s="5">
        <v>1</v>
      </c>
      <c r="AF117" s="5">
        <v>0</v>
      </c>
      <c r="AG117" s="5">
        <v>1</v>
      </c>
      <c r="AH117" s="5">
        <v>1</v>
      </c>
      <c r="AI117" s="5">
        <v>0</v>
      </c>
      <c r="AJ117" s="5">
        <v>0</v>
      </c>
      <c r="AK117" s="5">
        <v>1</v>
      </c>
      <c r="AL117" s="5">
        <v>1</v>
      </c>
      <c r="AM117" s="5">
        <v>1</v>
      </c>
      <c r="AN117" s="5">
        <v>1</v>
      </c>
      <c r="AO117" s="5">
        <v>0</v>
      </c>
      <c r="AP117" s="5">
        <v>0</v>
      </c>
      <c r="AQ117" s="5">
        <v>1</v>
      </c>
      <c r="AR117" s="5">
        <v>1</v>
      </c>
      <c r="AS117" s="7">
        <f t="shared" si="24"/>
        <v>12</v>
      </c>
      <c r="AT117" s="8">
        <f t="shared" si="19"/>
        <v>0.66666666666666674</v>
      </c>
      <c r="AU117" s="14" t="str">
        <f t="shared" si="14"/>
        <v>INTERMEDIÁRIO</v>
      </c>
      <c r="AV117" s="7">
        <f t="shared" si="16"/>
        <v>29</v>
      </c>
      <c r="AW117" s="8">
        <f t="shared" si="15"/>
        <v>0.80555555555555558</v>
      </c>
    </row>
    <row r="118" spans="1:49" ht="15.75" customHeight="1" x14ac:dyDescent="0.25">
      <c r="A118" s="5" t="s">
        <v>11</v>
      </c>
      <c r="B118" s="27" t="s">
        <v>817</v>
      </c>
      <c r="C118" s="28" t="s">
        <v>1099</v>
      </c>
      <c r="D118" s="29" t="s">
        <v>1097</v>
      </c>
      <c r="E118" s="5" t="s">
        <v>819</v>
      </c>
      <c r="F118" s="5">
        <v>1</v>
      </c>
      <c r="G118" s="5">
        <v>0</v>
      </c>
      <c r="H118" s="5">
        <v>0</v>
      </c>
      <c r="I118" s="5">
        <v>0</v>
      </c>
      <c r="J118" s="5">
        <v>1</v>
      </c>
      <c r="K118" s="5">
        <v>1</v>
      </c>
      <c r="L118" s="5">
        <v>1</v>
      </c>
      <c r="M118" s="5">
        <v>0</v>
      </c>
      <c r="N118" s="5">
        <v>1</v>
      </c>
      <c r="O118" s="5">
        <v>0</v>
      </c>
      <c r="P118" s="5">
        <v>0</v>
      </c>
      <c r="Q118" s="5">
        <v>0</v>
      </c>
      <c r="R118" s="5">
        <v>1</v>
      </c>
      <c r="S118" s="5">
        <v>1</v>
      </c>
      <c r="T118" s="5">
        <v>0</v>
      </c>
      <c r="U118" s="5">
        <v>1</v>
      </c>
      <c r="V118" s="5">
        <v>1</v>
      </c>
      <c r="W118" s="5">
        <v>0</v>
      </c>
      <c r="X118" s="7">
        <f t="shared" si="23"/>
        <v>9</v>
      </c>
      <c r="Y118" s="8">
        <f t="shared" si="21"/>
        <v>0.5</v>
      </c>
      <c r="Z118" s="14" t="str">
        <f t="shared" si="13"/>
        <v>INTERMEDIÁRIO</v>
      </c>
      <c r="AA118" s="5">
        <v>0</v>
      </c>
      <c r="AB118" s="5">
        <v>1</v>
      </c>
      <c r="AC118" s="5">
        <v>1</v>
      </c>
      <c r="AD118" s="5">
        <v>0</v>
      </c>
      <c r="AE118" s="5">
        <v>0</v>
      </c>
      <c r="AF118" s="5">
        <v>0</v>
      </c>
      <c r="AG118" s="5">
        <v>0</v>
      </c>
      <c r="AH118" s="5">
        <v>1</v>
      </c>
      <c r="AI118" s="5">
        <v>1</v>
      </c>
      <c r="AJ118" s="5">
        <v>0</v>
      </c>
      <c r="AK118" s="5">
        <v>1</v>
      </c>
      <c r="AL118" s="5">
        <v>1</v>
      </c>
      <c r="AM118" s="5">
        <v>0</v>
      </c>
      <c r="AN118" s="5">
        <v>0</v>
      </c>
      <c r="AO118" s="5">
        <v>0</v>
      </c>
      <c r="AP118" s="5">
        <v>1</v>
      </c>
      <c r="AQ118" s="5">
        <v>0</v>
      </c>
      <c r="AR118" s="5">
        <v>0</v>
      </c>
      <c r="AS118" s="7">
        <f t="shared" si="24"/>
        <v>7</v>
      </c>
      <c r="AT118" s="8">
        <f t="shared" si="19"/>
        <v>0.38888888888888884</v>
      </c>
      <c r="AU118" s="14" t="str">
        <f t="shared" si="14"/>
        <v>DEFASAGEM</v>
      </c>
      <c r="AV118" s="7">
        <f t="shared" si="16"/>
        <v>16</v>
      </c>
      <c r="AW118" s="8">
        <f t="shared" si="15"/>
        <v>0.44444444444444442</v>
      </c>
    </row>
    <row r="119" spans="1:49" ht="15.75" customHeight="1" x14ac:dyDescent="0.25">
      <c r="A119" s="5" t="s">
        <v>11</v>
      </c>
      <c r="B119" s="7" t="s">
        <v>817</v>
      </c>
      <c r="C119" s="30" t="s">
        <v>1220</v>
      </c>
      <c r="D119" s="7" t="s">
        <v>1097</v>
      </c>
      <c r="E119" s="5" t="s">
        <v>820</v>
      </c>
      <c r="F119" s="5">
        <v>1</v>
      </c>
      <c r="G119" s="5">
        <v>0</v>
      </c>
      <c r="H119" s="5">
        <v>1</v>
      </c>
      <c r="I119" s="5">
        <v>1</v>
      </c>
      <c r="J119" s="5">
        <v>1</v>
      </c>
      <c r="K119" s="5">
        <v>0</v>
      </c>
      <c r="L119" s="5">
        <v>1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1</v>
      </c>
      <c r="X119" s="7">
        <f t="shared" si="23"/>
        <v>6</v>
      </c>
      <c r="Y119" s="8">
        <f t="shared" si="21"/>
        <v>0.33333333333333337</v>
      </c>
      <c r="Z119" s="14" t="str">
        <f t="shared" si="13"/>
        <v>DEFASAGEM</v>
      </c>
      <c r="AA119" s="5">
        <v>1</v>
      </c>
      <c r="AB119" s="5">
        <v>1</v>
      </c>
      <c r="AC119" s="5">
        <v>1</v>
      </c>
      <c r="AD119" s="5">
        <v>1</v>
      </c>
      <c r="AE119" s="5">
        <v>0</v>
      </c>
      <c r="AF119" s="5">
        <v>0</v>
      </c>
      <c r="AG119" s="5">
        <v>1</v>
      </c>
      <c r="AH119" s="5">
        <v>1</v>
      </c>
      <c r="AI119" s="5">
        <v>0</v>
      </c>
      <c r="AJ119" s="5">
        <v>0</v>
      </c>
      <c r="AK119" s="5">
        <v>1</v>
      </c>
      <c r="AL119" s="5">
        <v>1</v>
      </c>
      <c r="AM119" s="5">
        <v>1</v>
      </c>
      <c r="AN119" s="5">
        <v>1</v>
      </c>
      <c r="AO119" s="5">
        <v>0</v>
      </c>
      <c r="AP119" s="5">
        <v>0</v>
      </c>
      <c r="AQ119" s="5">
        <v>1</v>
      </c>
      <c r="AR119" s="5">
        <v>1</v>
      </c>
      <c r="AS119" s="7">
        <f t="shared" si="24"/>
        <v>12</v>
      </c>
      <c r="AT119" s="8">
        <f t="shared" si="19"/>
        <v>0.66666666666666674</v>
      </c>
      <c r="AU119" s="14" t="str">
        <f t="shared" si="14"/>
        <v>INTERMEDIÁRIO</v>
      </c>
      <c r="AV119" s="7">
        <f t="shared" si="16"/>
        <v>18</v>
      </c>
      <c r="AW119" s="8">
        <f t="shared" si="15"/>
        <v>0.5</v>
      </c>
    </row>
    <row r="120" spans="1:49" ht="15.75" customHeight="1" x14ac:dyDescent="0.25">
      <c r="A120" s="5" t="s">
        <v>11</v>
      </c>
      <c r="B120" s="7" t="s">
        <v>817</v>
      </c>
      <c r="C120" s="7" t="s">
        <v>1162</v>
      </c>
      <c r="D120" s="7" t="s">
        <v>1097</v>
      </c>
      <c r="E120" s="5" t="s">
        <v>821</v>
      </c>
      <c r="F120" s="5">
        <v>1</v>
      </c>
      <c r="G120" s="5">
        <v>1</v>
      </c>
      <c r="H120" s="5">
        <v>1</v>
      </c>
      <c r="I120" s="5">
        <v>0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7">
        <f t="shared" si="23"/>
        <v>17</v>
      </c>
      <c r="Y120" s="8">
        <f t="shared" si="21"/>
        <v>0.94444444444444442</v>
      </c>
      <c r="Z120" s="14" t="str">
        <f t="shared" si="13"/>
        <v>ADEQUADA</v>
      </c>
      <c r="AA120" s="5">
        <v>0</v>
      </c>
      <c r="AB120" s="5">
        <v>1</v>
      </c>
      <c r="AC120" s="5">
        <v>1</v>
      </c>
      <c r="AD120" s="5">
        <v>1</v>
      </c>
      <c r="AE120" s="5">
        <v>0</v>
      </c>
      <c r="AF120" s="5">
        <v>1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1</v>
      </c>
      <c r="AM120" s="5">
        <v>1</v>
      </c>
      <c r="AN120" s="5">
        <v>1</v>
      </c>
      <c r="AO120" s="5">
        <v>1</v>
      </c>
      <c r="AP120" s="5">
        <v>0</v>
      </c>
      <c r="AQ120" s="5">
        <v>0</v>
      </c>
      <c r="AR120" s="5">
        <v>1</v>
      </c>
      <c r="AS120" s="7">
        <f t="shared" si="24"/>
        <v>9</v>
      </c>
      <c r="AT120" s="8">
        <f t="shared" si="19"/>
        <v>0.5</v>
      </c>
      <c r="AU120" s="14" t="str">
        <f t="shared" si="14"/>
        <v>INTERMEDIÁRIO</v>
      </c>
      <c r="AV120" s="7">
        <f t="shared" si="16"/>
        <v>26</v>
      </c>
      <c r="AW120" s="8">
        <f t="shared" si="15"/>
        <v>0.72222222222222232</v>
      </c>
    </row>
    <row r="121" spans="1:49" ht="15.75" customHeight="1" x14ac:dyDescent="0.25">
      <c r="A121" s="5" t="s">
        <v>11</v>
      </c>
      <c r="B121" s="7" t="s">
        <v>817</v>
      </c>
      <c r="C121" s="7" t="s">
        <v>1162</v>
      </c>
      <c r="D121" s="7" t="s">
        <v>1097</v>
      </c>
      <c r="E121" s="5" t="s">
        <v>822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7">
        <f t="shared" si="23"/>
        <v>18</v>
      </c>
      <c r="Y121" s="8">
        <f t="shared" si="21"/>
        <v>1</v>
      </c>
      <c r="Z121" s="14" t="str">
        <f t="shared" si="13"/>
        <v>ADEQUADA</v>
      </c>
      <c r="AA121" s="5">
        <v>1</v>
      </c>
      <c r="AB121" s="5">
        <v>1</v>
      </c>
      <c r="AC121" s="5">
        <v>0</v>
      </c>
      <c r="AD121" s="5">
        <v>1</v>
      </c>
      <c r="AE121" s="5">
        <v>0</v>
      </c>
      <c r="AF121" s="5">
        <v>1</v>
      </c>
      <c r="AG121" s="5">
        <v>1</v>
      </c>
      <c r="AH121" s="5">
        <v>1</v>
      </c>
      <c r="AI121" s="5">
        <v>1</v>
      </c>
      <c r="AJ121" s="5">
        <v>0</v>
      </c>
      <c r="AK121" s="5">
        <v>1</v>
      </c>
      <c r="AL121" s="5">
        <v>1</v>
      </c>
      <c r="AM121" s="5">
        <v>1</v>
      </c>
      <c r="AN121" s="5">
        <v>1</v>
      </c>
      <c r="AO121" s="5">
        <v>0</v>
      </c>
      <c r="AP121" s="5">
        <v>0</v>
      </c>
      <c r="AQ121" s="5">
        <v>1</v>
      </c>
      <c r="AR121" s="5">
        <v>0</v>
      </c>
      <c r="AS121" s="7">
        <f t="shared" si="24"/>
        <v>12</v>
      </c>
      <c r="AT121" s="8">
        <f t="shared" si="19"/>
        <v>0.66666666666666674</v>
      </c>
      <c r="AU121" s="14" t="str">
        <f t="shared" si="14"/>
        <v>INTERMEDIÁRIO</v>
      </c>
      <c r="AV121" s="7">
        <f t="shared" si="16"/>
        <v>30</v>
      </c>
      <c r="AW121" s="8">
        <f t="shared" si="15"/>
        <v>0.83333333333333326</v>
      </c>
    </row>
    <row r="122" spans="1:49" ht="15.75" customHeight="1" x14ac:dyDescent="0.25">
      <c r="A122" s="5" t="s">
        <v>11</v>
      </c>
      <c r="B122" s="7" t="s">
        <v>817</v>
      </c>
      <c r="C122" s="26" t="s">
        <v>1162</v>
      </c>
      <c r="D122" s="7" t="s">
        <v>1097</v>
      </c>
      <c r="E122" s="5" t="s">
        <v>823</v>
      </c>
      <c r="F122" s="5">
        <v>0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7">
        <f t="shared" si="23"/>
        <v>17</v>
      </c>
      <c r="Y122" s="8">
        <f t="shared" si="21"/>
        <v>0.94444444444444442</v>
      </c>
      <c r="Z122" s="14" t="str">
        <f t="shared" si="13"/>
        <v>ADEQUADA</v>
      </c>
      <c r="AA122" s="5">
        <v>1</v>
      </c>
      <c r="AB122" s="5">
        <v>1</v>
      </c>
      <c r="AC122" s="5">
        <v>1</v>
      </c>
      <c r="AD122" s="5">
        <v>0</v>
      </c>
      <c r="AE122" s="5">
        <v>1</v>
      </c>
      <c r="AF122" s="5">
        <v>0</v>
      </c>
      <c r="AG122" s="5">
        <v>1</v>
      </c>
      <c r="AH122" s="5">
        <v>1</v>
      </c>
      <c r="AI122" s="5">
        <v>0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0</v>
      </c>
      <c r="AP122" s="5">
        <v>0</v>
      </c>
      <c r="AQ122" s="5">
        <v>0</v>
      </c>
      <c r="AR122" s="5">
        <v>1</v>
      </c>
      <c r="AS122" s="7">
        <f t="shared" si="24"/>
        <v>12</v>
      </c>
      <c r="AT122" s="8">
        <f t="shared" si="19"/>
        <v>0.66666666666666674</v>
      </c>
      <c r="AU122" s="14" t="str">
        <f t="shared" si="14"/>
        <v>INTERMEDIÁRIO</v>
      </c>
      <c r="AV122" s="7">
        <f t="shared" si="16"/>
        <v>29</v>
      </c>
      <c r="AW122" s="8">
        <f t="shared" si="15"/>
        <v>0.80555555555555558</v>
      </c>
    </row>
    <row r="123" spans="1:49" ht="15.75" customHeight="1" x14ac:dyDescent="0.25">
      <c r="A123" s="5" t="s">
        <v>11</v>
      </c>
      <c r="B123" s="27" t="s">
        <v>817</v>
      </c>
      <c r="C123" s="28" t="s">
        <v>1099</v>
      </c>
      <c r="D123" s="29" t="s">
        <v>1097</v>
      </c>
      <c r="E123" s="5" t="s">
        <v>824</v>
      </c>
      <c r="F123" s="5">
        <v>0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0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7">
        <f t="shared" si="23"/>
        <v>16</v>
      </c>
      <c r="Y123" s="8">
        <f t="shared" si="21"/>
        <v>0.88888888888888884</v>
      </c>
      <c r="Z123" s="14" t="str">
        <f t="shared" si="13"/>
        <v>ADEQUADA</v>
      </c>
      <c r="AA123" s="5">
        <v>1</v>
      </c>
      <c r="AB123" s="5">
        <v>1</v>
      </c>
      <c r="AC123" s="5">
        <v>1</v>
      </c>
      <c r="AD123" s="5">
        <v>0</v>
      </c>
      <c r="AE123" s="5">
        <v>1</v>
      </c>
      <c r="AF123" s="5">
        <v>0</v>
      </c>
      <c r="AG123" s="5">
        <v>1</v>
      </c>
      <c r="AH123" s="5">
        <v>1</v>
      </c>
      <c r="AI123" s="5">
        <v>0</v>
      </c>
      <c r="AJ123" s="5">
        <v>1</v>
      </c>
      <c r="AK123" s="5">
        <v>1</v>
      </c>
      <c r="AL123" s="5">
        <v>0</v>
      </c>
      <c r="AM123" s="5">
        <v>1</v>
      </c>
      <c r="AN123" s="5">
        <v>1</v>
      </c>
      <c r="AO123" s="5">
        <v>0</v>
      </c>
      <c r="AP123" s="5">
        <v>1</v>
      </c>
      <c r="AQ123" s="5">
        <v>1</v>
      </c>
      <c r="AR123" s="5">
        <v>1</v>
      </c>
      <c r="AS123" s="7">
        <f t="shared" si="24"/>
        <v>13</v>
      </c>
      <c r="AT123" s="8">
        <f t="shared" si="19"/>
        <v>0.72222222222222232</v>
      </c>
      <c r="AU123" s="14" t="str">
        <f t="shared" si="14"/>
        <v>ADEQUADA</v>
      </c>
      <c r="AV123" s="7">
        <f t="shared" si="16"/>
        <v>29</v>
      </c>
      <c r="AW123" s="8">
        <f t="shared" si="15"/>
        <v>0.80555555555555558</v>
      </c>
    </row>
    <row r="124" spans="1:49" ht="15.75" customHeight="1" x14ac:dyDescent="0.25">
      <c r="A124" s="5" t="s">
        <v>11</v>
      </c>
      <c r="B124" s="7" t="s">
        <v>817</v>
      </c>
      <c r="C124" s="30" t="s">
        <v>1162</v>
      </c>
      <c r="D124" s="7" t="s">
        <v>1097</v>
      </c>
      <c r="E124" s="5" t="s">
        <v>825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7">
        <f t="shared" si="23"/>
        <v>18</v>
      </c>
      <c r="Y124" s="8">
        <f t="shared" si="21"/>
        <v>1</v>
      </c>
      <c r="Z124" s="14" t="str">
        <f t="shared" si="13"/>
        <v>ADEQUADA</v>
      </c>
      <c r="AA124" s="5">
        <v>1</v>
      </c>
      <c r="AB124" s="5">
        <v>1</v>
      </c>
      <c r="AC124" s="5">
        <v>1</v>
      </c>
      <c r="AD124" s="5">
        <v>1</v>
      </c>
      <c r="AE124" s="5">
        <v>0</v>
      </c>
      <c r="AF124" s="5">
        <v>1</v>
      </c>
      <c r="AG124" s="5">
        <v>1</v>
      </c>
      <c r="AH124" s="5">
        <v>1</v>
      </c>
      <c r="AI124" s="5">
        <v>0</v>
      </c>
      <c r="AJ124" s="5">
        <v>1</v>
      </c>
      <c r="AK124" s="5">
        <v>1</v>
      </c>
      <c r="AL124" s="5">
        <v>0</v>
      </c>
      <c r="AM124" s="5">
        <v>1</v>
      </c>
      <c r="AN124" s="5">
        <v>1</v>
      </c>
      <c r="AO124" s="5">
        <v>0</v>
      </c>
      <c r="AP124" s="5">
        <v>0</v>
      </c>
      <c r="AQ124" s="5">
        <v>1</v>
      </c>
      <c r="AR124" s="5">
        <v>1</v>
      </c>
      <c r="AS124" s="7">
        <f t="shared" si="24"/>
        <v>13</v>
      </c>
      <c r="AT124" s="8">
        <f t="shared" si="19"/>
        <v>0.72222222222222232</v>
      </c>
      <c r="AU124" s="14" t="str">
        <f t="shared" si="14"/>
        <v>ADEQUADA</v>
      </c>
      <c r="AV124" s="7">
        <f t="shared" si="16"/>
        <v>31</v>
      </c>
      <c r="AW124" s="8">
        <f t="shared" si="15"/>
        <v>0.86111111111111116</v>
      </c>
    </row>
    <row r="125" spans="1:49" ht="15.75" customHeight="1" x14ac:dyDescent="0.25">
      <c r="A125" s="5" t="s">
        <v>11</v>
      </c>
      <c r="B125" s="7" t="s">
        <v>817</v>
      </c>
      <c r="C125" s="7" t="s">
        <v>1162</v>
      </c>
      <c r="D125" s="7" t="s">
        <v>1097</v>
      </c>
      <c r="E125" s="5" t="s">
        <v>826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7">
        <f t="shared" si="23"/>
        <v>18</v>
      </c>
      <c r="Y125" s="8">
        <f t="shared" si="21"/>
        <v>1</v>
      </c>
      <c r="Z125" s="14" t="str">
        <f t="shared" si="13"/>
        <v>ADEQUADA</v>
      </c>
      <c r="AA125" s="5">
        <v>1</v>
      </c>
      <c r="AB125" s="5">
        <v>1</v>
      </c>
      <c r="AC125" s="5">
        <v>1</v>
      </c>
      <c r="AD125" s="5">
        <v>1</v>
      </c>
      <c r="AE125" s="5">
        <v>0</v>
      </c>
      <c r="AF125" s="5">
        <v>1</v>
      </c>
      <c r="AG125" s="5">
        <v>1</v>
      </c>
      <c r="AH125" s="5">
        <v>1</v>
      </c>
      <c r="AI125" s="5">
        <v>0</v>
      </c>
      <c r="AJ125" s="5">
        <v>1</v>
      </c>
      <c r="AK125" s="5">
        <v>0</v>
      </c>
      <c r="AL125" s="5">
        <v>1</v>
      </c>
      <c r="AM125" s="5">
        <v>1</v>
      </c>
      <c r="AN125" s="5">
        <v>1</v>
      </c>
      <c r="AO125" s="5">
        <v>1</v>
      </c>
      <c r="AP125" s="5">
        <v>0</v>
      </c>
      <c r="AQ125" s="5">
        <v>1</v>
      </c>
      <c r="AR125" s="5">
        <v>1</v>
      </c>
      <c r="AS125" s="7">
        <f t="shared" si="24"/>
        <v>14</v>
      </c>
      <c r="AT125" s="8">
        <f t="shared" si="19"/>
        <v>0.77777777777777768</v>
      </c>
      <c r="AU125" s="14" t="str">
        <f t="shared" si="14"/>
        <v>ADEQUADA</v>
      </c>
      <c r="AV125" s="7">
        <f t="shared" si="16"/>
        <v>32</v>
      </c>
      <c r="AW125" s="8">
        <f t="shared" si="15"/>
        <v>0.88888888888888884</v>
      </c>
    </row>
    <row r="126" spans="1:49" ht="15.75" customHeight="1" x14ac:dyDescent="0.25">
      <c r="A126" s="5" t="s">
        <v>11</v>
      </c>
      <c r="B126" s="7" t="s">
        <v>817</v>
      </c>
      <c r="C126" s="7" t="s">
        <v>1162</v>
      </c>
      <c r="D126" s="7" t="s">
        <v>1097</v>
      </c>
      <c r="E126" s="5" t="s">
        <v>827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0</v>
      </c>
      <c r="P126" s="5">
        <v>1</v>
      </c>
      <c r="Q126" s="5">
        <v>1</v>
      </c>
      <c r="R126" s="5">
        <v>1</v>
      </c>
      <c r="S126" s="5">
        <v>1</v>
      </c>
      <c r="T126" s="5">
        <v>0</v>
      </c>
      <c r="U126" s="5">
        <v>1</v>
      </c>
      <c r="V126" s="5">
        <v>1</v>
      </c>
      <c r="W126" s="5">
        <v>1</v>
      </c>
      <c r="X126" s="7">
        <f t="shared" si="23"/>
        <v>16</v>
      </c>
      <c r="Y126" s="8">
        <f t="shared" si="21"/>
        <v>0.88888888888888884</v>
      </c>
      <c r="Z126" s="14" t="str">
        <f t="shared" si="13"/>
        <v>ADEQUADA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0</v>
      </c>
      <c r="AG126" s="5">
        <v>1</v>
      </c>
      <c r="AH126" s="5">
        <v>1</v>
      </c>
      <c r="AI126" s="5">
        <v>1</v>
      </c>
      <c r="AJ126" s="5">
        <v>0</v>
      </c>
      <c r="AK126" s="5">
        <v>1</v>
      </c>
      <c r="AL126" s="5">
        <v>1</v>
      </c>
      <c r="AM126" s="5">
        <v>1</v>
      </c>
      <c r="AN126" s="5">
        <v>1</v>
      </c>
      <c r="AO126" s="5">
        <v>0</v>
      </c>
      <c r="AP126" s="5">
        <v>0</v>
      </c>
      <c r="AQ126" s="5">
        <v>1</v>
      </c>
      <c r="AR126" s="5">
        <v>1</v>
      </c>
      <c r="AS126" s="7">
        <f t="shared" si="24"/>
        <v>14</v>
      </c>
      <c r="AT126" s="8">
        <f t="shared" si="19"/>
        <v>0.77777777777777768</v>
      </c>
      <c r="AU126" s="14" t="str">
        <f t="shared" si="14"/>
        <v>ADEQUADA</v>
      </c>
      <c r="AV126" s="7">
        <f t="shared" si="16"/>
        <v>30</v>
      </c>
      <c r="AW126" s="8">
        <f t="shared" si="15"/>
        <v>0.83333333333333326</v>
      </c>
    </row>
    <row r="127" spans="1:49" ht="15.75" customHeight="1" x14ac:dyDescent="0.25">
      <c r="A127" s="5" t="s">
        <v>11</v>
      </c>
      <c r="B127" s="7" t="s">
        <v>817</v>
      </c>
      <c r="C127" s="7" t="s">
        <v>1220</v>
      </c>
      <c r="D127" s="7" t="s">
        <v>1097</v>
      </c>
      <c r="E127" s="5" t="s">
        <v>828</v>
      </c>
      <c r="F127" s="5">
        <v>1</v>
      </c>
      <c r="G127" s="5">
        <v>0</v>
      </c>
      <c r="H127" s="5">
        <v>1</v>
      </c>
      <c r="I127" s="5">
        <v>1</v>
      </c>
      <c r="J127" s="5">
        <v>1</v>
      </c>
      <c r="K127" s="5">
        <v>1</v>
      </c>
      <c r="L127" s="5">
        <v>0</v>
      </c>
      <c r="M127" s="5">
        <v>1</v>
      </c>
      <c r="N127" s="5">
        <v>0</v>
      </c>
      <c r="O127" s="5">
        <v>0</v>
      </c>
      <c r="P127" s="5">
        <v>1</v>
      </c>
      <c r="Q127" s="5">
        <v>1</v>
      </c>
      <c r="R127" s="5">
        <v>1</v>
      </c>
      <c r="S127" s="5">
        <v>1</v>
      </c>
      <c r="T127" s="5">
        <v>0</v>
      </c>
      <c r="U127" s="5">
        <v>0</v>
      </c>
      <c r="V127" s="5">
        <v>1</v>
      </c>
      <c r="W127" s="5">
        <v>1</v>
      </c>
      <c r="X127" s="7">
        <f t="shared" si="23"/>
        <v>12</v>
      </c>
      <c r="Y127" s="8">
        <f t="shared" si="21"/>
        <v>0.66666666666666674</v>
      </c>
      <c r="Z127" s="14" t="str">
        <f t="shared" si="13"/>
        <v>INTERMEDIÁRIO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0</v>
      </c>
      <c r="AG127" s="5">
        <v>1</v>
      </c>
      <c r="AH127" s="5">
        <v>1</v>
      </c>
      <c r="AI127" s="5">
        <v>0</v>
      </c>
      <c r="AJ127" s="5">
        <v>0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0</v>
      </c>
      <c r="AQ127" s="5">
        <v>0</v>
      </c>
      <c r="AR127" s="5">
        <v>1</v>
      </c>
      <c r="AS127" s="7">
        <f t="shared" si="24"/>
        <v>13</v>
      </c>
      <c r="AT127" s="8">
        <f t="shared" si="19"/>
        <v>0.72222222222222232</v>
      </c>
      <c r="AU127" s="14" t="str">
        <f t="shared" si="14"/>
        <v>ADEQUADA</v>
      </c>
      <c r="AV127" s="7">
        <f t="shared" si="16"/>
        <v>25</v>
      </c>
      <c r="AW127" s="8">
        <f t="shared" si="15"/>
        <v>0.69444444444444442</v>
      </c>
    </row>
    <row r="128" spans="1:49" ht="15.75" customHeight="1" x14ac:dyDescent="0.25">
      <c r="A128" s="5" t="s">
        <v>11</v>
      </c>
      <c r="B128" s="7" t="s">
        <v>817</v>
      </c>
      <c r="C128" s="7" t="s">
        <v>1162</v>
      </c>
      <c r="D128" s="7" t="s">
        <v>1097</v>
      </c>
      <c r="E128" s="5" t="s">
        <v>829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7">
        <f t="shared" si="23"/>
        <v>18</v>
      </c>
      <c r="Y128" s="8">
        <f t="shared" si="21"/>
        <v>1</v>
      </c>
      <c r="Z128" s="14" t="str">
        <f t="shared" si="13"/>
        <v>ADEQUADA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0</v>
      </c>
      <c r="AJ128" s="5">
        <v>0</v>
      </c>
      <c r="AK128" s="5">
        <v>1</v>
      </c>
      <c r="AL128" s="5">
        <v>1</v>
      </c>
      <c r="AM128" s="5">
        <v>0</v>
      </c>
      <c r="AN128" s="5">
        <v>1</v>
      </c>
      <c r="AO128" s="5">
        <v>1</v>
      </c>
      <c r="AP128" s="5">
        <v>0</v>
      </c>
      <c r="AQ128" s="5">
        <v>1</v>
      </c>
      <c r="AR128" s="5">
        <v>1</v>
      </c>
      <c r="AS128" s="7">
        <f t="shared" si="24"/>
        <v>14</v>
      </c>
      <c r="AT128" s="8">
        <f t="shared" si="19"/>
        <v>0.77777777777777768</v>
      </c>
      <c r="AU128" s="14" t="str">
        <f t="shared" si="14"/>
        <v>ADEQUADA</v>
      </c>
      <c r="AV128" s="7">
        <f t="shared" si="16"/>
        <v>32</v>
      </c>
      <c r="AW128" s="8">
        <f t="shared" si="15"/>
        <v>0.88888888888888884</v>
      </c>
    </row>
    <row r="129" spans="1:49" ht="15.75" customHeight="1" x14ac:dyDescent="0.25">
      <c r="A129" s="5" t="s">
        <v>11</v>
      </c>
      <c r="B129" s="7" t="s">
        <v>817</v>
      </c>
      <c r="C129" s="26" t="s">
        <v>1104</v>
      </c>
      <c r="D129" s="7" t="s">
        <v>1097</v>
      </c>
      <c r="E129" s="5" t="s">
        <v>830</v>
      </c>
      <c r="F129" s="5">
        <v>1</v>
      </c>
      <c r="G129" s="5">
        <v>1</v>
      </c>
      <c r="H129" s="5">
        <v>1</v>
      </c>
      <c r="I129" s="5">
        <v>0</v>
      </c>
      <c r="J129" s="5">
        <v>1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1</v>
      </c>
      <c r="T129" s="5">
        <v>0</v>
      </c>
      <c r="U129" s="5">
        <v>0</v>
      </c>
      <c r="V129" s="5">
        <v>1</v>
      </c>
      <c r="W129" s="5">
        <v>0</v>
      </c>
      <c r="X129" s="7">
        <f t="shared" si="23"/>
        <v>7</v>
      </c>
      <c r="Y129" s="8">
        <f t="shared" si="21"/>
        <v>0.38888888888888884</v>
      </c>
      <c r="Z129" s="14" t="str">
        <f t="shared" si="13"/>
        <v>DEFASAGEM</v>
      </c>
      <c r="AA129" s="5">
        <v>0</v>
      </c>
      <c r="AB129" s="5">
        <v>1</v>
      </c>
      <c r="AC129" s="5">
        <v>1</v>
      </c>
      <c r="AD129" s="5">
        <v>0</v>
      </c>
      <c r="AE129" s="5">
        <v>0</v>
      </c>
      <c r="AF129" s="5">
        <v>0</v>
      </c>
      <c r="AG129" s="5">
        <v>1</v>
      </c>
      <c r="AH129" s="5">
        <v>0</v>
      </c>
      <c r="AI129" s="5">
        <v>0</v>
      </c>
      <c r="AJ129" s="5">
        <v>1</v>
      </c>
      <c r="AK129" s="5">
        <v>0</v>
      </c>
      <c r="AL129" s="5">
        <v>1</v>
      </c>
      <c r="AM129" s="5">
        <v>0</v>
      </c>
      <c r="AN129" s="5">
        <v>0</v>
      </c>
      <c r="AO129" s="5">
        <v>0</v>
      </c>
      <c r="AP129" s="5">
        <v>0</v>
      </c>
      <c r="AQ129" s="5">
        <v>1</v>
      </c>
      <c r="AR129" s="5">
        <v>0</v>
      </c>
      <c r="AS129" s="7">
        <f t="shared" si="24"/>
        <v>6</v>
      </c>
      <c r="AT129" s="8">
        <f t="shared" si="19"/>
        <v>0.33333333333333337</v>
      </c>
      <c r="AU129" s="14" t="str">
        <f t="shared" si="14"/>
        <v>DEFASAGEM</v>
      </c>
      <c r="AV129" s="7">
        <f t="shared" si="16"/>
        <v>13</v>
      </c>
      <c r="AW129" s="8">
        <f t="shared" si="15"/>
        <v>0.36111111111111116</v>
      </c>
    </row>
    <row r="130" spans="1:49" ht="15.75" customHeight="1" x14ac:dyDescent="0.25">
      <c r="A130" s="5" t="s">
        <v>11</v>
      </c>
      <c r="B130" s="27" t="s">
        <v>817</v>
      </c>
      <c r="C130" s="28" t="s">
        <v>1099</v>
      </c>
      <c r="D130" s="29" t="s">
        <v>1097</v>
      </c>
      <c r="E130" s="5" t="s">
        <v>831</v>
      </c>
      <c r="F130" s="5">
        <v>1</v>
      </c>
      <c r="G130" s="5">
        <v>1</v>
      </c>
      <c r="H130" s="5">
        <v>1</v>
      </c>
      <c r="I130" s="5">
        <v>0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0</v>
      </c>
      <c r="W130" s="5">
        <v>1</v>
      </c>
      <c r="X130" s="7">
        <f t="shared" si="23"/>
        <v>16</v>
      </c>
      <c r="Y130" s="8">
        <f t="shared" si="21"/>
        <v>0.88888888888888884</v>
      </c>
      <c r="Z130" s="14" t="str">
        <f t="shared" ref="Z130:Z185" si="25">IF(Y130&lt;0.4,"DEFASAGEM",IF(Y130&lt;0.7,"INTERMEDIÁRIO","ADEQUADA"))</f>
        <v>ADEQUADA</v>
      </c>
      <c r="AA130" s="5">
        <v>1</v>
      </c>
      <c r="AB130" s="5">
        <v>1</v>
      </c>
      <c r="AC130" s="5">
        <v>1</v>
      </c>
      <c r="AD130" s="5">
        <v>0</v>
      </c>
      <c r="AE130" s="5">
        <v>0</v>
      </c>
      <c r="AF130" s="5">
        <v>1</v>
      </c>
      <c r="AG130" s="5">
        <v>1</v>
      </c>
      <c r="AH130" s="5">
        <v>1</v>
      </c>
      <c r="AI130" s="5">
        <v>0</v>
      </c>
      <c r="AJ130" s="5">
        <v>0</v>
      </c>
      <c r="AK130" s="5">
        <v>0</v>
      </c>
      <c r="AL130" s="5">
        <v>0</v>
      </c>
      <c r="AM130" s="5">
        <v>1</v>
      </c>
      <c r="AN130" s="5">
        <v>1</v>
      </c>
      <c r="AO130" s="5">
        <v>1</v>
      </c>
      <c r="AP130" s="5">
        <v>0</v>
      </c>
      <c r="AQ130" s="5">
        <v>1</v>
      </c>
      <c r="AR130" s="5">
        <v>1</v>
      </c>
      <c r="AS130" s="7">
        <f t="shared" si="24"/>
        <v>11</v>
      </c>
      <c r="AT130" s="8">
        <f t="shared" si="19"/>
        <v>0.61111111111111116</v>
      </c>
      <c r="AU130" s="14" t="str">
        <f t="shared" ref="AU130:AU185" si="26">IF(AT130&lt;0.4,"DEFASAGEM",IF(AT130&lt;0.7,"INTERMEDIÁRIO","ADEQUADA"))</f>
        <v>INTERMEDIÁRIO</v>
      </c>
      <c r="AV130" s="7">
        <f t="shared" si="16"/>
        <v>27</v>
      </c>
      <c r="AW130" s="8">
        <f t="shared" ref="AW130:AW185" si="27">((AV130*100)/36)/100</f>
        <v>0.75</v>
      </c>
    </row>
    <row r="131" spans="1:49" ht="15.75" customHeight="1" x14ac:dyDescent="0.25">
      <c r="A131" s="5" t="s">
        <v>11</v>
      </c>
      <c r="B131" s="7" t="s">
        <v>817</v>
      </c>
      <c r="C131" s="30" t="s">
        <v>1220</v>
      </c>
      <c r="D131" s="7" t="s">
        <v>1097</v>
      </c>
      <c r="E131" s="5" t="s">
        <v>832</v>
      </c>
      <c r="F131" s="5">
        <v>1</v>
      </c>
      <c r="G131" s="5">
        <v>0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5">
        <v>1</v>
      </c>
      <c r="T131" s="5">
        <v>0</v>
      </c>
      <c r="U131" s="5">
        <v>1</v>
      </c>
      <c r="V131" s="5">
        <v>0</v>
      </c>
      <c r="W131" s="5">
        <v>1</v>
      </c>
      <c r="X131" s="7">
        <f t="shared" si="23"/>
        <v>15</v>
      </c>
      <c r="Y131" s="8">
        <f t="shared" si="21"/>
        <v>0.83333333333333326</v>
      </c>
      <c r="Z131" s="14" t="str">
        <f t="shared" si="25"/>
        <v>ADEQUADA</v>
      </c>
      <c r="AA131" s="5">
        <v>1</v>
      </c>
      <c r="AB131" s="5">
        <v>1</v>
      </c>
      <c r="AC131" s="5">
        <v>1</v>
      </c>
      <c r="AD131" s="5">
        <v>0</v>
      </c>
      <c r="AE131" s="5">
        <v>1</v>
      </c>
      <c r="AF131" s="5">
        <v>1</v>
      </c>
      <c r="AG131" s="5">
        <v>1</v>
      </c>
      <c r="AH131" s="5">
        <v>0</v>
      </c>
      <c r="AI131" s="5">
        <v>0</v>
      </c>
      <c r="AJ131" s="5">
        <v>0</v>
      </c>
      <c r="AK131" s="5">
        <v>1</v>
      </c>
      <c r="AL131" s="5">
        <v>0</v>
      </c>
      <c r="AM131" s="5">
        <v>0</v>
      </c>
      <c r="AN131" s="5">
        <v>1</v>
      </c>
      <c r="AO131" s="5">
        <v>1</v>
      </c>
      <c r="AP131" s="5">
        <v>0</v>
      </c>
      <c r="AQ131" s="5">
        <v>1</v>
      </c>
      <c r="AR131" s="5">
        <v>1</v>
      </c>
      <c r="AS131" s="7">
        <f t="shared" si="24"/>
        <v>11</v>
      </c>
      <c r="AT131" s="8">
        <f t="shared" si="19"/>
        <v>0.61111111111111116</v>
      </c>
      <c r="AU131" s="14" t="str">
        <f t="shared" si="26"/>
        <v>INTERMEDIÁRIO</v>
      </c>
      <c r="AV131" s="7">
        <f t="shared" si="16"/>
        <v>26</v>
      </c>
      <c r="AW131" s="8">
        <f t="shared" si="27"/>
        <v>0.72222222222222232</v>
      </c>
    </row>
    <row r="132" spans="1:49" ht="15.75" customHeight="1" x14ac:dyDescent="0.25">
      <c r="A132" s="5" t="s">
        <v>11</v>
      </c>
      <c r="B132" s="7" t="s">
        <v>817</v>
      </c>
      <c r="C132" s="7" t="s">
        <v>1162</v>
      </c>
      <c r="D132" s="7" t="s">
        <v>1097</v>
      </c>
      <c r="E132" s="5" t="s">
        <v>833</v>
      </c>
      <c r="F132" s="5">
        <v>1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0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5">
        <v>1</v>
      </c>
      <c r="X132" s="7">
        <f t="shared" si="23"/>
        <v>17</v>
      </c>
      <c r="Y132" s="8">
        <f t="shared" si="21"/>
        <v>0.94444444444444442</v>
      </c>
      <c r="Z132" s="14" t="str">
        <f t="shared" si="25"/>
        <v>ADEQUADA</v>
      </c>
      <c r="AA132" s="5">
        <v>1</v>
      </c>
      <c r="AB132" s="5">
        <v>1</v>
      </c>
      <c r="AC132" s="5">
        <v>1</v>
      </c>
      <c r="AD132" s="5">
        <v>0</v>
      </c>
      <c r="AE132" s="5">
        <v>1</v>
      </c>
      <c r="AF132" s="5">
        <v>1</v>
      </c>
      <c r="AG132" s="5">
        <v>1</v>
      </c>
      <c r="AH132" s="5">
        <v>1</v>
      </c>
      <c r="AI132" s="5">
        <v>0</v>
      </c>
      <c r="AJ132" s="5">
        <v>0</v>
      </c>
      <c r="AK132" s="5">
        <v>1</v>
      </c>
      <c r="AL132" s="5">
        <v>0</v>
      </c>
      <c r="AM132" s="5">
        <v>1</v>
      </c>
      <c r="AN132" s="5">
        <v>1</v>
      </c>
      <c r="AO132" s="5">
        <v>0</v>
      </c>
      <c r="AP132" s="5">
        <v>0</v>
      </c>
      <c r="AQ132" s="5">
        <v>0</v>
      </c>
      <c r="AR132" s="5">
        <v>1</v>
      </c>
      <c r="AS132" s="7">
        <f t="shared" si="24"/>
        <v>11</v>
      </c>
      <c r="AT132" s="8">
        <f t="shared" si="19"/>
        <v>0.61111111111111116</v>
      </c>
      <c r="AU132" s="14" t="str">
        <f t="shared" si="26"/>
        <v>INTERMEDIÁRIO</v>
      </c>
      <c r="AV132" s="7">
        <f t="shared" si="16"/>
        <v>28</v>
      </c>
      <c r="AW132" s="8">
        <f t="shared" si="27"/>
        <v>0.77777777777777768</v>
      </c>
    </row>
    <row r="133" spans="1:49" ht="15.75" customHeight="1" x14ac:dyDescent="0.25">
      <c r="A133" s="5" t="s">
        <v>11</v>
      </c>
      <c r="B133" s="7" t="s">
        <v>817</v>
      </c>
      <c r="C133" s="7" t="s">
        <v>1162</v>
      </c>
      <c r="D133" s="7" t="s">
        <v>1097</v>
      </c>
      <c r="E133" s="5" t="s">
        <v>834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1</v>
      </c>
      <c r="W133" s="5">
        <v>1</v>
      </c>
      <c r="X133" s="7">
        <f t="shared" si="23"/>
        <v>18</v>
      </c>
      <c r="Y133" s="8">
        <f t="shared" si="21"/>
        <v>1</v>
      </c>
      <c r="Z133" s="14" t="str">
        <f t="shared" si="25"/>
        <v>ADEQUADA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0</v>
      </c>
      <c r="AG133" s="5">
        <v>1</v>
      </c>
      <c r="AH133" s="5">
        <v>1</v>
      </c>
      <c r="AI133" s="5">
        <v>0</v>
      </c>
      <c r="AJ133" s="5">
        <v>0</v>
      </c>
      <c r="AK133" s="5">
        <v>1</v>
      </c>
      <c r="AL133" s="5">
        <v>1</v>
      </c>
      <c r="AM133" s="5">
        <v>0</v>
      </c>
      <c r="AN133" s="5">
        <v>1</v>
      </c>
      <c r="AO133" s="5">
        <v>0</v>
      </c>
      <c r="AP133" s="5">
        <v>0</v>
      </c>
      <c r="AQ133" s="5">
        <v>1</v>
      </c>
      <c r="AR133" s="5">
        <v>1</v>
      </c>
      <c r="AS133" s="7">
        <f t="shared" si="24"/>
        <v>12</v>
      </c>
      <c r="AT133" s="8">
        <f t="shared" si="19"/>
        <v>0.66666666666666674</v>
      </c>
      <c r="AU133" s="14" t="str">
        <f t="shared" si="26"/>
        <v>INTERMEDIÁRIO</v>
      </c>
      <c r="AV133" s="7">
        <f t="shared" si="16"/>
        <v>30</v>
      </c>
      <c r="AW133" s="8">
        <f t="shared" si="27"/>
        <v>0.83333333333333326</v>
      </c>
    </row>
    <row r="134" spans="1:49" ht="15.75" customHeight="1" x14ac:dyDescent="0.25">
      <c r="A134" s="5" t="s">
        <v>11</v>
      </c>
      <c r="B134" s="7" t="s">
        <v>817</v>
      </c>
      <c r="C134" s="7" t="s">
        <v>1162</v>
      </c>
      <c r="D134" s="7" t="s">
        <v>1097</v>
      </c>
      <c r="E134" s="5" t="s">
        <v>835</v>
      </c>
      <c r="F134" s="5">
        <v>1</v>
      </c>
      <c r="G134" s="5">
        <v>0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0</v>
      </c>
      <c r="U134" s="5">
        <v>1</v>
      </c>
      <c r="V134" s="5">
        <v>1</v>
      </c>
      <c r="W134" s="5">
        <v>1</v>
      </c>
      <c r="X134" s="7">
        <f t="shared" si="23"/>
        <v>16</v>
      </c>
      <c r="Y134" s="8">
        <f t="shared" si="21"/>
        <v>0.88888888888888884</v>
      </c>
      <c r="Z134" s="14" t="str">
        <f t="shared" si="25"/>
        <v>ADEQUADA</v>
      </c>
      <c r="AA134" s="5">
        <v>1</v>
      </c>
      <c r="AB134" s="5">
        <v>1</v>
      </c>
      <c r="AC134" s="5">
        <v>1</v>
      </c>
      <c r="AD134" s="5">
        <v>1</v>
      </c>
      <c r="AE134" s="5">
        <v>0</v>
      </c>
      <c r="AF134" s="5">
        <v>1</v>
      </c>
      <c r="AG134" s="5">
        <v>1</v>
      </c>
      <c r="AH134" s="5">
        <v>1</v>
      </c>
      <c r="AI134" s="5">
        <v>0</v>
      </c>
      <c r="AJ134" s="5">
        <v>1</v>
      </c>
      <c r="AK134" s="5">
        <v>1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1</v>
      </c>
      <c r="AR134" s="5">
        <v>1</v>
      </c>
      <c r="AS134" s="7">
        <f t="shared" si="24"/>
        <v>11</v>
      </c>
      <c r="AT134" s="8">
        <f t="shared" si="19"/>
        <v>0.61111111111111116</v>
      </c>
      <c r="AU134" s="14" t="str">
        <f t="shared" si="26"/>
        <v>INTERMEDIÁRIO</v>
      </c>
      <c r="AV134" s="7">
        <f t="shared" si="16"/>
        <v>27</v>
      </c>
      <c r="AW134" s="8">
        <f t="shared" si="27"/>
        <v>0.75</v>
      </c>
    </row>
    <row r="135" spans="1:49" ht="15.75" customHeight="1" x14ac:dyDescent="0.25">
      <c r="A135" s="5" t="s">
        <v>11</v>
      </c>
      <c r="B135" s="7" t="s">
        <v>817</v>
      </c>
      <c r="C135" s="7" t="s">
        <v>1104</v>
      </c>
      <c r="D135" s="7" t="s">
        <v>1097</v>
      </c>
      <c r="E135" s="5" t="s">
        <v>836</v>
      </c>
      <c r="F135" s="5">
        <v>0</v>
      </c>
      <c r="G135" s="5">
        <v>0</v>
      </c>
      <c r="H135" s="5">
        <v>0</v>
      </c>
      <c r="I135" s="5">
        <v>1</v>
      </c>
      <c r="J135" s="5">
        <v>1</v>
      </c>
      <c r="K135" s="5">
        <v>0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1</v>
      </c>
      <c r="S135" s="5">
        <v>1</v>
      </c>
      <c r="T135" s="5">
        <v>1</v>
      </c>
      <c r="U135" s="5">
        <v>0</v>
      </c>
      <c r="V135" s="5">
        <v>1</v>
      </c>
      <c r="W135" s="5">
        <v>0</v>
      </c>
      <c r="X135" s="7">
        <f t="shared" si="23"/>
        <v>7</v>
      </c>
      <c r="Y135" s="8">
        <f t="shared" si="21"/>
        <v>0.38888888888888884</v>
      </c>
      <c r="Z135" s="14" t="str">
        <f t="shared" si="25"/>
        <v>DEFASAGEM</v>
      </c>
      <c r="AA135" s="5">
        <v>1</v>
      </c>
      <c r="AB135" s="5">
        <v>1</v>
      </c>
      <c r="AC135" s="5">
        <v>1</v>
      </c>
      <c r="AD135" s="5">
        <v>1</v>
      </c>
      <c r="AE135" s="5">
        <v>0</v>
      </c>
      <c r="AF135" s="5">
        <v>1</v>
      </c>
      <c r="AG135" s="5">
        <v>0</v>
      </c>
      <c r="AH135" s="5">
        <v>1</v>
      </c>
      <c r="AI135" s="5">
        <v>1</v>
      </c>
      <c r="AJ135" s="5">
        <v>1</v>
      </c>
      <c r="AK135" s="5">
        <v>0</v>
      </c>
      <c r="AL135" s="5">
        <v>1</v>
      </c>
      <c r="AM135" s="5">
        <v>0</v>
      </c>
      <c r="AN135" s="5">
        <v>0</v>
      </c>
      <c r="AO135" s="5">
        <v>0</v>
      </c>
      <c r="AP135" s="5">
        <v>0</v>
      </c>
      <c r="AQ135" s="5">
        <v>1</v>
      </c>
      <c r="AR135" s="5">
        <v>1</v>
      </c>
      <c r="AS135" s="7">
        <f t="shared" si="24"/>
        <v>11</v>
      </c>
      <c r="AT135" s="8">
        <f t="shared" si="19"/>
        <v>0.61111111111111116</v>
      </c>
      <c r="AU135" s="14" t="str">
        <f t="shared" si="26"/>
        <v>INTERMEDIÁRIO</v>
      </c>
      <c r="AV135" s="7">
        <f t="shared" si="16"/>
        <v>18</v>
      </c>
      <c r="AW135" s="8">
        <f t="shared" si="27"/>
        <v>0.5</v>
      </c>
    </row>
    <row r="136" spans="1:49" ht="15.75" customHeight="1" x14ac:dyDescent="0.25">
      <c r="A136" s="5" t="s">
        <v>11</v>
      </c>
      <c r="B136" s="7" t="s">
        <v>1233</v>
      </c>
      <c r="C136" s="7" t="s">
        <v>1162</v>
      </c>
      <c r="D136" s="7" t="s">
        <v>1097</v>
      </c>
      <c r="E136" s="5" t="s">
        <v>1234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0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  <c r="X136" s="7">
        <f t="shared" si="23"/>
        <v>17</v>
      </c>
      <c r="Y136" s="8">
        <f t="shared" si="21"/>
        <v>0.94444444444444442</v>
      </c>
      <c r="Z136" s="14" t="str">
        <f t="shared" si="25"/>
        <v>ADEQUADA</v>
      </c>
      <c r="AA136" s="5">
        <v>1</v>
      </c>
      <c r="AB136" s="5">
        <v>1</v>
      </c>
      <c r="AC136" s="5">
        <v>1</v>
      </c>
      <c r="AD136" s="5">
        <v>1</v>
      </c>
      <c r="AE136" s="5">
        <v>1</v>
      </c>
      <c r="AF136" s="5">
        <v>1</v>
      </c>
      <c r="AG136" s="5">
        <v>1</v>
      </c>
      <c r="AH136" s="5">
        <v>1</v>
      </c>
      <c r="AI136" s="5">
        <v>0</v>
      </c>
      <c r="AJ136" s="5">
        <v>0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7">
        <f t="shared" si="24"/>
        <v>16</v>
      </c>
      <c r="AT136" s="8">
        <f t="shared" si="19"/>
        <v>0.88888888888888884</v>
      </c>
      <c r="AU136" s="14" t="str">
        <f t="shared" si="26"/>
        <v>ADEQUADA</v>
      </c>
      <c r="AV136" s="7">
        <f t="shared" si="16"/>
        <v>33</v>
      </c>
      <c r="AW136" s="8">
        <f t="shared" si="27"/>
        <v>0.91666666666666674</v>
      </c>
    </row>
    <row r="137" spans="1:49" ht="15.75" customHeight="1" x14ac:dyDescent="0.25">
      <c r="A137" s="5" t="s">
        <v>11</v>
      </c>
      <c r="B137" s="7" t="s">
        <v>817</v>
      </c>
      <c r="C137" s="7" t="s">
        <v>1220</v>
      </c>
      <c r="D137" s="7" t="s">
        <v>1097</v>
      </c>
      <c r="E137" s="5" t="s">
        <v>837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>
        <v>1</v>
      </c>
      <c r="W137" s="5">
        <v>1</v>
      </c>
      <c r="X137" s="7">
        <f t="shared" si="23"/>
        <v>18</v>
      </c>
      <c r="Y137" s="8">
        <f t="shared" si="21"/>
        <v>1</v>
      </c>
      <c r="Z137" s="14" t="str">
        <f t="shared" si="25"/>
        <v>ADEQUADA</v>
      </c>
      <c r="AA137" s="5">
        <v>1</v>
      </c>
      <c r="AB137" s="5">
        <v>1</v>
      </c>
      <c r="AC137" s="5">
        <v>1</v>
      </c>
      <c r="AD137" s="5">
        <v>1</v>
      </c>
      <c r="AE137" s="5">
        <v>0</v>
      </c>
      <c r="AF137" s="5">
        <v>1</v>
      </c>
      <c r="AG137" s="5">
        <v>1</v>
      </c>
      <c r="AH137" s="5">
        <v>1</v>
      </c>
      <c r="AI137" s="5">
        <v>0</v>
      </c>
      <c r="AJ137" s="5">
        <v>1</v>
      </c>
      <c r="AK137" s="5">
        <v>1</v>
      </c>
      <c r="AL137" s="5">
        <v>1</v>
      </c>
      <c r="AM137" s="5">
        <v>1</v>
      </c>
      <c r="AN137" s="5">
        <v>1</v>
      </c>
      <c r="AO137" s="5">
        <v>1</v>
      </c>
      <c r="AP137" s="5">
        <v>0</v>
      </c>
      <c r="AQ137" s="5">
        <v>0</v>
      </c>
      <c r="AR137" s="5">
        <v>1</v>
      </c>
      <c r="AS137" s="7">
        <f t="shared" si="24"/>
        <v>14</v>
      </c>
      <c r="AT137" s="8">
        <f t="shared" si="19"/>
        <v>0.77777777777777768</v>
      </c>
      <c r="AU137" s="14" t="str">
        <f t="shared" si="26"/>
        <v>ADEQUADA</v>
      </c>
      <c r="AV137" s="7">
        <f t="shared" si="16"/>
        <v>32</v>
      </c>
      <c r="AW137" s="8">
        <f t="shared" si="27"/>
        <v>0.88888888888888884</v>
      </c>
    </row>
    <row r="138" spans="1:49" ht="15.75" customHeight="1" x14ac:dyDescent="0.25">
      <c r="A138" s="5" t="s">
        <v>11</v>
      </c>
      <c r="B138" s="7" t="s">
        <v>817</v>
      </c>
      <c r="C138" s="7" t="s">
        <v>1162</v>
      </c>
      <c r="D138" s="7" t="s">
        <v>1097</v>
      </c>
      <c r="E138" s="5" t="s">
        <v>838</v>
      </c>
      <c r="F138" s="5">
        <v>0</v>
      </c>
      <c r="G138" s="5">
        <v>0</v>
      </c>
      <c r="H138" s="5">
        <v>0</v>
      </c>
      <c r="I138" s="5">
        <v>0</v>
      </c>
      <c r="J138" s="5">
        <v>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1</v>
      </c>
      <c r="W138" s="5">
        <v>1</v>
      </c>
      <c r="X138" s="7">
        <f t="shared" si="23"/>
        <v>9</v>
      </c>
      <c r="Y138" s="8">
        <f t="shared" si="21"/>
        <v>0.5</v>
      </c>
      <c r="Z138" s="14" t="str">
        <f t="shared" si="25"/>
        <v>INTERMEDIÁRIO</v>
      </c>
      <c r="AA138" s="5">
        <v>1</v>
      </c>
      <c r="AB138" s="5">
        <v>1</v>
      </c>
      <c r="AC138" s="5">
        <v>1</v>
      </c>
      <c r="AD138" s="5">
        <v>1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1</v>
      </c>
      <c r="AK138" s="5">
        <v>1</v>
      </c>
      <c r="AL138" s="5">
        <v>0</v>
      </c>
      <c r="AM138" s="5">
        <v>1</v>
      </c>
      <c r="AN138" s="5">
        <v>1</v>
      </c>
      <c r="AO138" s="5">
        <v>0</v>
      </c>
      <c r="AP138" s="5">
        <v>0</v>
      </c>
      <c r="AQ138" s="5">
        <v>1</v>
      </c>
      <c r="AR138" s="5">
        <v>1</v>
      </c>
      <c r="AS138" s="7">
        <f t="shared" si="24"/>
        <v>10</v>
      </c>
      <c r="AT138" s="8">
        <f t="shared" si="19"/>
        <v>0.55555555555555558</v>
      </c>
      <c r="AU138" s="14" t="str">
        <f t="shared" si="26"/>
        <v>INTERMEDIÁRIO</v>
      </c>
      <c r="AV138" s="7">
        <f t="shared" si="16"/>
        <v>19</v>
      </c>
      <c r="AW138" s="8">
        <f t="shared" si="27"/>
        <v>0.52777777777777779</v>
      </c>
    </row>
    <row r="139" spans="1:49" ht="15.75" customHeight="1" x14ac:dyDescent="0.25">
      <c r="A139" s="5" t="s">
        <v>11</v>
      </c>
      <c r="B139" s="7" t="s">
        <v>817</v>
      </c>
      <c r="C139" s="7" t="s">
        <v>1220</v>
      </c>
      <c r="D139" s="7" t="s">
        <v>1097</v>
      </c>
      <c r="E139" s="5" t="s">
        <v>839</v>
      </c>
      <c r="F139" s="5">
        <v>0</v>
      </c>
      <c r="G139" s="5">
        <v>0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0</v>
      </c>
      <c r="P139" s="5">
        <v>1</v>
      </c>
      <c r="Q139" s="5">
        <v>1</v>
      </c>
      <c r="R139" s="5">
        <v>1</v>
      </c>
      <c r="S139" s="5">
        <v>1</v>
      </c>
      <c r="T139" s="5">
        <v>0</v>
      </c>
      <c r="U139" s="5">
        <v>1</v>
      </c>
      <c r="V139" s="5">
        <v>1</v>
      </c>
      <c r="W139" s="5">
        <v>1</v>
      </c>
      <c r="X139" s="7">
        <f t="shared" si="23"/>
        <v>14</v>
      </c>
      <c r="Y139" s="8">
        <f t="shared" si="21"/>
        <v>0.77777777777777768</v>
      </c>
      <c r="Z139" s="14" t="str">
        <f t="shared" si="25"/>
        <v>ADEQUADA</v>
      </c>
      <c r="AA139" s="5">
        <v>1</v>
      </c>
      <c r="AB139" s="5">
        <v>1</v>
      </c>
      <c r="AC139" s="5">
        <v>1</v>
      </c>
      <c r="AD139" s="5">
        <v>0</v>
      </c>
      <c r="AE139" s="5">
        <v>1</v>
      </c>
      <c r="AF139" s="5">
        <v>1</v>
      </c>
      <c r="AG139" s="5">
        <v>1</v>
      </c>
      <c r="AH139" s="5">
        <v>1</v>
      </c>
      <c r="AI139" s="5">
        <v>0</v>
      </c>
      <c r="AJ139" s="5">
        <v>0</v>
      </c>
      <c r="AK139" s="5">
        <v>1</v>
      </c>
      <c r="AL139" s="5">
        <v>0</v>
      </c>
      <c r="AM139" s="5">
        <v>1</v>
      </c>
      <c r="AN139" s="5">
        <v>1</v>
      </c>
      <c r="AO139" s="5">
        <v>0</v>
      </c>
      <c r="AP139" s="5">
        <v>0</v>
      </c>
      <c r="AQ139" s="5">
        <v>1</v>
      </c>
      <c r="AR139" s="5">
        <v>1</v>
      </c>
      <c r="AS139" s="7">
        <f t="shared" si="24"/>
        <v>12</v>
      </c>
      <c r="AT139" s="8">
        <f t="shared" si="19"/>
        <v>0.66666666666666674</v>
      </c>
      <c r="AU139" s="14" t="str">
        <f t="shared" si="26"/>
        <v>INTERMEDIÁRIO</v>
      </c>
      <c r="AV139" s="7">
        <f t="shared" si="16"/>
        <v>26</v>
      </c>
      <c r="AW139" s="8">
        <f t="shared" si="27"/>
        <v>0.72222222222222232</v>
      </c>
    </row>
    <row r="140" spans="1:49" ht="15.75" customHeight="1" x14ac:dyDescent="0.25">
      <c r="A140" s="5" t="s">
        <v>11</v>
      </c>
      <c r="B140" s="7" t="s">
        <v>817</v>
      </c>
      <c r="C140" s="7" t="s">
        <v>1162</v>
      </c>
      <c r="D140" s="7" t="s">
        <v>1097</v>
      </c>
      <c r="E140" s="5" t="s">
        <v>840</v>
      </c>
      <c r="F140" s="5">
        <v>1</v>
      </c>
      <c r="G140" s="5">
        <v>0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0</v>
      </c>
      <c r="U140" s="5">
        <v>1</v>
      </c>
      <c r="V140" s="5">
        <v>1</v>
      </c>
      <c r="W140" s="5">
        <v>1</v>
      </c>
      <c r="X140" s="7">
        <f t="shared" si="23"/>
        <v>16</v>
      </c>
      <c r="Y140" s="8">
        <f t="shared" si="21"/>
        <v>0.88888888888888884</v>
      </c>
      <c r="Z140" s="14" t="str">
        <f t="shared" si="25"/>
        <v>ADEQUADA</v>
      </c>
      <c r="AA140" s="5">
        <v>1</v>
      </c>
      <c r="AB140" s="5">
        <v>1</v>
      </c>
      <c r="AC140" s="5">
        <v>1</v>
      </c>
      <c r="AD140" s="5">
        <v>0</v>
      </c>
      <c r="AE140" s="5">
        <v>1</v>
      </c>
      <c r="AF140" s="5">
        <v>1</v>
      </c>
      <c r="AG140" s="5">
        <v>1</v>
      </c>
      <c r="AH140" s="5">
        <v>1</v>
      </c>
      <c r="AI140" s="5">
        <v>0</v>
      </c>
      <c r="AJ140" s="5">
        <v>1</v>
      </c>
      <c r="AK140" s="5">
        <v>1</v>
      </c>
      <c r="AL140" s="5">
        <v>1</v>
      </c>
      <c r="AM140" s="5">
        <v>1</v>
      </c>
      <c r="AN140" s="5">
        <v>1</v>
      </c>
      <c r="AO140" s="5">
        <v>1</v>
      </c>
      <c r="AP140" s="5">
        <v>0</v>
      </c>
      <c r="AQ140" s="5">
        <v>1</v>
      </c>
      <c r="AR140" s="5">
        <v>1</v>
      </c>
      <c r="AS140" s="7">
        <f t="shared" si="24"/>
        <v>15</v>
      </c>
      <c r="AT140" s="8">
        <f t="shared" si="19"/>
        <v>0.83333333333333326</v>
      </c>
      <c r="AU140" s="14" t="str">
        <f t="shared" si="26"/>
        <v>ADEQUADA</v>
      </c>
      <c r="AV140" s="7">
        <f t="shared" si="16"/>
        <v>31</v>
      </c>
      <c r="AW140" s="8">
        <f t="shared" si="27"/>
        <v>0.86111111111111116</v>
      </c>
    </row>
    <row r="141" spans="1:49" ht="15.75" customHeight="1" x14ac:dyDescent="0.25">
      <c r="A141" s="5" t="s">
        <v>11</v>
      </c>
      <c r="B141" s="7" t="s">
        <v>817</v>
      </c>
      <c r="C141" s="7" t="s">
        <v>1220</v>
      </c>
      <c r="D141" s="7" t="s">
        <v>1097</v>
      </c>
      <c r="E141" s="5" t="s">
        <v>841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5">
        <v>0</v>
      </c>
      <c r="T141" s="5">
        <v>1</v>
      </c>
      <c r="U141" s="5">
        <v>1</v>
      </c>
      <c r="V141" s="5">
        <v>0</v>
      </c>
      <c r="W141" s="5">
        <v>1</v>
      </c>
      <c r="X141" s="7">
        <f t="shared" si="23"/>
        <v>16</v>
      </c>
      <c r="Y141" s="8">
        <f t="shared" si="21"/>
        <v>0.88888888888888884</v>
      </c>
      <c r="Z141" s="14" t="str">
        <f t="shared" si="25"/>
        <v>ADEQUADA</v>
      </c>
      <c r="AA141" s="5">
        <v>1</v>
      </c>
      <c r="AB141" s="5">
        <v>1</v>
      </c>
      <c r="AC141" s="5">
        <v>1</v>
      </c>
      <c r="AD141" s="5">
        <v>1</v>
      </c>
      <c r="AE141" s="5">
        <v>0</v>
      </c>
      <c r="AF141" s="5">
        <v>1</v>
      </c>
      <c r="AG141" s="5">
        <v>1</v>
      </c>
      <c r="AH141" s="5">
        <v>1</v>
      </c>
      <c r="AI141" s="5">
        <v>0</v>
      </c>
      <c r="AJ141" s="5">
        <v>1</v>
      </c>
      <c r="AK141" s="5">
        <v>1</v>
      </c>
      <c r="AL141" s="5">
        <v>0</v>
      </c>
      <c r="AM141" s="5">
        <v>1</v>
      </c>
      <c r="AN141" s="5">
        <v>1</v>
      </c>
      <c r="AO141" s="5">
        <v>0</v>
      </c>
      <c r="AP141" s="5">
        <v>0</v>
      </c>
      <c r="AQ141" s="5">
        <v>1</v>
      </c>
      <c r="AR141" s="5">
        <v>1</v>
      </c>
      <c r="AS141" s="7">
        <f t="shared" si="24"/>
        <v>13</v>
      </c>
      <c r="AT141" s="8">
        <f t="shared" si="19"/>
        <v>0.72222222222222232</v>
      </c>
      <c r="AU141" s="14" t="str">
        <f t="shared" si="26"/>
        <v>ADEQUADA</v>
      </c>
      <c r="AV141" s="7">
        <f t="shared" si="16"/>
        <v>29</v>
      </c>
      <c r="AW141" s="8">
        <f t="shared" si="27"/>
        <v>0.80555555555555558</v>
      </c>
    </row>
    <row r="142" spans="1:49" ht="15.75" customHeight="1" x14ac:dyDescent="0.25">
      <c r="A142" s="5" t="s">
        <v>11</v>
      </c>
      <c r="B142" s="7" t="s">
        <v>817</v>
      </c>
      <c r="C142" s="7" t="s">
        <v>1162</v>
      </c>
      <c r="D142" s="7" t="s">
        <v>1097</v>
      </c>
      <c r="E142" s="5" t="s">
        <v>842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  <c r="K142" s="5">
        <v>0</v>
      </c>
      <c r="L142" s="5">
        <v>1</v>
      </c>
      <c r="M142" s="5">
        <v>0</v>
      </c>
      <c r="N142" s="5">
        <v>0</v>
      </c>
      <c r="O142" s="5">
        <v>0</v>
      </c>
      <c r="P142" s="5">
        <v>1</v>
      </c>
      <c r="Q142" s="5">
        <v>1</v>
      </c>
      <c r="R142" s="5">
        <v>1</v>
      </c>
      <c r="S142" s="5">
        <v>1</v>
      </c>
      <c r="T142" s="5">
        <v>0</v>
      </c>
      <c r="U142" s="5">
        <v>1</v>
      </c>
      <c r="V142" s="5">
        <v>1</v>
      </c>
      <c r="W142" s="5">
        <v>1</v>
      </c>
      <c r="X142" s="7">
        <f t="shared" si="23"/>
        <v>13</v>
      </c>
      <c r="Y142" s="8">
        <f t="shared" si="21"/>
        <v>0.72222222222222232</v>
      </c>
      <c r="Z142" s="14" t="str">
        <f t="shared" si="25"/>
        <v>ADEQUADA</v>
      </c>
      <c r="AA142" s="5">
        <v>1</v>
      </c>
      <c r="AB142" s="5">
        <v>1</v>
      </c>
      <c r="AC142" s="5">
        <v>1</v>
      </c>
      <c r="AD142" s="5">
        <v>1</v>
      </c>
      <c r="AE142" s="5">
        <v>0</v>
      </c>
      <c r="AF142" s="5">
        <v>0</v>
      </c>
      <c r="AG142" s="5">
        <v>1</v>
      </c>
      <c r="AH142" s="5">
        <v>1</v>
      </c>
      <c r="AI142" s="5">
        <v>1</v>
      </c>
      <c r="AJ142" s="5">
        <v>0</v>
      </c>
      <c r="AK142" s="5">
        <v>1</v>
      </c>
      <c r="AL142" s="5">
        <v>1</v>
      </c>
      <c r="AM142" s="5">
        <v>1</v>
      </c>
      <c r="AN142" s="5">
        <v>0</v>
      </c>
      <c r="AO142" s="5">
        <v>0</v>
      </c>
      <c r="AP142" s="5">
        <v>0</v>
      </c>
      <c r="AQ142" s="5">
        <v>0</v>
      </c>
      <c r="AR142" s="5">
        <v>1</v>
      </c>
      <c r="AS142" s="7">
        <f t="shared" si="24"/>
        <v>11</v>
      </c>
      <c r="AT142" s="8">
        <f t="shared" si="19"/>
        <v>0.61111111111111116</v>
      </c>
      <c r="AU142" s="14" t="str">
        <f t="shared" si="26"/>
        <v>INTERMEDIÁRIO</v>
      </c>
      <c r="AV142" s="7">
        <f t="shared" si="16"/>
        <v>24</v>
      </c>
      <c r="AW142" s="8">
        <f t="shared" si="27"/>
        <v>0.66666666666666674</v>
      </c>
    </row>
    <row r="143" spans="1:49" ht="15.75" customHeight="1" x14ac:dyDescent="0.25">
      <c r="A143" s="5" t="s">
        <v>11</v>
      </c>
      <c r="B143" s="7" t="s">
        <v>817</v>
      </c>
      <c r="C143" s="7" t="s">
        <v>1162</v>
      </c>
      <c r="D143" s="7" t="s">
        <v>1097</v>
      </c>
      <c r="E143" s="5" t="s">
        <v>843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>
        <v>1</v>
      </c>
      <c r="X143" s="7">
        <f t="shared" si="23"/>
        <v>18</v>
      </c>
      <c r="Y143" s="8">
        <f t="shared" si="21"/>
        <v>1</v>
      </c>
      <c r="Z143" s="14" t="str">
        <f t="shared" si="25"/>
        <v>ADEQUADA</v>
      </c>
      <c r="AA143" s="5">
        <v>1</v>
      </c>
      <c r="AB143" s="5">
        <v>1</v>
      </c>
      <c r="AC143" s="5">
        <v>1</v>
      </c>
      <c r="AD143" s="5">
        <v>1</v>
      </c>
      <c r="AE143" s="5">
        <v>0</v>
      </c>
      <c r="AF143" s="5">
        <v>1</v>
      </c>
      <c r="AG143" s="5">
        <v>0</v>
      </c>
      <c r="AH143" s="5">
        <v>1</v>
      </c>
      <c r="AI143" s="5">
        <v>0</v>
      </c>
      <c r="AJ143" s="5">
        <v>0</v>
      </c>
      <c r="AK143" s="5">
        <v>0</v>
      </c>
      <c r="AL143" s="5">
        <v>1</v>
      </c>
      <c r="AM143" s="5">
        <v>1</v>
      </c>
      <c r="AN143" s="5">
        <v>1</v>
      </c>
      <c r="AO143" s="5">
        <v>0</v>
      </c>
      <c r="AP143" s="5">
        <v>0</v>
      </c>
      <c r="AQ143" s="5">
        <v>1</v>
      </c>
      <c r="AR143" s="5">
        <v>1</v>
      </c>
      <c r="AS143" s="7">
        <f t="shared" si="24"/>
        <v>11</v>
      </c>
      <c r="AT143" s="8">
        <f t="shared" si="19"/>
        <v>0.61111111111111116</v>
      </c>
      <c r="AU143" s="14" t="str">
        <f t="shared" si="26"/>
        <v>INTERMEDIÁRIO</v>
      </c>
      <c r="AV143" s="7">
        <f t="shared" si="16"/>
        <v>29</v>
      </c>
      <c r="AW143" s="8">
        <f t="shared" si="27"/>
        <v>0.80555555555555558</v>
      </c>
    </row>
    <row r="144" spans="1:49" ht="15.75" customHeight="1" x14ac:dyDescent="0.25">
      <c r="A144" s="5" t="s">
        <v>11</v>
      </c>
      <c r="B144" s="7" t="s">
        <v>817</v>
      </c>
      <c r="C144" s="7" t="s">
        <v>1162</v>
      </c>
      <c r="D144" s="7" t="s">
        <v>1097</v>
      </c>
      <c r="E144" s="5" t="s">
        <v>844</v>
      </c>
      <c r="F144" s="5">
        <v>1</v>
      </c>
      <c r="G144" s="5">
        <v>0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0</v>
      </c>
      <c r="U144" s="5">
        <v>1</v>
      </c>
      <c r="V144" s="5">
        <v>1</v>
      </c>
      <c r="W144" s="5">
        <v>1</v>
      </c>
      <c r="X144" s="7">
        <f t="shared" si="23"/>
        <v>16</v>
      </c>
      <c r="Y144" s="8">
        <f t="shared" si="21"/>
        <v>0.88888888888888884</v>
      </c>
      <c r="Z144" s="14" t="str">
        <f t="shared" si="25"/>
        <v>ADEQUADA</v>
      </c>
      <c r="AA144" s="5">
        <v>1</v>
      </c>
      <c r="AB144" s="5">
        <v>1</v>
      </c>
      <c r="AC144" s="5">
        <v>1</v>
      </c>
      <c r="AD144" s="5">
        <v>0</v>
      </c>
      <c r="AE144" s="5">
        <v>1</v>
      </c>
      <c r="AF144" s="5">
        <v>1</v>
      </c>
      <c r="AG144" s="5">
        <v>1</v>
      </c>
      <c r="AH144" s="5">
        <v>0</v>
      </c>
      <c r="AI144" s="5">
        <v>0</v>
      </c>
      <c r="AJ144" s="5">
        <v>0</v>
      </c>
      <c r="AK144" s="5">
        <v>1</v>
      </c>
      <c r="AL144" s="5">
        <v>0</v>
      </c>
      <c r="AM144" s="5">
        <v>0</v>
      </c>
      <c r="AN144" s="5">
        <v>0</v>
      </c>
      <c r="AO144" s="5">
        <v>1</v>
      </c>
      <c r="AP144" s="5">
        <v>0</v>
      </c>
      <c r="AQ144" s="5">
        <v>1</v>
      </c>
      <c r="AR144" s="5">
        <v>1</v>
      </c>
      <c r="AS144" s="7">
        <f t="shared" si="24"/>
        <v>10</v>
      </c>
      <c r="AT144" s="8">
        <f t="shared" si="19"/>
        <v>0.55555555555555558</v>
      </c>
      <c r="AU144" s="14" t="str">
        <f t="shared" si="26"/>
        <v>INTERMEDIÁRIO</v>
      </c>
      <c r="AV144" s="7">
        <f t="shared" si="16"/>
        <v>26</v>
      </c>
      <c r="AW144" s="8">
        <f t="shared" si="27"/>
        <v>0.72222222222222232</v>
      </c>
    </row>
    <row r="145" spans="1:49" ht="15.75" customHeight="1" x14ac:dyDescent="0.25">
      <c r="A145" s="5" t="s">
        <v>11</v>
      </c>
      <c r="B145" s="7" t="s">
        <v>710</v>
      </c>
      <c r="C145" s="7" t="s">
        <v>1162</v>
      </c>
      <c r="D145" s="7" t="s">
        <v>1097</v>
      </c>
      <c r="E145" s="5" t="s">
        <v>845</v>
      </c>
      <c r="F145" s="5">
        <v>1</v>
      </c>
      <c r="G145" s="5">
        <v>1</v>
      </c>
      <c r="H145" s="5">
        <v>0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>
        <v>1</v>
      </c>
      <c r="X145" s="7">
        <f t="shared" si="23"/>
        <v>17</v>
      </c>
      <c r="Y145" s="8">
        <f t="shared" si="21"/>
        <v>0.94444444444444442</v>
      </c>
      <c r="Z145" s="14" t="str">
        <f t="shared" si="25"/>
        <v>ADEQUADA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0</v>
      </c>
      <c r="AG145" s="5">
        <v>1</v>
      </c>
      <c r="AH145" s="5">
        <v>1</v>
      </c>
      <c r="AI145" s="5">
        <v>0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1</v>
      </c>
      <c r="AR145" s="5">
        <v>1</v>
      </c>
      <c r="AS145" s="7">
        <f t="shared" si="24"/>
        <v>16</v>
      </c>
      <c r="AT145" s="8">
        <f t="shared" si="19"/>
        <v>0.88888888888888884</v>
      </c>
      <c r="AU145" s="14" t="str">
        <f t="shared" si="26"/>
        <v>ADEQUADA</v>
      </c>
      <c r="AV145" s="7">
        <f t="shared" si="16"/>
        <v>33</v>
      </c>
      <c r="AW145" s="8">
        <f t="shared" si="27"/>
        <v>0.91666666666666674</v>
      </c>
    </row>
    <row r="146" spans="1:49" ht="15.75" customHeight="1" x14ac:dyDescent="0.25">
      <c r="A146" s="5" t="s">
        <v>11</v>
      </c>
      <c r="B146" s="7" t="s">
        <v>710</v>
      </c>
      <c r="C146" s="26" t="s">
        <v>1104</v>
      </c>
      <c r="D146" s="7" t="s">
        <v>1097</v>
      </c>
      <c r="E146" s="5" t="s">
        <v>846</v>
      </c>
      <c r="F146" s="5">
        <v>1</v>
      </c>
      <c r="G146" s="5">
        <v>1</v>
      </c>
      <c r="H146" s="5">
        <v>1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1</v>
      </c>
      <c r="P146" s="5">
        <v>1</v>
      </c>
      <c r="Q146" s="5">
        <v>1</v>
      </c>
      <c r="R146" s="5">
        <v>1</v>
      </c>
      <c r="S146" s="5">
        <v>1</v>
      </c>
      <c r="T146" s="5">
        <v>0</v>
      </c>
      <c r="U146" s="5">
        <v>1</v>
      </c>
      <c r="V146" s="5">
        <v>1</v>
      </c>
      <c r="W146" s="5">
        <v>1</v>
      </c>
      <c r="X146" s="7">
        <f t="shared" si="23"/>
        <v>17</v>
      </c>
      <c r="Y146" s="8">
        <f t="shared" si="21"/>
        <v>0.94444444444444442</v>
      </c>
      <c r="Z146" s="14" t="str">
        <f t="shared" si="25"/>
        <v>ADEQUADA</v>
      </c>
      <c r="AA146" s="5">
        <v>1</v>
      </c>
      <c r="AB146" s="5">
        <v>1</v>
      </c>
      <c r="AC146" s="5">
        <v>1</v>
      </c>
      <c r="AD146" s="5">
        <v>1</v>
      </c>
      <c r="AE146" s="5">
        <v>0</v>
      </c>
      <c r="AF146" s="5">
        <v>1</v>
      </c>
      <c r="AG146" s="5">
        <v>1</v>
      </c>
      <c r="AH146" s="5">
        <v>0</v>
      </c>
      <c r="AI146" s="5">
        <v>0</v>
      </c>
      <c r="AJ146" s="5">
        <v>0</v>
      </c>
      <c r="AK146" s="5">
        <v>1</v>
      </c>
      <c r="AL146" s="5">
        <v>1</v>
      </c>
      <c r="AM146" s="5">
        <v>1</v>
      </c>
      <c r="AN146" s="5">
        <v>1</v>
      </c>
      <c r="AO146" s="5">
        <v>0</v>
      </c>
      <c r="AP146" s="5">
        <v>0</v>
      </c>
      <c r="AQ146" s="5">
        <v>1</v>
      </c>
      <c r="AR146" s="5">
        <v>1</v>
      </c>
      <c r="AS146" s="7">
        <f t="shared" si="24"/>
        <v>12</v>
      </c>
      <c r="AT146" s="8">
        <f t="shared" si="19"/>
        <v>0.66666666666666674</v>
      </c>
      <c r="AU146" s="14" t="str">
        <f t="shared" si="26"/>
        <v>INTERMEDIÁRIO</v>
      </c>
      <c r="AV146" s="7">
        <f t="shared" si="16"/>
        <v>29</v>
      </c>
      <c r="AW146" s="8">
        <f t="shared" si="27"/>
        <v>0.80555555555555558</v>
      </c>
    </row>
    <row r="147" spans="1:49" ht="15.75" customHeight="1" x14ac:dyDescent="0.25">
      <c r="A147" s="5" t="s">
        <v>11</v>
      </c>
      <c r="B147" s="27" t="s">
        <v>710</v>
      </c>
      <c r="C147" s="28" t="s">
        <v>1099</v>
      </c>
      <c r="D147" s="29" t="s">
        <v>1100</v>
      </c>
      <c r="E147" s="5" t="s">
        <v>847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7">
        <f t="shared" si="23"/>
        <v>0</v>
      </c>
      <c r="Y147" s="8">
        <f t="shared" si="21"/>
        <v>0</v>
      </c>
      <c r="Z147" s="14" t="str">
        <f t="shared" si="25"/>
        <v>DEFASAGEM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7">
        <v>0</v>
      </c>
      <c r="AT147" s="8">
        <f t="shared" si="19"/>
        <v>0</v>
      </c>
      <c r="AU147" s="14" t="str">
        <f t="shared" si="26"/>
        <v>DEFASAGEM</v>
      </c>
      <c r="AV147" s="7">
        <f t="shared" ref="AV147:AV167" si="28">SUM(F147:W147)+(SUM(AA147:AR147))</f>
        <v>0</v>
      </c>
      <c r="AW147" s="8">
        <f t="shared" si="27"/>
        <v>0</v>
      </c>
    </row>
    <row r="148" spans="1:49" ht="15.75" customHeight="1" x14ac:dyDescent="0.25">
      <c r="A148" s="5" t="s">
        <v>11</v>
      </c>
      <c r="B148" s="7" t="s">
        <v>710</v>
      </c>
      <c r="C148" s="30" t="s">
        <v>1220</v>
      </c>
      <c r="D148" s="7" t="s">
        <v>1097</v>
      </c>
      <c r="E148" s="5" t="s">
        <v>848</v>
      </c>
      <c r="F148" s="5">
        <v>1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0</v>
      </c>
      <c r="M148" s="5">
        <v>1</v>
      </c>
      <c r="N148" s="5">
        <v>1</v>
      </c>
      <c r="O148" s="5">
        <v>1</v>
      </c>
      <c r="P148" s="5">
        <v>0</v>
      </c>
      <c r="Q148" s="5">
        <v>0</v>
      </c>
      <c r="R148" s="5">
        <v>1</v>
      </c>
      <c r="S148" s="5">
        <v>1</v>
      </c>
      <c r="T148" s="5">
        <v>1</v>
      </c>
      <c r="U148" s="5">
        <v>1</v>
      </c>
      <c r="V148" s="5">
        <v>0</v>
      </c>
      <c r="W148" s="5">
        <v>1</v>
      </c>
      <c r="X148" s="7">
        <f t="shared" si="23"/>
        <v>14</v>
      </c>
      <c r="Y148" s="8">
        <f t="shared" si="21"/>
        <v>0.77777777777777768</v>
      </c>
      <c r="Z148" s="14" t="str">
        <f t="shared" si="25"/>
        <v>ADEQUADA</v>
      </c>
      <c r="AA148" s="5">
        <v>1</v>
      </c>
      <c r="AB148" s="5">
        <v>1</v>
      </c>
      <c r="AC148" s="5">
        <v>1</v>
      </c>
      <c r="AD148" s="5">
        <v>1</v>
      </c>
      <c r="AE148" s="5">
        <v>0</v>
      </c>
      <c r="AF148" s="5">
        <v>0</v>
      </c>
      <c r="AG148" s="5">
        <v>1</v>
      </c>
      <c r="AH148" s="5">
        <v>1</v>
      </c>
      <c r="AI148" s="5">
        <v>0</v>
      </c>
      <c r="AJ148" s="5">
        <v>1</v>
      </c>
      <c r="AK148" s="5">
        <v>1</v>
      </c>
      <c r="AL148" s="5">
        <v>1</v>
      </c>
      <c r="AM148" s="5">
        <v>1</v>
      </c>
      <c r="AN148" s="5">
        <v>1</v>
      </c>
      <c r="AO148" s="5">
        <v>1</v>
      </c>
      <c r="AP148" s="5">
        <v>0</v>
      </c>
      <c r="AQ148" s="5">
        <v>1</v>
      </c>
      <c r="AR148" s="5">
        <v>1</v>
      </c>
      <c r="AS148" s="7">
        <f t="shared" ref="AS148:AS175" si="29">SUM(AA148:AR148)</f>
        <v>14</v>
      </c>
      <c r="AT148" s="8">
        <f t="shared" si="19"/>
        <v>0.77777777777777768</v>
      </c>
      <c r="AU148" s="14" t="str">
        <f t="shared" si="26"/>
        <v>ADEQUADA</v>
      </c>
      <c r="AV148" s="7">
        <f t="shared" si="28"/>
        <v>28</v>
      </c>
      <c r="AW148" s="8">
        <f t="shared" si="27"/>
        <v>0.77777777777777768</v>
      </c>
    </row>
    <row r="149" spans="1:49" ht="15.75" customHeight="1" x14ac:dyDescent="0.25">
      <c r="A149" s="5" t="s">
        <v>11</v>
      </c>
      <c r="B149" s="7" t="s">
        <v>710</v>
      </c>
      <c r="C149" s="7" t="s">
        <v>1162</v>
      </c>
      <c r="D149" s="7" t="s">
        <v>1097</v>
      </c>
      <c r="E149" s="5" t="s">
        <v>849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0</v>
      </c>
      <c r="N149" s="5">
        <v>0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0</v>
      </c>
      <c r="U149" s="5">
        <v>1</v>
      </c>
      <c r="V149" s="5">
        <v>1</v>
      </c>
      <c r="W149" s="5">
        <v>1</v>
      </c>
      <c r="X149" s="7">
        <f t="shared" si="23"/>
        <v>15</v>
      </c>
      <c r="Y149" s="8">
        <f t="shared" si="21"/>
        <v>0.83333333333333326</v>
      </c>
      <c r="Z149" s="14" t="str">
        <f t="shared" si="25"/>
        <v>ADEQUADA</v>
      </c>
      <c r="AA149" s="5">
        <v>1</v>
      </c>
      <c r="AB149" s="5">
        <v>1</v>
      </c>
      <c r="AC149" s="5">
        <v>1</v>
      </c>
      <c r="AD149" s="5">
        <v>1</v>
      </c>
      <c r="AE149" s="5">
        <v>0</v>
      </c>
      <c r="AF149" s="5">
        <v>0</v>
      </c>
      <c r="AG149" s="5">
        <v>1</v>
      </c>
      <c r="AH149" s="5">
        <v>0</v>
      </c>
      <c r="AI149" s="5">
        <v>0</v>
      </c>
      <c r="AJ149" s="5">
        <v>0</v>
      </c>
      <c r="AK149" s="5">
        <v>1</v>
      </c>
      <c r="AL149" s="5">
        <v>1</v>
      </c>
      <c r="AM149" s="5">
        <v>1</v>
      </c>
      <c r="AN149" s="5">
        <v>1</v>
      </c>
      <c r="AO149" s="5">
        <v>0</v>
      </c>
      <c r="AP149" s="5">
        <v>0</v>
      </c>
      <c r="AQ149" s="5">
        <v>1</v>
      </c>
      <c r="AR149" s="5">
        <v>0</v>
      </c>
      <c r="AS149" s="7">
        <f t="shared" si="29"/>
        <v>10</v>
      </c>
      <c r="AT149" s="8">
        <f t="shared" si="19"/>
        <v>0.55555555555555558</v>
      </c>
      <c r="AU149" s="14" t="str">
        <f t="shared" si="26"/>
        <v>INTERMEDIÁRIO</v>
      </c>
      <c r="AV149" s="7">
        <f t="shared" si="28"/>
        <v>25</v>
      </c>
      <c r="AW149" s="8">
        <f t="shared" si="27"/>
        <v>0.69444444444444442</v>
      </c>
    </row>
    <row r="150" spans="1:49" ht="15.75" customHeight="1" x14ac:dyDescent="0.25">
      <c r="A150" s="5" t="s">
        <v>11</v>
      </c>
      <c r="B150" s="7" t="s">
        <v>710</v>
      </c>
      <c r="C150" s="7" t="s">
        <v>1162</v>
      </c>
      <c r="D150" s="7" t="s">
        <v>1097</v>
      </c>
      <c r="E150" s="5" t="s">
        <v>1235</v>
      </c>
      <c r="F150" s="5">
        <v>0</v>
      </c>
      <c r="G150" s="5">
        <v>0</v>
      </c>
      <c r="H150" s="5">
        <v>1</v>
      </c>
      <c r="I150" s="5">
        <v>0</v>
      </c>
      <c r="J150" s="5">
        <v>1</v>
      </c>
      <c r="K150" s="5">
        <v>0</v>
      </c>
      <c r="L150" s="5">
        <v>0</v>
      </c>
      <c r="M150" s="5">
        <v>0</v>
      </c>
      <c r="N150" s="5">
        <v>1</v>
      </c>
      <c r="O150" s="5">
        <v>1</v>
      </c>
      <c r="P150" s="5">
        <v>0</v>
      </c>
      <c r="Q150" s="5">
        <v>0</v>
      </c>
      <c r="R150" s="5">
        <v>1</v>
      </c>
      <c r="S150" s="5">
        <v>0</v>
      </c>
      <c r="T150" s="5">
        <v>1</v>
      </c>
      <c r="U150" s="5">
        <v>0</v>
      </c>
      <c r="V150" s="5">
        <v>0</v>
      </c>
      <c r="W150" s="5">
        <v>0</v>
      </c>
      <c r="X150" s="7">
        <f t="shared" si="23"/>
        <v>6</v>
      </c>
      <c r="Y150" s="8">
        <f t="shared" si="21"/>
        <v>0.33333333333333337</v>
      </c>
      <c r="Z150" s="14" t="str">
        <f t="shared" si="25"/>
        <v>DEFASAGEM</v>
      </c>
      <c r="AA150" s="5">
        <v>1</v>
      </c>
      <c r="AB150" s="5">
        <v>0</v>
      </c>
      <c r="AC150" s="5">
        <v>0</v>
      </c>
      <c r="AD150" s="5">
        <v>1</v>
      </c>
      <c r="AE150" s="5">
        <v>1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1</v>
      </c>
      <c r="AO150" s="5">
        <v>1</v>
      </c>
      <c r="AP150" s="5">
        <v>1</v>
      </c>
      <c r="AQ150" s="5">
        <v>0</v>
      </c>
      <c r="AR150" s="5">
        <v>1</v>
      </c>
      <c r="AS150" s="7">
        <f t="shared" si="29"/>
        <v>7</v>
      </c>
      <c r="AT150" s="8">
        <f t="shared" si="19"/>
        <v>0.38888888888888884</v>
      </c>
      <c r="AU150" s="14" t="str">
        <f t="shared" si="26"/>
        <v>DEFASAGEM</v>
      </c>
      <c r="AV150" s="7">
        <f t="shared" si="28"/>
        <v>13</v>
      </c>
      <c r="AW150" s="8">
        <f t="shared" si="27"/>
        <v>0.36111111111111116</v>
      </c>
    </row>
    <row r="151" spans="1:49" ht="15.75" customHeight="1" x14ac:dyDescent="0.25">
      <c r="A151" s="5" t="s">
        <v>11</v>
      </c>
      <c r="B151" s="7" t="s">
        <v>710</v>
      </c>
      <c r="C151" s="7" t="s">
        <v>1162</v>
      </c>
      <c r="D151" s="7" t="s">
        <v>1097</v>
      </c>
      <c r="E151" s="5" t="s">
        <v>850</v>
      </c>
      <c r="F151" s="5">
        <v>0</v>
      </c>
      <c r="G151" s="5">
        <v>1</v>
      </c>
      <c r="H151" s="5">
        <v>1</v>
      </c>
      <c r="I151" s="5">
        <v>1</v>
      </c>
      <c r="J151" s="5">
        <v>1</v>
      </c>
      <c r="K151" s="5">
        <v>1</v>
      </c>
      <c r="L151" s="5">
        <v>1</v>
      </c>
      <c r="M151" s="5">
        <v>1</v>
      </c>
      <c r="N151" s="5">
        <v>1</v>
      </c>
      <c r="O151" s="5">
        <v>0</v>
      </c>
      <c r="P151" s="5">
        <v>1</v>
      </c>
      <c r="Q151" s="5">
        <v>1</v>
      </c>
      <c r="R151" s="5">
        <v>1</v>
      </c>
      <c r="S151" s="5">
        <v>1</v>
      </c>
      <c r="T151" s="5">
        <v>1</v>
      </c>
      <c r="U151" s="5">
        <v>1</v>
      </c>
      <c r="V151" s="5">
        <v>1</v>
      </c>
      <c r="W151" s="5">
        <v>1</v>
      </c>
      <c r="X151" s="7">
        <f t="shared" si="23"/>
        <v>16</v>
      </c>
      <c r="Y151" s="8">
        <f t="shared" si="21"/>
        <v>0.88888888888888884</v>
      </c>
      <c r="Z151" s="14" t="str">
        <f t="shared" si="25"/>
        <v>ADEQUADA</v>
      </c>
      <c r="AA151" s="5">
        <v>1</v>
      </c>
      <c r="AB151" s="5">
        <v>1</v>
      </c>
      <c r="AC151" s="5">
        <v>1</v>
      </c>
      <c r="AD151" s="5">
        <v>0</v>
      </c>
      <c r="AE151" s="5">
        <v>1</v>
      </c>
      <c r="AF151" s="5">
        <v>1</v>
      </c>
      <c r="AG151" s="5">
        <v>1</v>
      </c>
      <c r="AH151" s="5">
        <v>0</v>
      </c>
      <c r="AI151" s="5">
        <v>0</v>
      </c>
      <c r="AJ151" s="5">
        <v>0</v>
      </c>
      <c r="AK151" s="5">
        <v>1</v>
      </c>
      <c r="AL151" s="5">
        <v>1</v>
      </c>
      <c r="AM151" s="5">
        <v>0</v>
      </c>
      <c r="AN151" s="5">
        <v>1</v>
      </c>
      <c r="AO151" s="5">
        <v>0</v>
      </c>
      <c r="AP151" s="5">
        <v>0</v>
      </c>
      <c r="AQ151" s="5">
        <v>1</v>
      </c>
      <c r="AR151" s="5">
        <v>1</v>
      </c>
      <c r="AS151" s="7">
        <f t="shared" si="29"/>
        <v>11</v>
      </c>
      <c r="AT151" s="8">
        <f t="shared" si="19"/>
        <v>0.61111111111111116</v>
      </c>
      <c r="AU151" s="14" t="str">
        <f t="shared" si="26"/>
        <v>INTERMEDIÁRIO</v>
      </c>
      <c r="AV151" s="7">
        <f t="shared" si="28"/>
        <v>27</v>
      </c>
      <c r="AW151" s="8">
        <f t="shared" si="27"/>
        <v>0.75</v>
      </c>
    </row>
    <row r="152" spans="1:49" ht="15.75" customHeight="1" x14ac:dyDescent="0.25">
      <c r="A152" s="5" t="s">
        <v>11</v>
      </c>
      <c r="B152" s="7" t="s">
        <v>710</v>
      </c>
      <c r="C152" s="7" t="s">
        <v>1162</v>
      </c>
      <c r="D152" s="7" t="s">
        <v>1097</v>
      </c>
      <c r="E152" s="5" t="s">
        <v>851</v>
      </c>
      <c r="F152" s="5">
        <v>1</v>
      </c>
      <c r="G152" s="5">
        <v>0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1</v>
      </c>
      <c r="W152" s="5">
        <v>1</v>
      </c>
      <c r="X152" s="7">
        <f t="shared" si="23"/>
        <v>17</v>
      </c>
      <c r="Y152" s="8">
        <f t="shared" si="21"/>
        <v>0.94444444444444442</v>
      </c>
      <c r="Z152" s="14" t="str">
        <f t="shared" si="25"/>
        <v>ADEQUADA</v>
      </c>
      <c r="AA152" s="5">
        <v>1</v>
      </c>
      <c r="AB152" s="5">
        <v>1</v>
      </c>
      <c r="AC152" s="5">
        <v>0</v>
      </c>
      <c r="AD152" s="5">
        <v>1</v>
      </c>
      <c r="AE152" s="5">
        <v>0</v>
      </c>
      <c r="AF152" s="5">
        <v>0</v>
      </c>
      <c r="AG152" s="5">
        <v>1</v>
      </c>
      <c r="AH152" s="5">
        <v>0</v>
      </c>
      <c r="AI152" s="5">
        <v>1</v>
      </c>
      <c r="AJ152" s="5">
        <v>1</v>
      </c>
      <c r="AK152" s="5">
        <v>1</v>
      </c>
      <c r="AL152" s="5">
        <v>0</v>
      </c>
      <c r="AM152" s="5">
        <v>0</v>
      </c>
      <c r="AN152" s="5">
        <v>1</v>
      </c>
      <c r="AO152" s="5">
        <v>0</v>
      </c>
      <c r="AP152" s="5">
        <v>0</v>
      </c>
      <c r="AQ152" s="5">
        <v>1</v>
      </c>
      <c r="AR152" s="5">
        <v>1</v>
      </c>
      <c r="AS152" s="7">
        <f t="shared" si="29"/>
        <v>10</v>
      </c>
      <c r="AT152" s="8">
        <f t="shared" si="19"/>
        <v>0.55555555555555558</v>
      </c>
      <c r="AU152" s="14" t="str">
        <f t="shared" si="26"/>
        <v>INTERMEDIÁRIO</v>
      </c>
      <c r="AV152" s="7">
        <f t="shared" si="28"/>
        <v>27</v>
      </c>
      <c r="AW152" s="8">
        <f t="shared" si="27"/>
        <v>0.75</v>
      </c>
    </row>
    <row r="153" spans="1:49" ht="15.75" customHeight="1" x14ac:dyDescent="0.25">
      <c r="A153" s="5" t="s">
        <v>11</v>
      </c>
      <c r="B153" s="7" t="s">
        <v>1230</v>
      </c>
      <c r="C153" s="7" t="s">
        <v>1162</v>
      </c>
      <c r="D153" s="7" t="s">
        <v>1097</v>
      </c>
      <c r="E153" s="5" t="s">
        <v>1236</v>
      </c>
      <c r="F153" s="5">
        <v>0</v>
      </c>
      <c r="G153" s="5">
        <v>1</v>
      </c>
      <c r="H153" s="5">
        <v>1</v>
      </c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1</v>
      </c>
      <c r="P153" s="5">
        <v>1</v>
      </c>
      <c r="Q153" s="5">
        <v>1</v>
      </c>
      <c r="R153" s="5">
        <v>1</v>
      </c>
      <c r="S153" s="5">
        <v>1</v>
      </c>
      <c r="T153" s="5">
        <v>1</v>
      </c>
      <c r="U153" s="5">
        <v>1</v>
      </c>
      <c r="V153" s="5">
        <v>1</v>
      </c>
      <c r="W153" s="5">
        <v>1</v>
      </c>
      <c r="X153" s="7">
        <f t="shared" si="23"/>
        <v>17</v>
      </c>
      <c r="Y153" s="8">
        <f t="shared" si="21"/>
        <v>0.94444444444444442</v>
      </c>
      <c r="Z153" s="14" t="str">
        <f t="shared" si="25"/>
        <v>ADEQUADA</v>
      </c>
      <c r="AA153" s="5">
        <v>1</v>
      </c>
      <c r="AB153" s="5">
        <v>1</v>
      </c>
      <c r="AC153" s="5">
        <v>1</v>
      </c>
      <c r="AD153" s="5">
        <v>1</v>
      </c>
      <c r="AE153" s="5">
        <v>1</v>
      </c>
      <c r="AF153" s="5">
        <v>1</v>
      </c>
      <c r="AG153" s="5">
        <v>1</v>
      </c>
      <c r="AH153" s="5">
        <v>1</v>
      </c>
      <c r="AI153" s="5">
        <v>0</v>
      </c>
      <c r="AJ153" s="5">
        <v>1</v>
      </c>
      <c r="AK153" s="5">
        <v>1</v>
      </c>
      <c r="AL153" s="5">
        <v>0</v>
      </c>
      <c r="AM153" s="5">
        <v>1</v>
      </c>
      <c r="AN153" s="5">
        <v>1</v>
      </c>
      <c r="AO153" s="5">
        <v>1</v>
      </c>
      <c r="AP153" s="5">
        <v>0</v>
      </c>
      <c r="AQ153" s="5">
        <v>1</v>
      </c>
      <c r="AR153" s="5">
        <v>1</v>
      </c>
      <c r="AS153" s="7">
        <f t="shared" si="29"/>
        <v>15</v>
      </c>
      <c r="AT153" s="8">
        <f t="shared" si="19"/>
        <v>0.83333333333333326</v>
      </c>
      <c r="AU153" s="14" t="str">
        <f t="shared" si="26"/>
        <v>ADEQUADA</v>
      </c>
      <c r="AV153" s="7">
        <f t="shared" si="28"/>
        <v>32</v>
      </c>
      <c r="AW153" s="8">
        <f t="shared" si="27"/>
        <v>0.88888888888888884</v>
      </c>
    </row>
    <row r="154" spans="1:49" ht="15.75" customHeight="1" x14ac:dyDescent="0.25">
      <c r="A154" s="5" t="s">
        <v>11</v>
      </c>
      <c r="B154" s="7" t="s">
        <v>710</v>
      </c>
      <c r="C154" s="7" t="s">
        <v>1220</v>
      </c>
      <c r="D154" s="7" t="s">
        <v>1097</v>
      </c>
      <c r="E154" s="5" t="s">
        <v>852</v>
      </c>
      <c r="F154" s="5">
        <v>1</v>
      </c>
      <c r="G154" s="5">
        <v>1</v>
      </c>
      <c r="H154" s="5">
        <v>1</v>
      </c>
      <c r="I154" s="5">
        <v>0</v>
      </c>
      <c r="J154" s="5">
        <v>1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1</v>
      </c>
      <c r="Q154" s="5">
        <v>0</v>
      </c>
      <c r="R154" s="5">
        <v>1</v>
      </c>
      <c r="S154" s="5">
        <v>1</v>
      </c>
      <c r="T154" s="5">
        <v>0</v>
      </c>
      <c r="U154" s="5">
        <v>1</v>
      </c>
      <c r="V154" s="5">
        <v>0</v>
      </c>
      <c r="W154" s="5">
        <v>0</v>
      </c>
      <c r="X154" s="7">
        <f t="shared" si="23"/>
        <v>8</v>
      </c>
      <c r="Y154" s="8">
        <f t="shared" si="21"/>
        <v>0.44444444444444442</v>
      </c>
      <c r="Z154" s="14" t="str">
        <f t="shared" si="25"/>
        <v>INTERMEDIÁRIO</v>
      </c>
      <c r="AA154" s="5">
        <v>1</v>
      </c>
      <c r="AB154" s="5">
        <v>0</v>
      </c>
      <c r="AC154" s="5">
        <v>1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1</v>
      </c>
      <c r="AL154" s="5">
        <v>1</v>
      </c>
      <c r="AM154" s="5">
        <v>0</v>
      </c>
      <c r="AN154" s="5">
        <v>0</v>
      </c>
      <c r="AO154" s="5">
        <v>0</v>
      </c>
      <c r="AP154" s="5">
        <v>1</v>
      </c>
      <c r="AQ154" s="5">
        <v>0</v>
      </c>
      <c r="AR154" s="5">
        <v>0</v>
      </c>
      <c r="AS154" s="7">
        <f t="shared" si="29"/>
        <v>5</v>
      </c>
      <c r="AT154" s="8">
        <f t="shared" si="19"/>
        <v>0.27777777777777779</v>
      </c>
      <c r="AU154" s="14" t="str">
        <f t="shared" si="26"/>
        <v>DEFASAGEM</v>
      </c>
      <c r="AV154" s="7">
        <f t="shared" si="28"/>
        <v>13</v>
      </c>
      <c r="AW154" s="8">
        <f t="shared" si="27"/>
        <v>0.36111111111111116</v>
      </c>
    </row>
    <row r="155" spans="1:49" ht="15.75" customHeight="1" x14ac:dyDescent="0.25">
      <c r="A155" s="5" t="s">
        <v>11</v>
      </c>
      <c r="B155" s="7" t="s">
        <v>710</v>
      </c>
      <c r="C155" s="7" t="s">
        <v>1162</v>
      </c>
      <c r="D155" s="7" t="s">
        <v>1097</v>
      </c>
      <c r="E155" s="5" t="s">
        <v>853</v>
      </c>
      <c r="F155" s="5">
        <v>1</v>
      </c>
      <c r="G155" s="5">
        <v>0</v>
      </c>
      <c r="H155" s="5">
        <v>1</v>
      </c>
      <c r="I155" s="5">
        <v>0</v>
      </c>
      <c r="J155" s="5">
        <v>1</v>
      </c>
      <c r="K155" s="5">
        <v>1</v>
      </c>
      <c r="L155" s="5">
        <v>0</v>
      </c>
      <c r="M155" s="5">
        <v>1</v>
      </c>
      <c r="N155" s="5">
        <v>0</v>
      </c>
      <c r="O155" s="5">
        <v>0</v>
      </c>
      <c r="P155" s="5">
        <v>1</v>
      </c>
      <c r="Q155" s="5">
        <v>0</v>
      </c>
      <c r="R155" s="5">
        <v>1</v>
      </c>
      <c r="S155" s="5">
        <v>0</v>
      </c>
      <c r="T155" s="5">
        <v>1</v>
      </c>
      <c r="U155" s="5">
        <v>1</v>
      </c>
      <c r="V155" s="5">
        <v>0</v>
      </c>
      <c r="W155" s="5">
        <v>1</v>
      </c>
      <c r="X155" s="7">
        <f t="shared" si="23"/>
        <v>10</v>
      </c>
      <c r="Y155" s="8">
        <f t="shared" si="21"/>
        <v>0.55555555555555558</v>
      </c>
      <c r="Z155" s="14" t="str">
        <f t="shared" si="25"/>
        <v>INTERMEDIÁRIO</v>
      </c>
      <c r="AA155" s="5">
        <v>1</v>
      </c>
      <c r="AB155" s="5">
        <v>1</v>
      </c>
      <c r="AC155" s="5">
        <v>1</v>
      </c>
      <c r="AD155" s="5">
        <v>1</v>
      </c>
      <c r="AE155" s="5">
        <v>0</v>
      </c>
      <c r="AF155" s="5">
        <v>0</v>
      </c>
      <c r="AG155" s="5">
        <v>1</v>
      </c>
      <c r="AH155" s="5">
        <v>1</v>
      </c>
      <c r="AI155" s="5">
        <v>0</v>
      </c>
      <c r="AJ155" s="5">
        <v>1</v>
      </c>
      <c r="AK155" s="5">
        <v>1</v>
      </c>
      <c r="AL155" s="5">
        <v>0</v>
      </c>
      <c r="AM155" s="5">
        <v>1</v>
      </c>
      <c r="AN155" s="5">
        <v>1</v>
      </c>
      <c r="AO155" s="5">
        <v>0</v>
      </c>
      <c r="AP155" s="5">
        <v>0</v>
      </c>
      <c r="AQ155" s="5">
        <v>1</v>
      </c>
      <c r="AR155" s="5">
        <v>1</v>
      </c>
      <c r="AS155" s="7">
        <f t="shared" si="29"/>
        <v>12</v>
      </c>
      <c r="AT155" s="8">
        <f t="shared" si="19"/>
        <v>0.66666666666666674</v>
      </c>
      <c r="AU155" s="14" t="str">
        <f t="shared" si="26"/>
        <v>INTERMEDIÁRIO</v>
      </c>
      <c r="AV155" s="7">
        <f t="shared" si="28"/>
        <v>22</v>
      </c>
      <c r="AW155" s="8">
        <f t="shared" si="27"/>
        <v>0.61111111111111116</v>
      </c>
    </row>
    <row r="156" spans="1:49" ht="15.75" customHeight="1" x14ac:dyDescent="0.25">
      <c r="A156" s="5" t="s">
        <v>11</v>
      </c>
      <c r="B156" s="7" t="s">
        <v>710</v>
      </c>
      <c r="C156" s="7" t="s">
        <v>1104</v>
      </c>
      <c r="D156" s="7" t="s">
        <v>1097</v>
      </c>
      <c r="E156" s="5" t="s">
        <v>854</v>
      </c>
      <c r="F156" s="5">
        <v>1</v>
      </c>
      <c r="G156" s="5">
        <v>1</v>
      </c>
      <c r="H156" s="5">
        <v>1</v>
      </c>
      <c r="I156" s="5">
        <v>1</v>
      </c>
      <c r="J156" s="5">
        <v>1</v>
      </c>
      <c r="K156" s="5">
        <v>1</v>
      </c>
      <c r="L156" s="5">
        <v>0</v>
      </c>
      <c r="M156" s="5">
        <v>1</v>
      </c>
      <c r="N156" s="5">
        <v>1</v>
      </c>
      <c r="O156" s="5">
        <v>1</v>
      </c>
      <c r="P156" s="5">
        <v>1</v>
      </c>
      <c r="Q156" s="5">
        <v>0</v>
      </c>
      <c r="R156" s="5">
        <v>1</v>
      </c>
      <c r="S156" s="5">
        <v>1</v>
      </c>
      <c r="T156" s="5">
        <v>1</v>
      </c>
      <c r="U156" s="5">
        <v>1</v>
      </c>
      <c r="V156" s="5">
        <v>1</v>
      </c>
      <c r="W156" s="5">
        <v>1</v>
      </c>
      <c r="X156" s="7">
        <f t="shared" si="23"/>
        <v>16</v>
      </c>
      <c r="Y156" s="8">
        <f t="shared" si="21"/>
        <v>0.88888888888888884</v>
      </c>
      <c r="Z156" s="14" t="str">
        <f t="shared" si="25"/>
        <v>ADEQUADA</v>
      </c>
      <c r="AA156" s="5">
        <v>1</v>
      </c>
      <c r="AB156" s="5">
        <v>1</v>
      </c>
      <c r="AC156" s="5">
        <v>1</v>
      </c>
      <c r="AD156" s="5">
        <v>1</v>
      </c>
      <c r="AE156" s="5">
        <v>0</v>
      </c>
      <c r="AF156" s="5">
        <v>1</v>
      </c>
      <c r="AG156" s="5">
        <v>1</v>
      </c>
      <c r="AH156" s="5">
        <v>1</v>
      </c>
      <c r="AI156" s="5">
        <v>0</v>
      </c>
      <c r="AJ156" s="5">
        <v>1</v>
      </c>
      <c r="AK156" s="5">
        <v>0</v>
      </c>
      <c r="AL156" s="5">
        <v>1</v>
      </c>
      <c r="AM156" s="5">
        <v>1</v>
      </c>
      <c r="AN156" s="5">
        <v>0</v>
      </c>
      <c r="AO156" s="5">
        <v>0</v>
      </c>
      <c r="AP156" s="5">
        <v>0</v>
      </c>
      <c r="AQ156" s="5">
        <v>0</v>
      </c>
      <c r="AR156" s="5">
        <v>1</v>
      </c>
      <c r="AS156" s="7">
        <f t="shared" si="29"/>
        <v>11</v>
      </c>
      <c r="AT156" s="8">
        <f t="shared" ref="AT156:AT175" si="30">((AS156*100)/18)/100</f>
        <v>0.61111111111111116</v>
      </c>
      <c r="AU156" s="14" t="str">
        <f t="shared" si="26"/>
        <v>INTERMEDIÁRIO</v>
      </c>
      <c r="AV156" s="7">
        <f t="shared" si="28"/>
        <v>27</v>
      </c>
      <c r="AW156" s="8">
        <f t="shared" si="27"/>
        <v>0.75</v>
      </c>
    </row>
    <row r="157" spans="1:49" ht="15.75" customHeight="1" x14ac:dyDescent="0.25">
      <c r="A157" s="5" t="s">
        <v>11</v>
      </c>
      <c r="B157" s="7" t="s">
        <v>710</v>
      </c>
      <c r="C157" s="7" t="s">
        <v>1162</v>
      </c>
      <c r="D157" s="7" t="s">
        <v>1097</v>
      </c>
      <c r="E157" s="5" t="s">
        <v>855</v>
      </c>
      <c r="F157" s="5">
        <v>0</v>
      </c>
      <c r="G157" s="5">
        <v>1</v>
      </c>
      <c r="H157" s="5">
        <v>1</v>
      </c>
      <c r="I157" s="5">
        <v>0</v>
      </c>
      <c r="J157" s="5">
        <v>1</v>
      </c>
      <c r="K157" s="5">
        <v>1</v>
      </c>
      <c r="L157" s="5">
        <v>0</v>
      </c>
      <c r="M157" s="5">
        <v>0</v>
      </c>
      <c r="N157" s="5">
        <v>1</v>
      </c>
      <c r="O157" s="5">
        <v>1</v>
      </c>
      <c r="P157" s="5">
        <v>0</v>
      </c>
      <c r="Q157" s="5">
        <v>1</v>
      </c>
      <c r="R157" s="5">
        <v>1</v>
      </c>
      <c r="S157" s="5">
        <v>0</v>
      </c>
      <c r="T157" s="5">
        <v>1</v>
      </c>
      <c r="U157" s="5">
        <v>1</v>
      </c>
      <c r="V157" s="5">
        <v>1</v>
      </c>
      <c r="W157" s="5">
        <v>1</v>
      </c>
      <c r="X157" s="7">
        <f t="shared" si="23"/>
        <v>12</v>
      </c>
      <c r="Y157" s="8">
        <f t="shared" si="21"/>
        <v>0.66666666666666674</v>
      </c>
      <c r="Z157" s="14" t="str">
        <f t="shared" si="25"/>
        <v>INTERMEDIÁRIO</v>
      </c>
      <c r="AA157" s="5">
        <v>1</v>
      </c>
      <c r="AB157" s="5">
        <v>1</v>
      </c>
      <c r="AC157" s="5">
        <v>1</v>
      </c>
      <c r="AD157" s="5">
        <v>1</v>
      </c>
      <c r="AE157" s="5">
        <v>0</v>
      </c>
      <c r="AF157" s="5">
        <v>1</v>
      </c>
      <c r="AG157" s="5">
        <v>1</v>
      </c>
      <c r="AH157" s="5">
        <v>1</v>
      </c>
      <c r="AI157" s="5">
        <v>1</v>
      </c>
      <c r="AJ157" s="5">
        <v>1</v>
      </c>
      <c r="AK157" s="5">
        <v>1</v>
      </c>
      <c r="AL157" s="5">
        <v>0</v>
      </c>
      <c r="AM157" s="5">
        <v>1</v>
      </c>
      <c r="AN157" s="5">
        <v>1</v>
      </c>
      <c r="AO157" s="5">
        <v>0</v>
      </c>
      <c r="AP157" s="5">
        <v>0</v>
      </c>
      <c r="AQ157" s="5">
        <v>0</v>
      </c>
      <c r="AR157" s="5">
        <v>1</v>
      </c>
      <c r="AS157" s="7">
        <f t="shared" si="29"/>
        <v>13</v>
      </c>
      <c r="AT157" s="8">
        <f t="shared" si="30"/>
        <v>0.72222222222222232</v>
      </c>
      <c r="AU157" s="14" t="str">
        <f t="shared" si="26"/>
        <v>ADEQUADA</v>
      </c>
      <c r="AV157" s="7">
        <f t="shared" si="28"/>
        <v>25</v>
      </c>
      <c r="AW157" s="8">
        <f t="shared" si="27"/>
        <v>0.69444444444444442</v>
      </c>
    </row>
    <row r="158" spans="1:49" ht="15.75" customHeight="1" x14ac:dyDescent="0.25">
      <c r="A158" s="5" t="s">
        <v>11</v>
      </c>
      <c r="B158" s="7" t="s">
        <v>710</v>
      </c>
      <c r="C158" s="7" t="s">
        <v>1220</v>
      </c>
      <c r="D158" s="7" t="s">
        <v>1097</v>
      </c>
      <c r="E158" s="5" t="s">
        <v>856</v>
      </c>
      <c r="F158" s="5">
        <v>1</v>
      </c>
      <c r="G158" s="5">
        <v>1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1</v>
      </c>
      <c r="P158" s="5">
        <v>1</v>
      </c>
      <c r="Q158" s="5">
        <v>1</v>
      </c>
      <c r="R158" s="5">
        <v>1</v>
      </c>
      <c r="S158" s="5">
        <v>1</v>
      </c>
      <c r="T158" s="5">
        <v>1</v>
      </c>
      <c r="U158" s="5">
        <v>1</v>
      </c>
      <c r="V158" s="5">
        <v>1</v>
      </c>
      <c r="W158" s="5">
        <v>1</v>
      </c>
      <c r="X158" s="7">
        <f t="shared" si="23"/>
        <v>18</v>
      </c>
      <c r="Y158" s="8">
        <f t="shared" si="21"/>
        <v>1</v>
      </c>
      <c r="Z158" s="14" t="str">
        <f t="shared" si="25"/>
        <v>ADEQUADA</v>
      </c>
      <c r="AA158" s="5">
        <v>1</v>
      </c>
      <c r="AB158" s="5">
        <v>1</v>
      </c>
      <c r="AC158" s="5">
        <v>1</v>
      </c>
      <c r="AD158" s="5">
        <v>1</v>
      </c>
      <c r="AE158" s="5">
        <v>0</v>
      </c>
      <c r="AF158" s="5">
        <v>1</v>
      </c>
      <c r="AG158" s="5">
        <v>1</v>
      </c>
      <c r="AH158" s="5">
        <v>1</v>
      </c>
      <c r="AI158" s="5">
        <v>0</v>
      </c>
      <c r="AJ158" s="5">
        <v>1</v>
      </c>
      <c r="AK158" s="5">
        <v>1</v>
      </c>
      <c r="AL158" s="5">
        <v>0</v>
      </c>
      <c r="AM158" s="5">
        <v>0</v>
      </c>
      <c r="AN158" s="5">
        <v>1</v>
      </c>
      <c r="AO158" s="5">
        <v>1</v>
      </c>
      <c r="AP158" s="5">
        <v>1</v>
      </c>
      <c r="AQ158" s="5">
        <v>1</v>
      </c>
      <c r="AR158" s="5">
        <v>1</v>
      </c>
      <c r="AS158" s="7">
        <f t="shared" si="29"/>
        <v>14</v>
      </c>
      <c r="AT158" s="8">
        <f t="shared" si="30"/>
        <v>0.77777777777777768</v>
      </c>
      <c r="AU158" s="14" t="str">
        <f t="shared" si="26"/>
        <v>ADEQUADA</v>
      </c>
      <c r="AV158" s="7">
        <f t="shared" si="28"/>
        <v>32</v>
      </c>
      <c r="AW158" s="8">
        <f t="shared" si="27"/>
        <v>0.88888888888888884</v>
      </c>
    </row>
    <row r="159" spans="1:49" ht="15.75" customHeight="1" x14ac:dyDescent="0.25">
      <c r="A159" s="5" t="s">
        <v>11</v>
      </c>
      <c r="B159" s="7" t="s">
        <v>710</v>
      </c>
      <c r="C159" s="7" t="s">
        <v>1220</v>
      </c>
      <c r="D159" s="7" t="s">
        <v>1097</v>
      </c>
      <c r="E159" s="5" t="s">
        <v>857</v>
      </c>
      <c r="F159" s="5">
        <v>1</v>
      </c>
      <c r="G159" s="5">
        <v>1</v>
      </c>
      <c r="H159" s="5">
        <v>1</v>
      </c>
      <c r="I159" s="5">
        <v>1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1</v>
      </c>
      <c r="P159" s="5">
        <v>1</v>
      </c>
      <c r="Q159" s="5">
        <v>0</v>
      </c>
      <c r="R159" s="5">
        <v>1</v>
      </c>
      <c r="S159" s="5">
        <v>1</v>
      </c>
      <c r="T159" s="5">
        <v>1</v>
      </c>
      <c r="U159" s="5">
        <v>1</v>
      </c>
      <c r="V159" s="5">
        <v>1</v>
      </c>
      <c r="W159" s="5">
        <v>1</v>
      </c>
      <c r="X159" s="7">
        <f t="shared" si="23"/>
        <v>17</v>
      </c>
      <c r="Y159" s="8">
        <f t="shared" si="21"/>
        <v>0.94444444444444442</v>
      </c>
      <c r="Z159" s="14" t="str">
        <f t="shared" si="25"/>
        <v>ADEQUADA</v>
      </c>
      <c r="AA159" s="5">
        <v>1</v>
      </c>
      <c r="AB159" s="5">
        <v>1</v>
      </c>
      <c r="AC159" s="5">
        <v>1</v>
      </c>
      <c r="AD159" s="5">
        <v>1</v>
      </c>
      <c r="AE159" s="5">
        <v>1</v>
      </c>
      <c r="AF159" s="5">
        <v>1</v>
      </c>
      <c r="AG159" s="5">
        <v>1</v>
      </c>
      <c r="AH159" s="5">
        <v>1</v>
      </c>
      <c r="AI159" s="5">
        <v>0</v>
      </c>
      <c r="AJ159" s="5">
        <v>0</v>
      </c>
      <c r="AK159" s="5">
        <v>1</v>
      </c>
      <c r="AL159" s="5">
        <v>1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1</v>
      </c>
      <c r="AS159" s="7">
        <f t="shared" si="29"/>
        <v>11</v>
      </c>
      <c r="AT159" s="8">
        <f t="shared" si="30"/>
        <v>0.61111111111111116</v>
      </c>
      <c r="AU159" s="14" t="str">
        <f t="shared" si="26"/>
        <v>INTERMEDIÁRIO</v>
      </c>
      <c r="AV159" s="7">
        <f t="shared" si="28"/>
        <v>28</v>
      </c>
      <c r="AW159" s="8">
        <f t="shared" si="27"/>
        <v>0.77777777777777768</v>
      </c>
    </row>
    <row r="160" spans="1:49" ht="15.75" customHeight="1" x14ac:dyDescent="0.25">
      <c r="A160" s="5" t="s">
        <v>11</v>
      </c>
      <c r="B160" s="7" t="s">
        <v>1221</v>
      </c>
      <c r="C160" s="26" t="s">
        <v>1122</v>
      </c>
      <c r="D160" s="7" t="s">
        <v>1097</v>
      </c>
      <c r="E160" s="5" t="s">
        <v>1237</v>
      </c>
      <c r="F160" s="5">
        <v>1</v>
      </c>
      <c r="G160" s="5">
        <v>0</v>
      </c>
      <c r="H160" s="5">
        <v>1</v>
      </c>
      <c r="I160" s="5">
        <v>0</v>
      </c>
      <c r="J160" s="5">
        <v>1</v>
      </c>
      <c r="K160" s="5">
        <v>1</v>
      </c>
      <c r="L160" s="5">
        <v>1</v>
      </c>
      <c r="M160" s="5">
        <v>0</v>
      </c>
      <c r="N160" s="5">
        <v>1</v>
      </c>
      <c r="O160" s="5">
        <v>0</v>
      </c>
      <c r="P160" s="5">
        <v>1</v>
      </c>
      <c r="Q160" s="5">
        <v>0</v>
      </c>
      <c r="R160" s="5">
        <v>0</v>
      </c>
      <c r="S160" s="5">
        <v>1</v>
      </c>
      <c r="T160" s="5">
        <v>1</v>
      </c>
      <c r="U160" s="5">
        <v>0</v>
      </c>
      <c r="V160" s="5">
        <v>1</v>
      </c>
      <c r="W160" s="5">
        <v>0</v>
      </c>
      <c r="X160" s="7">
        <f t="shared" si="23"/>
        <v>10</v>
      </c>
      <c r="Y160" s="8">
        <f t="shared" si="21"/>
        <v>0.55555555555555558</v>
      </c>
      <c r="Z160" s="14" t="str">
        <f t="shared" si="25"/>
        <v>INTERMEDIÁRIO</v>
      </c>
      <c r="AA160" s="5">
        <v>0</v>
      </c>
      <c r="AB160" s="5">
        <v>0</v>
      </c>
      <c r="AC160" s="5">
        <v>1</v>
      </c>
      <c r="AD160" s="5">
        <v>1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1</v>
      </c>
      <c r="AR160" s="5">
        <v>0</v>
      </c>
      <c r="AS160" s="7">
        <f t="shared" si="29"/>
        <v>3</v>
      </c>
      <c r="AT160" s="8">
        <f t="shared" si="30"/>
        <v>0.16666666666666669</v>
      </c>
      <c r="AU160" s="14" t="str">
        <f t="shared" si="26"/>
        <v>DEFASAGEM</v>
      </c>
      <c r="AV160" s="7">
        <f t="shared" si="28"/>
        <v>13</v>
      </c>
      <c r="AW160" s="8">
        <f t="shared" si="27"/>
        <v>0.36111111111111116</v>
      </c>
    </row>
    <row r="161" spans="1:49" ht="15.75" customHeight="1" x14ac:dyDescent="0.25">
      <c r="A161" s="5" t="s">
        <v>11</v>
      </c>
      <c r="B161" s="27" t="s">
        <v>710</v>
      </c>
      <c r="C161" s="28" t="s">
        <v>1099</v>
      </c>
      <c r="D161" s="29" t="s">
        <v>1100</v>
      </c>
      <c r="E161" s="5" t="s">
        <v>1238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7">
        <f t="shared" si="23"/>
        <v>0</v>
      </c>
      <c r="Y161" s="8">
        <f t="shared" si="21"/>
        <v>0</v>
      </c>
      <c r="Z161" s="14" t="str">
        <f t="shared" si="25"/>
        <v>DEFASAGEM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7">
        <f t="shared" si="29"/>
        <v>0</v>
      </c>
      <c r="AT161" s="8">
        <f t="shared" si="30"/>
        <v>0</v>
      </c>
      <c r="AU161" s="14" t="str">
        <f t="shared" si="26"/>
        <v>DEFASAGEM</v>
      </c>
      <c r="AV161" s="7">
        <f t="shared" si="28"/>
        <v>0</v>
      </c>
      <c r="AW161" s="8">
        <f t="shared" si="27"/>
        <v>0</v>
      </c>
    </row>
    <row r="162" spans="1:49" ht="15.75" customHeight="1" x14ac:dyDescent="0.25">
      <c r="A162" s="5" t="s">
        <v>11</v>
      </c>
      <c r="B162" s="7" t="s">
        <v>710</v>
      </c>
      <c r="C162" s="30" t="s">
        <v>1220</v>
      </c>
      <c r="D162" s="7" t="s">
        <v>1097</v>
      </c>
      <c r="E162" s="5" t="s">
        <v>858</v>
      </c>
      <c r="F162" s="5">
        <v>1</v>
      </c>
      <c r="G162" s="5">
        <v>0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1</v>
      </c>
      <c r="S162" s="5">
        <v>1</v>
      </c>
      <c r="T162" s="5">
        <v>1</v>
      </c>
      <c r="U162" s="5">
        <v>1</v>
      </c>
      <c r="V162" s="5">
        <v>1</v>
      </c>
      <c r="W162" s="5">
        <v>1</v>
      </c>
      <c r="X162" s="7">
        <f t="shared" si="23"/>
        <v>17</v>
      </c>
      <c r="Y162" s="8">
        <f t="shared" si="21"/>
        <v>0.94444444444444442</v>
      </c>
      <c r="Z162" s="14" t="str">
        <f t="shared" si="25"/>
        <v>ADEQUADA</v>
      </c>
      <c r="AA162" s="5">
        <v>1</v>
      </c>
      <c r="AB162" s="5">
        <v>1</v>
      </c>
      <c r="AC162" s="5">
        <v>1</v>
      </c>
      <c r="AD162" s="5">
        <v>0</v>
      </c>
      <c r="AE162" s="5">
        <v>1</v>
      </c>
      <c r="AF162" s="5">
        <v>1</v>
      </c>
      <c r="AG162" s="5">
        <v>1</v>
      </c>
      <c r="AH162" s="5">
        <v>1</v>
      </c>
      <c r="AI162" s="5">
        <v>0</v>
      </c>
      <c r="AJ162" s="5">
        <v>1</v>
      </c>
      <c r="AK162" s="5">
        <v>1</v>
      </c>
      <c r="AL162" s="5">
        <v>0</v>
      </c>
      <c r="AM162" s="5">
        <v>1</v>
      </c>
      <c r="AN162" s="5">
        <v>1</v>
      </c>
      <c r="AO162" s="5">
        <v>1</v>
      </c>
      <c r="AP162" s="5">
        <v>1</v>
      </c>
      <c r="AQ162" s="5">
        <v>0</v>
      </c>
      <c r="AR162" s="5">
        <v>1</v>
      </c>
      <c r="AS162" s="7">
        <f t="shared" si="29"/>
        <v>14</v>
      </c>
      <c r="AT162" s="8">
        <f t="shared" si="30"/>
        <v>0.77777777777777768</v>
      </c>
      <c r="AU162" s="14" t="str">
        <f t="shared" si="26"/>
        <v>ADEQUADA</v>
      </c>
      <c r="AV162" s="7">
        <f t="shared" si="28"/>
        <v>31</v>
      </c>
      <c r="AW162" s="8">
        <f t="shared" si="27"/>
        <v>0.86111111111111116</v>
      </c>
    </row>
    <row r="163" spans="1:49" ht="15.75" customHeight="1" x14ac:dyDescent="0.25">
      <c r="A163" s="5" t="s">
        <v>11</v>
      </c>
      <c r="B163" s="7" t="s">
        <v>710</v>
      </c>
      <c r="C163" s="7" t="s">
        <v>1104</v>
      </c>
      <c r="D163" s="7" t="s">
        <v>1097</v>
      </c>
      <c r="E163" s="5" t="s">
        <v>859</v>
      </c>
      <c r="F163" s="5">
        <v>1</v>
      </c>
      <c r="G163" s="5">
        <v>1</v>
      </c>
      <c r="H163" s="5">
        <v>1</v>
      </c>
      <c r="I163" s="5">
        <v>1</v>
      </c>
      <c r="J163" s="5">
        <v>1</v>
      </c>
      <c r="K163" s="5">
        <v>1</v>
      </c>
      <c r="L163" s="5">
        <v>0</v>
      </c>
      <c r="M163" s="5">
        <v>1</v>
      </c>
      <c r="N163" s="5">
        <v>1</v>
      </c>
      <c r="O163" s="5">
        <v>1</v>
      </c>
      <c r="P163" s="5">
        <v>1</v>
      </c>
      <c r="Q163" s="5">
        <v>0</v>
      </c>
      <c r="R163" s="5">
        <v>1</v>
      </c>
      <c r="S163" s="5">
        <v>1</v>
      </c>
      <c r="T163" s="5">
        <v>1</v>
      </c>
      <c r="U163" s="5">
        <v>1</v>
      </c>
      <c r="V163" s="5">
        <v>0</v>
      </c>
      <c r="W163" s="5">
        <v>1</v>
      </c>
      <c r="X163" s="7">
        <f t="shared" si="23"/>
        <v>15</v>
      </c>
      <c r="Y163" s="8">
        <f t="shared" si="21"/>
        <v>0.83333333333333326</v>
      </c>
      <c r="Z163" s="14" t="str">
        <f t="shared" si="25"/>
        <v>ADEQUADA</v>
      </c>
      <c r="AA163" s="5">
        <v>1</v>
      </c>
      <c r="AB163" s="5">
        <v>1</v>
      </c>
      <c r="AC163" s="5">
        <v>1</v>
      </c>
      <c r="AD163" s="5">
        <v>0</v>
      </c>
      <c r="AE163" s="5">
        <v>1</v>
      </c>
      <c r="AF163" s="5">
        <v>1</v>
      </c>
      <c r="AG163" s="5">
        <v>1</v>
      </c>
      <c r="AH163" s="5">
        <v>1</v>
      </c>
      <c r="AI163" s="5">
        <v>1</v>
      </c>
      <c r="AJ163" s="5">
        <v>1</v>
      </c>
      <c r="AK163" s="5">
        <v>1</v>
      </c>
      <c r="AL163" s="5">
        <v>0</v>
      </c>
      <c r="AM163" s="5">
        <v>1</v>
      </c>
      <c r="AN163" s="5">
        <v>1</v>
      </c>
      <c r="AO163" s="5">
        <v>1</v>
      </c>
      <c r="AP163" s="5">
        <v>1</v>
      </c>
      <c r="AQ163" s="5">
        <v>1</v>
      </c>
      <c r="AR163" s="5">
        <v>1</v>
      </c>
      <c r="AS163" s="7">
        <f t="shared" si="29"/>
        <v>16</v>
      </c>
      <c r="AT163" s="8">
        <f t="shared" si="30"/>
        <v>0.88888888888888884</v>
      </c>
      <c r="AU163" s="14" t="str">
        <f t="shared" si="26"/>
        <v>ADEQUADA</v>
      </c>
      <c r="AV163" s="7">
        <f t="shared" si="28"/>
        <v>31</v>
      </c>
      <c r="AW163" s="8">
        <f t="shared" si="27"/>
        <v>0.86111111111111116</v>
      </c>
    </row>
    <row r="164" spans="1:49" ht="15.75" customHeight="1" x14ac:dyDescent="0.25">
      <c r="A164" s="5" t="s">
        <v>11</v>
      </c>
      <c r="B164" s="7" t="s">
        <v>710</v>
      </c>
      <c r="C164" s="7" t="s">
        <v>1162</v>
      </c>
      <c r="D164" s="7" t="s">
        <v>1097</v>
      </c>
      <c r="E164" s="5" t="s">
        <v>860</v>
      </c>
      <c r="F164" s="5">
        <v>1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  <c r="M164" s="5">
        <v>1</v>
      </c>
      <c r="N164" s="5">
        <v>1</v>
      </c>
      <c r="O164" s="5">
        <v>1</v>
      </c>
      <c r="P164" s="5">
        <v>1</v>
      </c>
      <c r="Q164" s="5">
        <v>1</v>
      </c>
      <c r="R164" s="5">
        <v>1</v>
      </c>
      <c r="S164" s="5">
        <v>0</v>
      </c>
      <c r="T164" s="5">
        <v>1</v>
      </c>
      <c r="U164" s="5">
        <v>1</v>
      </c>
      <c r="V164" s="5">
        <v>1</v>
      </c>
      <c r="W164" s="5">
        <v>1</v>
      </c>
      <c r="X164" s="7">
        <f t="shared" si="23"/>
        <v>17</v>
      </c>
      <c r="Y164" s="8">
        <f t="shared" ref="Y164:Y185" si="31">((X164*100)/18)/100</f>
        <v>0.94444444444444442</v>
      </c>
      <c r="Z164" s="14" t="str">
        <f t="shared" si="25"/>
        <v>ADEQUADA</v>
      </c>
      <c r="AA164" s="5">
        <v>1</v>
      </c>
      <c r="AB164" s="5">
        <v>1</v>
      </c>
      <c r="AC164" s="5">
        <v>1</v>
      </c>
      <c r="AD164" s="5">
        <v>1</v>
      </c>
      <c r="AE164" s="5">
        <v>0</v>
      </c>
      <c r="AF164" s="5">
        <v>1</v>
      </c>
      <c r="AG164" s="5">
        <v>1</v>
      </c>
      <c r="AH164" s="5">
        <v>1</v>
      </c>
      <c r="AI164" s="5">
        <v>0</v>
      </c>
      <c r="AJ164" s="5">
        <v>0</v>
      </c>
      <c r="AK164" s="5">
        <v>1</v>
      </c>
      <c r="AL164" s="5">
        <v>0</v>
      </c>
      <c r="AM164" s="5">
        <v>1</v>
      </c>
      <c r="AN164" s="5">
        <v>0</v>
      </c>
      <c r="AO164" s="5">
        <v>0</v>
      </c>
      <c r="AP164" s="5">
        <v>0</v>
      </c>
      <c r="AQ164" s="5">
        <v>1</v>
      </c>
      <c r="AR164" s="5">
        <v>1</v>
      </c>
      <c r="AS164" s="7">
        <f t="shared" si="29"/>
        <v>11</v>
      </c>
      <c r="AT164" s="8">
        <f t="shared" si="30"/>
        <v>0.61111111111111116</v>
      </c>
      <c r="AU164" s="14" t="str">
        <f t="shared" si="26"/>
        <v>INTERMEDIÁRIO</v>
      </c>
      <c r="AV164" s="7">
        <f t="shared" si="28"/>
        <v>28</v>
      </c>
      <c r="AW164" s="8">
        <f t="shared" si="27"/>
        <v>0.77777777777777768</v>
      </c>
    </row>
    <row r="165" spans="1:49" ht="15.75" customHeight="1" x14ac:dyDescent="0.25">
      <c r="A165" s="5" t="s">
        <v>11</v>
      </c>
      <c r="B165" s="7" t="s">
        <v>710</v>
      </c>
      <c r="C165" s="7" t="s">
        <v>1162</v>
      </c>
      <c r="D165" s="7" t="s">
        <v>1097</v>
      </c>
      <c r="E165" s="5" t="s">
        <v>861</v>
      </c>
      <c r="F165" s="5">
        <v>1</v>
      </c>
      <c r="G165" s="5">
        <v>1</v>
      </c>
      <c r="H165" s="5">
        <v>1</v>
      </c>
      <c r="I165" s="5">
        <v>1</v>
      </c>
      <c r="J165" s="5">
        <v>1</v>
      </c>
      <c r="K165" s="5">
        <v>0</v>
      </c>
      <c r="L165" s="5">
        <v>1</v>
      </c>
      <c r="M165" s="5">
        <v>0</v>
      </c>
      <c r="N165" s="5">
        <v>1</v>
      </c>
      <c r="O165" s="5">
        <v>0</v>
      </c>
      <c r="P165" s="5">
        <v>1</v>
      </c>
      <c r="Q165" s="5">
        <v>0</v>
      </c>
      <c r="R165" s="5">
        <v>1</v>
      </c>
      <c r="S165" s="5">
        <v>0</v>
      </c>
      <c r="T165" s="5">
        <v>1</v>
      </c>
      <c r="U165" s="5">
        <v>1</v>
      </c>
      <c r="V165" s="5">
        <v>0</v>
      </c>
      <c r="W165" s="5">
        <v>1</v>
      </c>
      <c r="X165" s="7">
        <f t="shared" si="23"/>
        <v>12</v>
      </c>
      <c r="Y165" s="8">
        <f t="shared" si="31"/>
        <v>0.66666666666666674</v>
      </c>
      <c r="Z165" s="14" t="str">
        <f t="shared" si="25"/>
        <v>INTERMEDIÁRIO</v>
      </c>
      <c r="AA165" s="5">
        <v>0</v>
      </c>
      <c r="AB165" s="5">
        <v>1</v>
      </c>
      <c r="AC165" s="5">
        <v>0</v>
      </c>
      <c r="AD165" s="5">
        <v>1</v>
      </c>
      <c r="AE165" s="5">
        <v>0</v>
      </c>
      <c r="AF165" s="5">
        <v>1</v>
      </c>
      <c r="AG165" s="5">
        <v>1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</v>
      </c>
      <c r="AN165" s="5">
        <v>0</v>
      </c>
      <c r="AO165" s="5">
        <v>0</v>
      </c>
      <c r="AP165" s="5">
        <v>0</v>
      </c>
      <c r="AQ165" s="5">
        <v>1</v>
      </c>
      <c r="AR165" s="5">
        <v>1</v>
      </c>
      <c r="AS165" s="7">
        <f t="shared" si="29"/>
        <v>7</v>
      </c>
      <c r="AT165" s="8">
        <f t="shared" si="30"/>
        <v>0.38888888888888884</v>
      </c>
      <c r="AU165" s="14" t="str">
        <f t="shared" si="26"/>
        <v>DEFASAGEM</v>
      </c>
      <c r="AV165" s="7">
        <f t="shared" si="28"/>
        <v>19</v>
      </c>
      <c r="AW165" s="8">
        <f t="shared" si="27"/>
        <v>0.52777777777777779</v>
      </c>
    </row>
    <row r="166" spans="1:49" ht="15.75" customHeight="1" x14ac:dyDescent="0.25">
      <c r="A166" s="5" t="s">
        <v>11</v>
      </c>
      <c r="B166" s="7" t="s">
        <v>710</v>
      </c>
      <c r="C166" s="7" t="s">
        <v>1162</v>
      </c>
      <c r="D166" s="7" t="s">
        <v>1097</v>
      </c>
      <c r="E166" s="5" t="s">
        <v>862</v>
      </c>
      <c r="F166" s="5">
        <v>1</v>
      </c>
      <c r="G166" s="5">
        <v>1</v>
      </c>
      <c r="H166" s="5">
        <v>1</v>
      </c>
      <c r="I166" s="5">
        <v>1</v>
      </c>
      <c r="J166" s="5">
        <v>1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5">
        <v>1</v>
      </c>
      <c r="W166" s="5">
        <v>1</v>
      </c>
      <c r="X166" s="7">
        <f t="shared" si="23"/>
        <v>18</v>
      </c>
      <c r="Y166" s="8">
        <f t="shared" si="31"/>
        <v>1</v>
      </c>
      <c r="Z166" s="14" t="str">
        <f t="shared" si="25"/>
        <v>ADEQUADA</v>
      </c>
      <c r="AA166" s="5">
        <v>1</v>
      </c>
      <c r="AB166" s="5">
        <v>1</v>
      </c>
      <c r="AC166" s="5">
        <v>1</v>
      </c>
      <c r="AD166" s="5">
        <v>0</v>
      </c>
      <c r="AE166" s="5">
        <v>1</v>
      </c>
      <c r="AF166" s="5">
        <v>1</v>
      </c>
      <c r="AG166" s="5">
        <v>1</v>
      </c>
      <c r="AH166" s="5">
        <v>1</v>
      </c>
      <c r="AI166" s="5">
        <v>0</v>
      </c>
      <c r="AJ166" s="5">
        <v>1</v>
      </c>
      <c r="AK166" s="5">
        <v>1</v>
      </c>
      <c r="AL166" s="5">
        <v>0</v>
      </c>
      <c r="AM166" s="5">
        <v>1</v>
      </c>
      <c r="AN166" s="5">
        <v>1</v>
      </c>
      <c r="AO166" s="5">
        <v>1</v>
      </c>
      <c r="AP166" s="5">
        <v>1</v>
      </c>
      <c r="AQ166" s="5">
        <v>0</v>
      </c>
      <c r="AR166" s="5">
        <v>1</v>
      </c>
      <c r="AS166" s="7">
        <f t="shared" si="29"/>
        <v>14</v>
      </c>
      <c r="AT166" s="8">
        <f t="shared" si="30"/>
        <v>0.77777777777777768</v>
      </c>
      <c r="AU166" s="14" t="str">
        <f t="shared" si="26"/>
        <v>ADEQUADA</v>
      </c>
      <c r="AV166" s="7">
        <f t="shared" si="28"/>
        <v>32</v>
      </c>
      <c r="AW166" s="8">
        <f t="shared" si="27"/>
        <v>0.88888888888888884</v>
      </c>
    </row>
    <row r="167" spans="1:49" ht="15.75" customHeight="1" x14ac:dyDescent="0.25">
      <c r="A167" s="5" t="s">
        <v>11</v>
      </c>
      <c r="B167" s="7" t="s">
        <v>733</v>
      </c>
      <c r="C167" s="7" t="s">
        <v>1104</v>
      </c>
      <c r="D167" s="7" t="s">
        <v>1097</v>
      </c>
      <c r="E167" s="5" t="s">
        <v>863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1</v>
      </c>
      <c r="X167" s="7">
        <f t="shared" si="23"/>
        <v>18</v>
      </c>
      <c r="Y167" s="8">
        <f t="shared" si="31"/>
        <v>1</v>
      </c>
      <c r="Z167" s="14" t="str">
        <f t="shared" si="25"/>
        <v>ADEQUADA</v>
      </c>
      <c r="AA167" s="5">
        <v>1</v>
      </c>
      <c r="AB167" s="5">
        <v>1</v>
      </c>
      <c r="AC167" s="5">
        <v>1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1</v>
      </c>
      <c r="AO167" s="5">
        <v>0</v>
      </c>
      <c r="AP167" s="5">
        <v>0</v>
      </c>
      <c r="AQ167" s="5">
        <v>0</v>
      </c>
      <c r="AR167" s="5">
        <v>1</v>
      </c>
      <c r="AS167" s="7">
        <f t="shared" si="29"/>
        <v>8</v>
      </c>
      <c r="AT167" s="8">
        <f t="shared" si="30"/>
        <v>0.44444444444444442</v>
      </c>
      <c r="AU167" s="14" t="str">
        <f t="shared" si="26"/>
        <v>INTERMEDIÁRIO</v>
      </c>
      <c r="AV167" s="7">
        <f t="shared" si="28"/>
        <v>26</v>
      </c>
      <c r="AW167" s="8">
        <f t="shared" si="27"/>
        <v>0.72222222222222232</v>
      </c>
    </row>
    <row r="168" spans="1:49" ht="15.75" customHeight="1" x14ac:dyDescent="0.25">
      <c r="A168" s="5" t="s">
        <v>11</v>
      </c>
      <c r="B168" s="7" t="s">
        <v>733</v>
      </c>
      <c r="C168" s="7" t="s">
        <v>1162</v>
      </c>
      <c r="D168" s="7" t="s">
        <v>1097</v>
      </c>
      <c r="E168" s="5" t="s">
        <v>864</v>
      </c>
      <c r="F168" s="5">
        <v>1</v>
      </c>
      <c r="G168" s="5">
        <v>0</v>
      </c>
      <c r="H168" s="5">
        <v>0</v>
      </c>
      <c r="I168" s="5">
        <v>0</v>
      </c>
      <c r="J168" s="5">
        <v>1</v>
      </c>
      <c r="K168" s="5">
        <v>1</v>
      </c>
      <c r="L168" s="5">
        <v>1</v>
      </c>
      <c r="M168" s="5">
        <v>1</v>
      </c>
      <c r="N168" s="5">
        <v>0</v>
      </c>
      <c r="O168" s="5">
        <v>0</v>
      </c>
      <c r="P168" s="5">
        <v>0</v>
      </c>
      <c r="Q168" s="5">
        <v>0</v>
      </c>
      <c r="R168" s="5">
        <v>1</v>
      </c>
      <c r="S168" s="5">
        <v>1</v>
      </c>
      <c r="T168" s="5">
        <v>0</v>
      </c>
      <c r="U168" s="5">
        <v>1</v>
      </c>
      <c r="V168" s="5">
        <v>0</v>
      </c>
      <c r="W168" s="5">
        <v>1</v>
      </c>
      <c r="X168" s="7">
        <f t="shared" si="23"/>
        <v>9</v>
      </c>
      <c r="Y168" s="8">
        <f t="shared" si="31"/>
        <v>0.5</v>
      </c>
      <c r="Z168" s="14" t="str">
        <f t="shared" si="25"/>
        <v>INTERMEDIÁRIO</v>
      </c>
      <c r="AA168" s="5">
        <v>1</v>
      </c>
      <c r="AB168" s="5">
        <v>0</v>
      </c>
      <c r="AC168" s="5">
        <v>0</v>
      </c>
      <c r="AD168" s="5">
        <v>0</v>
      </c>
      <c r="AE168" s="5">
        <v>0</v>
      </c>
      <c r="AF168" s="5">
        <v>1</v>
      </c>
      <c r="AG168" s="5">
        <v>0</v>
      </c>
      <c r="AH168" s="5">
        <v>0</v>
      </c>
      <c r="AI168" s="5">
        <v>0</v>
      </c>
      <c r="AJ168" s="5">
        <v>0</v>
      </c>
      <c r="AK168" s="5">
        <v>1</v>
      </c>
      <c r="AL168" s="5">
        <v>1</v>
      </c>
      <c r="AM168" s="5">
        <v>0</v>
      </c>
      <c r="AN168" s="5">
        <v>1</v>
      </c>
      <c r="AO168" s="5">
        <v>0</v>
      </c>
      <c r="AP168" s="5">
        <v>0</v>
      </c>
      <c r="AQ168" s="5">
        <v>1</v>
      </c>
      <c r="AR168" s="5">
        <v>1</v>
      </c>
      <c r="AS168" s="7">
        <f t="shared" si="29"/>
        <v>7</v>
      </c>
      <c r="AT168" s="8">
        <f t="shared" si="30"/>
        <v>0.38888888888888884</v>
      </c>
      <c r="AU168" s="14" t="str">
        <f t="shared" si="26"/>
        <v>DEFASAGEM</v>
      </c>
      <c r="AV168" s="7">
        <v>1</v>
      </c>
      <c r="AW168" s="8">
        <f t="shared" si="27"/>
        <v>2.7777777777777776E-2</v>
      </c>
    </row>
    <row r="169" spans="1:49" ht="15.75" customHeight="1" x14ac:dyDescent="0.25">
      <c r="A169" s="5" t="s">
        <v>11</v>
      </c>
      <c r="B169" s="7" t="s">
        <v>733</v>
      </c>
      <c r="C169" s="7" t="s">
        <v>1220</v>
      </c>
      <c r="D169" s="7" t="s">
        <v>1097</v>
      </c>
      <c r="E169" s="5" t="s">
        <v>865</v>
      </c>
      <c r="F169" s="5">
        <v>0</v>
      </c>
      <c r="G169" s="5">
        <v>1</v>
      </c>
      <c r="H169" s="5">
        <v>1</v>
      </c>
      <c r="I169" s="5">
        <v>0</v>
      </c>
      <c r="J169" s="5">
        <v>0</v>
      </c>
      <c r="K169" s="5">
        <v>0</v>
      </c>
      <c r="L169" s="5">
        <v>1</v>
      </c>
      <c r="M169" s="5">
        <v>0</v>
      </c>
      <c r="N169" s="5">
        <v>0</v>
      </c>
      <c r="O169" s="5">
        <v>1</v>
      </c>
      <c r="P169" s="5">
        <v>0</v>
      </c>
      <c r="Q169" s="5">
        <v>1</v>
      </c>
      <c r="R169" s="5">
        <v>1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7">
        <f t="shared" si="23"/>
        <v>6</v>
      </c>
      <c r="Y169" s="8">
        <f t="shared" si="31"/>
        <v>0.33333333333333337</v>
      </c>
      <c r="Z169" s="14" t="str">
        <f t="shared" si="25"/>
        <v>DEFASAGEM</v>
      </c>
      <c r="AA169" s="5">
        <v>1</v>
      </c>
      <c r="AB169" s="5">
        <v>1</v>
      </c>
      <c r="AC169" s="5">
        <v>1</v>
      </c>
      <c r="AD169" s="5">
        <v>1</v>
      </c>
      <c r="AE169" s="5">
        <v>0</v>
      </c>
      <c r="AF169" s="5">
        <v>1</v>
      </c>
      <c r="AG169" s="5">
        <v>1</v>
      </c>
      <c r="AH169" s="5">
        <v>0</v>
      </c>
      <c r="AI169" s="5">
        <v>0</v>
      </c>
      <c r="AJ169" s="5">
        <v>0</v>
      </c>
      <c r="AK169" s="5">
        <v>1</v>
      </c>
      <c r="AL169" s="5">
        <v>1</v>
      </c>
      <c r="AM169" s="5">
        <v>0</v>
      </c>
      <c r="AN169" s="5">
        <v>0</v>
      </c>
      <c r="AO169" s="5">
        <v>0</v>
      </c>
      <c r="AP169" s="5">
        <v>0</v>
      </c>
      <c r="AQ169" s="5">
        <v>1</v>
      </c>
      <c r="AR169" s="5">
        <v>1</v>
      </c>
      <c r="AS169" s="7">
        <f t="shared" si="29"/>
        <v>10</v>
      </c>
      <c r="AT169" s="8">
        <f t="shared" si="30"/>
        <v>0.55555555555555558</v>
      </c>
      <c r="AU169" s="14" t="str">
        <f t="shared" si="26"/>
        <v>INTERMEDIÁRIO</v>
      </c>
      <c r="AV169" s="7">
        <f t="shared" ref="AV169:AV185" si="32">SUM(F169:W169)+(SUM(AA169:AR169))</f>
        <v>16</v>
      </c>
      <c r="AW169" s="8">
        <f t="shared" si="27"/>
        <v>0.44444444444444442</v>
      </c>
    </row>
    <row r="170" spans="1:49" ht="15.75" customHeight="1" x14ac:dyDescent="0.25">
      <c r="A170" s="5" t="s">
        <v>11</v>
      </c>
      <c r="B170" s="7" t="s">
        <v>733</v>
      </c>
      <c r="C170" s="7" t="s">
        <v>1105</v>
      </c>
      <c r="D170" s="7" t="s">
        <v>1097</v>
      </c>
      <c r="E170" s="5" t="s">
        <v>866</v>
      </c>
      <c r="F170" s="5">
        <v>0</v>
      </c>
      <c r="G170" s="5">
        <v>1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1</v>
      </c>
      <c r="Q170" s="5">
        <v>0</v>
      </c>
      <c r="R170" s="5">
        <v>1</v>
      </c>
      <c r="S170" s="5">
        <v>1</v>
      </c>
      <c r="T170" s="5">
        <v>0</v>
      </c>
      <c r="U170" s="5">
        <v>0</v>
      </c>
      <c r="V170" s="5">
        <v>1</v>
      </c>
      <c r="W170" s="5">
        <v>0</v>
      </c>
      <c r="X170" s="7">
        <f t="shared" si="23"/>
        <v>5</v>
      </c>
      <c r="Y170" s="8">
        <f t="shared" si="31"/>
        <v>0.27777777777777779</v>
      </c>
      <c r="Z170" s="14" t="str">
        <f t="shared" si="25"/>
        <v>DEFASAGEM</v>
      </c>
      <c r="AA170" s="5">
        <v>1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1</v>
      </c>
      <c r="AI170" s="5">
        <v>0</v>
      </c>
      <c r="AJ170" s="5">
        <v>1</v>
      </c>
      <c r="AK170" s="5">
        <v>1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1</v>
      </c>
      <c r="AS170" s="7">
        <f t="shared" si="29"/>
        <v>5</v>
      </c>
      <c r="AT170" s="8">
        <f t="shared" si="30"/>
        <v>0.27777777777777779</v>
      </c>
      <c r="AU170" s="14" t="str">
        <f t="shared" si="26"/>
        <v>DEFASAGEM</v>
      </c>
      <c r="AV170" s="7">
        <f t="shared" si="32"/>
        <v>10</v>
      </c>
      <c r="AW170" s="8">
        <f t="shared" si="27"/>
        <v>0.27777777777777779</v>
      </c>
    </row>
    <row r="171" spans="1:49" ht="15.75" customHeight="1" x14ac:dyDescent="0.25">
      <c r="A171" s="5" t="s">
        <v>11</v>
      </c>
      <c r="B171" s="7" t="s">
        <v>733</v>
      </c>
      <c r="C171" s="7" t="s">
        <v>1220</v>
      </c>
      <c r="D171" s="7" t="s">
        <v>1097</v>
      </c>
      <c r="E171" s="5" t="s">
        <v>867</v>
      </c>
      <c r="F171" s="5">
        <v>1</v>
      </c>
      <c r="G171" s="5">
        <v>1</v>
      </c>
      <c r="H171" s="5">
        <v>1</v>
      </c>
      <c r="I171" s="5">
        <v>0</v>
      </c>
      <c r="J171" s="5">
        <v>1</v>
      </c>
      <c r="K171" s="5">
        <v>1</v>
      </c>
      <c r="L171" s="5">
        <v>1</v>
      </c>
      <c r="M171" s="5">
        <v>1</v>
      </c>
      <c r="N171" s="5">
        <v>0</v>
      </c>
      <c r="O171" s="5">
        <v>0</v>
      </c>
      <c r="P171" s="5">
        <v>1</v>
      </c>
      <c r="Q171" s="5">
        <v>1</v>
      </c>
      <c r="R171" s="5">
        <v>0</v>
      </c>
      <c r="S171" s="5">
        <v>0</v>
      </c>
      <c r="T171" s="5">
        <v>1</v>
      </c>
      <c r="U171" s="5">
        <v>1</v>
      </c>
      <c r="V171" s="5">
        <v>1</v>
      </c>
      <c r="W171" s="5">
        <v>0</v>
      </c>
      <c r="X171" s="7">
        <f t="shared" ref="X171:X175" si="33">SUM(F171:W171)</f>
        <v>12</v>
      </c>
      <c r="Y171" s="8">
        <f t="shared" si="31"/>
        <v>0.66666666666666674</v>
      </c>
      <c r="Z171" s="14" t="str">
        <f t="shared" si="25"/>
        <v>INTERMEDIÁRIO</v>
      </c>
      <c r="AA171" s="5">
        <v>1</v>
      </c>
      <c r="AB171" s="5">
        <v>1</v>
      </c>
      <c r="AC171" s="5">
        <v>1</v>
      </c>
      <c r="AD171" s="5">
        <v>1</v>
      </c>
      <c r="AE171" s="5">
        <v>0</v>
      </c>
      <c r="AF171" s="5">
        <v>0</v>
      </c>
      <c r="AG171" s="5">
        <v>1</v>
      </c>
      <c r="AH171" s="5">
        <v>0</v>
      </c>
      <c r="AI171" s="5">
        <v>0</v>
      </c>
      <c r="AJ171" s="5">
        <v>0</v>
      </c>
      <c r="AK171" s="5">
        <v>0</v>
      </c>
      <c r="AL171" s="5">
        <v>1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7">
        <f t="shared" si="29"/>
        <v>6</v>
      </c>
      <c r="AT171" s="8">
        <f t="shared" si="30"/>
        <v>0.33333333333333337</v>
      </c>
      <c r="AU171" s="14" t="str">
        <f t="shared" si="26"/>
        <v>DEFASAGEM</v>
      </c>
      <c r="AV171" s="7">
        <f t="shared" si="32"/>
        <v>18</v>
      </c>
      <c r="AW171" s="8">
        <f t="shared" si="27"/>
        <v>0.5</v>
      </c>
    </row>
    <row r="172" spans="1:49" ht="15.75" customHeight="1" x14ac:dyDescent="0.25">
      <c r="A172" s="5" t="s">
        <v>11</v>
      </c>
      <c r="B172" s="7" t="s">
        <v>733</v>
      </c>
      <c r="C172" s="7" t="s">
        <v>1162</v>
      </c>
      <c r="D172" s="7" t="s">
        <v>1097</v>
      </c>
      <c r="E172" s="5" t="s">
        <v>868</v>
      </c>
      <c r="F172" s="5">
        <v>1</v>
      </c>
      <c r="G172" s="5">
        <v>0</v>
      </c>
      <c r="H172" s="5">
        <v>1</v>
      </c>
      <c r="I172" s="5">
        <v>1</v>
      </c>
      <c r="J172" s="5">
        <v>1</v>
      </c>
      <c r="K172" s="5">
        <v>1</v>
      </c>
      <c r="L172" s="5">
        <v>0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0</v>
      </c>
      <c r="T172" s="5">
        <v>1</v>
      </c>
      <c r="U172" s="5">
        <v>1</v>
      </c>
      <c r="V172" s="5">
        <v>0</v>
      </c>
      <c r="W172" s="5">
        <v>1</v>
      </c>
      <c r="X172" s="7">
        <f t="shared" si="33"/>
        <v>14</v>
      </c>
      <c r="Y172" s="8">
        <f t="shared" si="31"/>
        <v>0.77777777777777768</v>
      </c>
      <c r="Z172" s="14" t="str">
        <f t="shared" si="25"/>
        <v>ADEQUADA</v>
      </c>
      <c r="AA172" s="5">
        <v>1</v>
      </c>
      <c r="AB172" s="5">
        <v>1</v>
      </c>
      <c r="AC172" s="5">
        <v>1</v>
      </c>
      <c r="AD172" s="5">
        <v>1</v>
      </c>
      <c r="AE172" s="5">
        <v>0</v>
      </c>
      <c r="AF172" s="5">
        <v>1</v>
      </c>
      <c r="AG172" s="5">
        <v>0</v>
      </c>
      <c r="AH172" s="5">
        <v>1</v>
      </c>
      <c r="AI172" s="5">
        <v>0</v>
      </c>
      <c r="AJ172" s="5">
        <v>0</v>
      </c>
      <c r="AK172" s="5">
        <v>1</v>
      </c>
      <c r="AL172" s="5">
        <v>1</v>
      </c>
      <c r="AM172" s="5">
        <v>1</v>
      </c>
      <c r="AN172" s="5">
        <v>1</v>
      </c>
      <c r="AO172" s="5">
        <v>0</v>
      </c>
      <c r="AP172" s="5">
        <v>0</v>
      </c>
      <c r="AQ172" s="5">
        <v>1</v>
      </c>
      <c r="AR172" s="5">
        <v>1</v>
      </c>
      <c r="AS172" s="7">
        <f t="shared" si="29"/>
        <v>12</v>
      </c>
      <c r="AT172" s="8">
        <f t="shared" si="30"/>
        <v>0.66666666666666674</v>
      </c>
      <c r="AU172" s="14" t="str">
        <f t="shared" si="26"/>
        <v>INTERMEDIÁRIO</v>
      </c>
      <c r="AV172" s="7">
        <f t="shared" si="32"/>
        <v>26</v>
      </c>
      <c r="AW172" s="8">
        <f t="shared" si="27"/>
        <v>0.72222222222222232</v>
      </c>
    </row>
    <row r="173" spans="1:49" ht="15.75" customHeight="1" x14ac:dyDescent="0.25">
      <c r="A173" s="5" t="s">
        <v>11</v>
      </c>
      <c r="B173" s="7" t="s">
        <v>733</v>
      </c>
      <c r="C173" s="7" t="s">
        <v>1162</v>
      </c>
      <c r="D173" s="7" t="s">
        <v>1097</v>
      </c>
      <c r="E173" s="5" t="s">
        <v>869</v>
      </c>
      <c r="F173" s="5">
        <v>0</v>
      </c>
      <c r="G173" s="5">
        <v>1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5">
        <v>0</v>
      </c>
      <c r="O173" s="5">
        <v>1</v>
      </c>
      <c r="P173" s="5">
        <v>1</v>
      </c>
      <c r="Q173" s="5">
        <v>0</v>
      </c>
      <c r="R173" s="5">
        <v>1</v>
      </c>
      <c r="S173" s="5">
        <v>0</v>
      </c>
      <c r="T173" s="5">
        <v>0</v>
      </c>
      <c r="U173" s="5">
        <v>1</v>
      </c>
      <c r="V173" s="5">
        <v>1</v>
      </c>
      <c r="W173" s="5">
        <v>1</v>
      </c>
      <c r="X173" s="7">
        <f t="shared" si="33"/>
        <v>13</v>
      </c>
      <c r="Y173" s="8">
        <f t="shared" si="31"/>
        <v>0.72222222222222232</v>
      </c>
      <c r="Z173" s="14" t="str">
        <f t="shared" si="25"/>
        <v>ADEQUADA</v>
      </c>
      <c r="AA173" s="5">
        <v>1</v>
      </c>
      <c r="AB173" s="5">
        <v>1</v>
      </c>
      <c r="AC173" s="5">
        <v>0</v>
      </c>
      <c r="AD173" s="5">
        <v>1</v>
      </c>
      <c r="AE173" s="5">
        <v>0</v>
      </c>
      <c r="AF173" s="5">
        <v>0</v>
      </c>
      <c r="AG173" s="5">
        <v>1</v>
      </c>
      <c r="AH173" s="5">
        <v>1</v>
      </c>
      <c r="AI173" s="5">
        <v>1</v>
      </c>
      <c r="AJ173" s="5">
        <v>0</v>
      </c>
      <c r="AK173" s="5">
        <v>1</v>
      </c>
      <c r="AL173" s="5">
        <v>1</v>
      </c>
      <c r="AM173" s="5">
        <v>1</v>
      </c>
      <c r="AN173" s="5">
        <v>1</v>
      </c>
      <c r="AO173" s="5">
        <v>1</v>
      </c>
      <c r="AP173" s="5">
        <v>0</v>
      </c>
      <c r="AQ173" s="5">
        <v>1</v>
      </c>
      <c r="AR173" s="5">
        <v>1</v>
      </c>
      <c r="AS173" s="7">
        <f t="shared" si="29"/>
        <v>13</v>
      </c>
      <c r="AT173" s="8">
        <f t="shared" si="30"/>
        <v>0.72222222222222232</v>
      </c>
      <c r="AU173" s="14" t="str">
        <f t="shared" si="26"/>
        <v>ADEQUADA</v>
      </c>
      <c r="AV173" s="7">
        <f t="shared" si="32"/>
        <v>26</v>
      </c>
      <c r="AW173" s="8">
        <f t="shared" si="27"/>
        <v>0.72222222222222232</v>
      </c>
    </row>
    <row r="174" spans="1:49" ht="15.75" customHeight="1" x14ac:dyDescent="0.25">
      <c r="A174" s="5" t="s">
        <v>11</v>
      </c>
      <c r="B174" s="7" t="s">
        <v>733</v>
      </c>
      <c r="C174" s="7" t="s">
        <v>1162</v>
      </c>
      <c r="D174" s="7" t="s">
        <v>1097</v>
      </c>
      <c r="E174" s="5" t="s">
        <v>870</v>
      </c>
      <c r="F174" s="5">
        <v>0</v>
      </c>
      <c r="G174" s="5">
        <v>0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0</v>
      </c>
      <c r="P174" s="5">
        <v>1</v>
      </c>
      <c r="Q174" s="5">
        <v>1</v>
      </c>
      <c r="R174" s="5">
        <v>1</v>
      </c>
      <c r="S174" s="5">
        <v>1</v>
      </c>
      <c r="T174" s="5">
        <v>0</v>
      </c>
      <c r="U174" s="5">
        <v>1</v>
      </c>
      <c r="V174" s="5">
        <v>0</v>
      </c>
      <c r="W174" s="5">
        <v>0</v>
      </c>
      <c r="X174" s="7">
        <f t="shared" si="33"/>
        <v>12</v>
      </c>
      <c r="Y174" s="8">
        <f t="shared" si="31"/>
        <v>0.66666666666666674</v>
      </c>
      <c r="Z174" s="14" t="str">
        <f t="shared" si="25"/>
        <v>INTERMEDIÁRIO</v>
      </c>
      <c r="AA174" s="5">
        <v>1</v>
      </c>
      <c r="AB174" s="5">
        <v>1</v>
      </c>
      <c r="AC174" s="5">
        <v>0</v>
      </c>
      <c r="AD174" s="5">
        <v>1</v>
      </c>
      <c r="AE174" s="5">
        <v>0</v>
      </c>
      <c r="AF174" s="5">
        <v>1</v>
      </c>
      <c r="AG174" s="5">
        <v>1</v>
      </c>
      <c r="AH174" s="5">
        <v>1</v>
      </c>
      <c r="AI174" s="5">
        <v>1</v>
      </c>
      <c r="AJ174" s="5">
        <v>0</v>
      </c>
      <c r="AK174" s="5">
        <v>1</v>
      </c>
      <c r="AL174" s="5">
        <v>0</v>
      </c>
      <c r="AM174" s="5">
        <v>0</v>
      </c>
      <c r="AN174" s="5">
        <v>1</v>
      </c>
      <c r="AO174" s="5">
        <v>1</v>
      </c>
      <c r="AP174" s="5">
        <v>0</v>
      </c>
      <c r="AQ174" s="5">
        <v>1</v>
      </c>
      <c r="AR174" s="5">
        <v>1</v>
      </c>
      <c r="AS174" s="7">
        <f t="shared" si="29"/>
        <v>12</v>
      </c>
      <c r="AT174" s="8">
        <f t="shared" si="30"/>
        <v>0.66666666666666674</v>
      </c>
      <c r="AU174" s="14" t="str">
        <f t="shared" si="26"/>
        <v>INTERMEDIÁRIO</v>
      </c>
      <c r="AV174" s="7">
        <f t="shared" si="32"/>
        <v>24</v>
      </c>
      <c r="AW174" s="8">
        <f t="shared" si="27"/>
        <v>0.66666666666666674</v>
      </c>
    </row>
    <row r="175" spans="1:49" ht="15.75" customHeight="1" x14ac:dyDescent="0.25">
      <c r="A175" s="5" t="s">
        <v>11</v>
      </c>
      <c r="B175" s="7" t="s">
        <v>733</v>
      </c>
      <c r="C175" s="26" t="s">
        <v>1220</v>
      </c>
      <c r="D175" s="7" t="s">
        <v>1097</v>
      </c>
      <c r="E175" s="5" t="s">
        <v>871</v>
      </c>
      <c r="F175" s="5">
        <v>1</v>
      </c>
      <c r="G175" s="5">
        <v>0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0</v>
      </c>
      <c r="P175" s="5">
        <v>0</v>
      </c>
      <c r="Q175" s="5">
        <v>0</v>
      </c>
      <c r="R175" s="5">
        <v>1</v>
      </c>
      <c r="S175" s="5">
        <v>1</v>
      </c>
      <c r="T175" s="5">
        <v>0</v>
      </c>
      <c r="U175" s="5">
        <v>0</v>
      </c>
      <c r="V175" s="5">
        <v>0</v>
      </c>
      <c r="W175" s="5">
        <v>1</v>
      </c>
      <c r="X175" s="7">
        <f t="shared" si="33"/>
        <v>11</v>
      </c>
      <c r="Y175" s="8">
        <f t="shared" si="31"/>
        <v>0.61111111111111116</v>
      </c>
      <c r="Z175" s="14" t="str">
        <f t="shared" si="25"/>
        <v>INTERMEDIÁRIO</v>
      </c>
      <c r="AA175" s="5">
        <v>1</v>
      </c>
      <c r="AB175" s="5">
        <v>1</v>
      </c>
      <c r="AC175" s="5">
        <v>0</v>
      </c>
      <c r="AD175" s="5">
        <v>1</v>
      </c>
      <c r="AE175" s="5">
        <v>1</v>
      </c>
      <c r="AF175" s="5">
        <v>0</v>
      </c>
      <c r="AG175" s="5">
        <v>0</v>
      </c>
      <c r="AH175" s="5">
        <v>0</v>
      </c>
      <c r="AI175" s="5">
        <v>1</v>
      </c>
      <c r="AJ175" s="5">
        <v>0</v>
      </c>
      <c r="AK175" s="5">
        <v>0</v>
      </c>
      <c r="AL175" s="5">
        <v>1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1</v>
      </c>
      <c r="AS175" s="7">
        <f t="shared" si="29"/>
        <v>7</v>
      </c>
      <c r="AT175" s="8">
        <f t="shared" si="30"/>
        <v>0.38888888888888884</v>
      </c>
      <c r="AU175" s="14" t="str">
        <f t="shared" si="26"/>
        <v>DEFASAGEM</v>
      </c>
      <c r="AV175" s="7">
        <f t="shared" si="32"/>
        <v>18</v>
      </c>
      <c r="AW175" s="8">
        <f t="shared" si="27"/>
        <v>0.5</v>
      </c>
    </row>
    <row r="176" spans="1:49" ht="15.75" customHeight="1" x14ac:dyDescent="0.25">
      <c r="A176" s="5" t="s">
        <v>11</v>
      </c>
      <c r="B176" s="27" t="s">
        <v>733</v>
      </c>
      <c r="C176" s="28" t="s">
        <v>1099</v>
      </c>
      <c r="D176" s="29" t="s">
        <v>1100</v>
      </c>
      <c r="E176" s="5" t="s">
        <v>872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7">
        <v>0</v>
      </c>
      <c r="Y176" s="8">
        <f t="shared" si="31"/>
        <v>0</v>
      </c>
      <c r="Z176" s="14" t="str">
        <f t="shared" si="25"/>
        <v>DEFASAGEM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7">
        <v>0</v>
      </c>
      <c r="AT176" s="8">
        <v>0</v>
      </c>
      <c r="AU176" s="14" t="str">
        <f t="shared" si="26"/>
        <v>DEFASAGEM</v>
      </c>
      <c r="AV176" s="7">
        <f t="shared" si="32"/>
        <v>0</v>
      </c>
      <c r="AW176" s="8">
        <f t="shared" si="27"/>
        <v>0</v>
      </c>
    </row>
    <row r="177" spans="1:49" ht="15.75" customHeight="1" x14ac:dyDescent="0.25">
      <c r="A177" s="5" t="s">
        <v>11</v>
      </c>
      <c r="B177" s="7" t="s">
        <v>733</v>
      </c>
      <c r="C177" s="30" t="s">
        <v>1162</v>
      </c>
      <c r="D177" s="7" t="s">
        <v>1097</v>
      </c>
      <c r="E177" s="5" t="s">
        <v>873</v>
      </c>
      <c r="F177" s="5">
        <v>1</v>
      </c>
      <c r="G177" s="5">
        <v>0</v>
      </c>
      <c r="H177" s="5">
        <v>1</v>
      </c>
      <c r="I177" s="5">
        <v>0</v>
      </c>
      <c r="J177" s="5">
        <v>1</v>
      </c>
      <c r="K177" s="5">
        <v>1</v>
      </c>
      <c r="L177" s="5">
        <v>1</v>
      </c>
      <c r="M177" s="5">
        <v>1</v>
      </c>
      <c r="N177" s="5">
        <v>0</v>
      </c>
      <c r="O177" s="5">
        <v>0</v>
      </c>
      <c r="P177" s="5">
        <v>1</v>
      </c>
      <c r="Q177" s="5">
        <v>1</v>
      </c>
      <c r="R177" s="5">
        <v>0</v>
      </c>
      <c r="S177" s="5">
        <v>0</v>
      </c>
      <c r="T177" s="5">
        <v>0</v>
      </c>
      <c r="U177" s="5">
        <v>0</v>
      </c>
      <c r="V177" s="5">
        <v>1</v>
      </c>
      <c r="W177" s="5">
        <v>1</v>
      </c>
      <c r="X177" s="7">
        <f t="shared" ref="X177:X185" si="34">SUM(F177:W177)</f>
        <v>10</v>
      </c>
      <c r="Y177" s="8">
        <f t="shared" si="31"/>
        <v>0.55555555555555558</v>
      </c>
      <c r="Z177" s="14" t="str">
        <f t="shared" si="25"/>
        <v>INTERMEDIÁRIO</v>
      </c>
      <c r="AA177" s="5">
        <v>1</v>
      </c>
      <c r="AB177" s="5">
        <v>1</v>
      </c>
      <c r="AC177" s="5">
        <v>0</v>
      </c>
      <c r="AD177" s="5">
        <v>1</v>
      </c>
      <c r="AE177" s="5">
        <v>0</v>
      </c>
      <c r="AF177" s="5">
        <v>1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1</v>
      </c>
      <c r="AM177" s="5">
        <v>1</v>
      </c>
      <c r="AN177" s="5">
        <v>1</v>
      </c>
      <c r="AO177" s="5">
        <v>0</v>
      </c>
      <c r="AP177" s="5">
        <v>0</v>
      </c>
      <c r="AQ177" s="5">
        <v>1</v>
      </c>
      <c r="AR177" s="5">
        <v>1</v>
      </c>
      <c r="AS177" s="7">
        <f t="shared" ref="AS177:AS185" si="35">SUM(AA177:AR177)</f>
        <v>9</v>
      </c>
      <c r="AT177" s="8">
        <f t="shared" ref="AT177:AT185" si="36">((AS177*100)/18)/100</f>
        <v>0.5</v>
      </c>
      <c r="AU177" s="14" t="str">
        <f t="shared" si="26"/>
        <v>INTERMEDIÁRIO</v>
      </c>
      <c r="AV177" s="7">
        <f t="shared" si="32"/>
        <v>19</v>
      </c>
      <c r="AW177" s="8">
        <f t="shared" si="27"/>
        <v>0.52777777777777779</v>
      </c>
    </row>
    <row r="178" spans="1:49" ht="15.75" customHeight="1" x14ac:dyDescent="0.25">
      <c r="A178" s="5" t="s">
        <v>11</v>
      </c>
      <c r="B178" s="7" t="s">
        <v>733</v>
      </c>
      <c r="C178" s="7" t="s">
        <v>1104</v>
      </c>
      <c r="D178" s="7" t="s">
        <v>1097</v>
      </c>
      <c r="E178" s="5" t="s">
        <v>874</v>
      </c>
      <c r="F178" s="5">
        <v>1</v>
      </c>
      <c r="G178" s="5">
        <v>0</v>
      </c>
      <c r="H178" s="5">
        <v>0</v>
      </c>
      <c r="I178" s="5">
        <v>0</v>
      </c>
      <c r="J178" s="5">
        <v>1</v>
      </c>
      <c r="K178" s="5">
        <v>1</v>
      </c>
      <c r="L178" s="5">
        <v>1</v>
      </c>
      <c r="M178" s="5">
        <v>1</v>
      </c>
      <c r="N178" s="5">
        <v>0</v>
      </c>
      <c r="O178" s="5">
        <v>0</v>
      </c>
      <c r="P178" s="5">
        <v>1</v>
      </c>
      <c r="Q178" s="5">
        <v>0</v>
      </c>
      <c r="R178" s="5">
        <v>1</v>
      </c>
      <c r="S178" s="5">
        <v>1</v>
      </c>
      <c r="T178" s="5">
        <v>0</v>
      </c>
      <c r="U178" s="5">
        <v>1</v>
      </c>
      <c r="V178" s="5">
        <v>1</v>
      </c>
      <c r="W178" s="5">
        <v>1</v>
      </c>
      <c r="X178" s="7">
        <f t="shared" si="34"/>
        <v>11</v>
      </c>
      <c r="Y178" s="8">
        <f t="shared" si="31"/>
        <v>0.61111111111111116</v>
      </c>
      <c r="Z178" s="14" t="str">
        <f t="shared" si="25"/>
        <v>INTERMEDIÁRIO</v>
      </c>
      <c r="AA178" s="5">
        <v>1</v>
      </c>
      <c r="AB178" s="5">
        <v>1</v>
      </c>
      <c r="AC178" s="5">
        <v>1</v>
      </c>
      <c r="AD178" s="5">
        <v>1</v>
      </c>
      <c r="AE178" s="5">
        <v>0</v>
      </c>
      <c r="AF178" s="5">
        <v>0</v>
      </c>
      <c r="AG178" s="5">
        <v>1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1</v>
      </c>
      <c r="AN178" s="5">
        <v>0</v>
      </c>
      <c r="AO178" s="5">
        <v>0</v>
      </c>
      <c r="AP178" s="5">
        <v>0</v>
      </c>
      <c r="AQ178" s="5">
        <v>0</v>
      </c>
      <c r="AR178" s="5">
        <v>1</v>
      </c>
      <c r="AS178" s="7">
        <f t="shared" si="35"/>
        <v>7</v>
      </c>
      <c r="AT178" s="8">
        <f t="shared" si="36"/>
        <v>0.38888888888888884</v>
      </c>
      <c r="AU178" s="14" t="str">
        <f t="shared" si="26"/>
        <v>DEFASAGEM</v>
      </c>
      <c r="AV178" s="7">
        <f t="shared" si="32"/>
        <v>18</v>
      </c>
      <c r="AW178" s="8">
        <f t="shared" si="27"/>
        <v>0.5</v>
      </c>
    </row>
    <row r="179" spans="1:49" ht="15.75" customHeight="1" x14ac:dyDescent="0.25">
      <c r="A179" s="5" t="s">
        <v>11</v>
      </c>
      <c r="B179" s="7" t="s">
        <v>733</v>
      </c>
      <c r="C179" s="7" t="s">
        <v>1104</v>
      </c>
      <c r="D179" s="7" t="s">
        <v>1097</v>
      </c>
      <c r="E179" s="5" t="s">
        <v>875</v>
      </c>
      <c r="F179" s="5">
        <v>0</v>
      </c>
      <c r="G179" s="5">
        <v>0</v>
      </c>
      <c r="H179" s="5">
        <v>1</v>
      </c>
      <c r="I179" s="5">
        <v>0</v>
      </c>
      <c r="J179" s="5">
        <v>1</v>
      </c>
      <c r="K179" s="5">
        <v>1</v>
      </c>
      <c r="L179" s="5">
        <v>1</v>
      </c>
      <c r="M179" s="5">
        <v>0</v>
      </c>
      <c r="N179" s="5">
        <v>1</v>
      </c>
      <c r="O179" s="5">
        <v>1</v>
      </c>
      <c r="P179" s="5">
        <v>1</v>
      </c>
      <c r="Q179" s="5">
        <v>0</v>
      </c>
      <c r="R179" s="5">
        <v>1</v>
      </c>
      <c r="S179" s="5">
        <v>1</v>
      </c>
      <c r="T179" s="5">
        <v>1</v>
      </c>
      <c r="U179" s="5">
        <v>1</v>
      </c>
      <c r="V179" s="5">
        <v>1</v>
      </c>
      <c r="W179" s="5">
        <v>1</v>
      </c>
      <c r="X179" s="7">
        <f t="shared" si="34"/>
        <v>13</v>
      </c>
      <c r="Y179" s="8">
        <f t="shared" si="31"/>
        <v>0.72222222222222232</v>
      </c>
      <c r="Z179" s="14" t="str">
        <f t="shared" si="25"/>
        <v>ADEQUADA</v>
      </c>
      <c r="AA179" s="5">
        <v>1</v>
      </c>
      <c r="AB179" s="5">
        <v>1</v>
      </c>
      <c r="AC179" s="5">
        <v>0</v>
      </c>
      <c r="AD179" s="5">
        <v>1</v>
      </c>
      <c r="AE179" s="5">
        <v>1</v>
      </c>
      <c r="AF179" s="5">
        <v>1</v>
      </c>
      <c r="AG179" s="5">
        <v>1</v>
      </c>
      <c r="AH179" s="5">
        <v>1</v>
      </c>
      <c r="AI179" s="5">
        <v>0</v>
      </c>
      <c r="AJ179" s="5">
        <v>0</v>
      </c>
      <c r="AK179" s="5">
        <v>1</v>
      </c>
      <c r="AL179" s="5">
        <v>0</v>
      </c>
      <c r="AM179" s="5">
        <v>1</v>
      </c>
      <c r="AN179" s="5">
        <v>1</v>
      </c>
      <c r="AO179" s="5">
        <v>1</v>
      </c>
      <c r="AP179" s="5">
        <v>0</v>
      </c>
      <c r="AQ179" s="5">
        <v>1</v>
      </c>
      <c r="AR179" s="5">
        <v>1</v>
      </c>
      <c r="AS179" s="7">
        <f t="shared" si="35"/>
        <v>13</v>
      </c>
      <c r="AT179" s="8">
        <f t="shared" si="36"/>
        <v>0.72222222222222232</v>
      </c>
      <c r="AU179" s="14" t="str">
        <f t="shared" si="26"/>
        <v>ADEQUADA</v>
      </c>
      <c r="AV179" s="7">
        <f t="shared" si="32"/>
        <v>26</v>
      </c>
      <c r="AW179" s="8">
        <f t="shared" si="27"/>
        <v>0.72222222222222232</v>
      </c>
    </row>
    <row r="180" spans="1:49" ht="15.75" customHeight="1" x14ac:dyDescent="0.25">
      <c r="A180" s="5" t="s">
        <v>11</v>
      </c>
      <c r="B180" s="7" t="s">
        <v>733</v>
      </c>
      <c r="C180" s="7" t="s">
        <v>1162</v>
      </c>
      <c r="D180" s="7" t="s">
        <v>1097</v>
      </c>
      <c r="E180" s="5" t="s">
        <v>876</v>
      </c>
      <c r="F180" s="5">
        <v>1</v>
      </c>
      <c r="G180" s="5">
        <v>0</v>
      </c>
      <c r="H180" s="5">
        <v>1</v>
      </c>
      <c r="I180" s="5">
        <v>0</v>
      </c>
      <c r="J180" s="5">
        <v>0</v>
      </c>
      <c r="K180" s="5">
        <v>1</v>
      </c>
      <c r="L180" s="5">
        <v>0</v>
      </c>
      <c r="M180" s="5">
        <v>0</v>
      </c>
      <c r="N180" s="5">
        <v>1</v>
      </c>
      <c r="O180" s="5">
        <v>0</v>
      </c>
      <c r="P180" s="5">
        <v>0</v>
      </c>
      <c r="Q180" s="5">
        <v>1</v>
      </c>
      <c r="R180" s="5">
        <v>0</v>
      </c>
      <c r="S180" s="5">
        <v>0</v>
      </c>
      <c r="T180" s="5">
        <v>0</v>
      </c>
      <c r="U180" s="5">
        <v>1</v>
      </c>
      <c r="V180" s="5">
        <v>1</v>
      </c>
      <c r="W180" s="5">
        <v>1</v>
      </c>
      <c r="X180" s="7">
        <f t="shared" si="34"/>
        <v>8</v>
      </c>
      <c r="Y180" s="8">
        <f t="shared" si="31"/>
        <v>0.44444444444444442</v>
      </c>
      <c r="Z180" s="14" t="str">
        <f t="shared" si="25"/>
        <v>INTERMEDIÁRIO</v>
      </c>
      <c r="AA180" s="5">
        <v>1</v>
      </c>
      <c r="AB180" s="5">
        <v>1</v>
      </c>
      <c r="AC180" s="5">
        <v>1</v>
      </c>
      <c r="AD180" s="5">
        <v>0</v>
      </c>
      <c r="AE180" s="5">
        <v>0</v>
      </c>
      <c r="AF180" s="5">
        <v>0</v>
      </c>
      <c r="AG180" s="5">
        <v>0</v>
      </c>
      <c r="AH180" s="5">
        <v>1</v>
      </c>
      <c r="AI180" s="5">
        <v>0</v>
      </c>
      <c r="AJ180" s="5">
        <v>0</v>
      </c>
      <c r="AK180" s="5">
        <v>1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7">
        <f t="shared" si="35"/>
        <v>5</v>
      </c>
      <c r="AT180" s="8">
        <f t="shared" si="36"/>
        <v>0.27777777777777779</v>
      </c>
      <c r="AU180" s="14" t="str">
        <f t="shared" si="26"/>
        <v>DEFASAGEM</v>
      </c>
      <c r="AV180" s="7">
        <f t="shared" si="32"/>
        <v>13</v>
      </c>
      <c r="AW180" s="8">
        <f t="shared" si="27"/>
        <v>0.36111111111111116</v>
      </c>
    </row>
    <row r="181" spans="1:49" ht="15.75" customHeight="1" x14ac:dyDescent="0.25">
      <c r="A181" s="5" t="s">
        <v>11</v>
      </c>
      <c r="B181" s="7" t="s">
        <v>733</v>
      </c>
      <c r="C181" s="7" t="s">
        <v>1104</v>
      </c>
      <c r="D181" s="7" t="s">
        <v>1097</v>
      </c>
      <c r="E181" s="5" t="s">
        <v>877</v>
      </c>
      <c r="F181" s="5">
        <v>1</v>
      </c>
      <c r="G181" s="5">
        <v>1</v>
      </c>
      <c r="H181" s="5">
        <v>1</v>
      </c>
      <c r="I181" s="5">
        <v>1</v>
      </c>
      <c r="J181" s="5">
        <v>1</v>
      </c>
      <c r="K181" s="5">
        <v>1</v>
      </c>
      <c r="L181" s="5">
        <v>0</v>
      </c>
      <c r="M181" s="5">
        <v>1</v>
      </c>
      <c r="N181" s="5">
        <v>1</v>
      </c>
      <c r="O181" s="5">
        <v>0</v>
      </c>
      <c r="P181" s="5">
        <v>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  <c r="V181" s="5">
        <v>1</v>
      </c>
      <c r="W181" s="5">
        <v>1</v>
      </c>
      <c r="X181" s="7">
        <f t="shared" si="34"/>
        <v>16</v>
      </c>
      <c r="Y181" s="8">
        <f t="shared" si="31"/>
        <v>0.88888888888888884</v>
      </c>
      <c r="Z181" s="14" t="str">
        <f t="shared" si="25"/>
        <v>ADEQUADA</v>
      </c>
      <c r="AA181" s="5">
        <v>1</v>
      </c>
      <c r="AB181" s="5">
        <v>1</v>
      </c>
      <c r="AC181" s="5">
        <v>0</v>
      </c>
      <c r="AD181" s="5">
        <v>1</v>
      </c>
      <c r="AE181" s="5">
        <v>0</v>
      </c>
      <c r="AF181" s="5">
        <v>0</v>
      </c>
      <c r="AG181" s="5">
        <v>0</v>
      </c>
      <c r="AH181" s="5">
        <v>1</v>
      </c>
      <c r="AI181" s="5">
        <v>0</v>
      </c>
      <c r="AJ181" s="5">
        <v>0</v>
      </c>
      <c r="AK181" s="5">
        <v>1</v>
      </c>
      <c r="AL181" s="5">
        <v>0</v>
      </c>
      <c r="AM181" s="5">
        <v>0</v>
      </c>
      <c r="AN181" s="5">
        <v>1</v>
      </c>
      <c r="AO181" s="5">
        <v>1</v>
      </c>
      <c r="AP181" s="5">
        <v>1</v>
      </c>
      <c r="AQ181" s="5">
        <v>1</v>
      </c>
      <c r="AR181" s="5">
        <v>1</v>
      </c>
      <c r="AS181" s="7">
        <f t="shared" si="35"/>
        <v>10</v>
      </c>
      <c r="AT181" s="8">
        <f t="shared" si="36"/>
        <v>0.55555555555555558</v>
      </c>
      <c r="AU181" s="14" t="str">
        <f t="shared" si="26"/>
        <v>INTERMEDIÁRIO</v>
      </c>
      <c r="AV181" s="7">
        <f t="shared" si="32"/>
        <v>26</v>
      </c>
      <c r="AW181" s="8">
        <f t="shared" si="27"/>
        <v>0.72222222222222232</v>
      </c>
    </row>
    <row r="182" spans="1:49" ht="15.75" customHeight="1" x14ac:dyDescent="0.25">
      <c r="A182" s="5" t="s">
        <v>11</v>
      </c>
      <c r="B182" s="7" t="s">
        <v>733</v>
      </c>
      <c r="C182" s="7" t="s">
        <v>1162</v>
      </c>
      <c r="D182" s="7" t="s">
        <v>1097</v>
      </c>
      <c r="E182" s="5" t="s">
        <v>878</v>
      </c>
      <c r="F182" s="5">
        <v>1</v>
      </c>
      <c r="G182" s="5">
        <v>0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0</v>
      </c>
      <c r="O182" s="5">
        <v>0</v>
      </c>
      <c r="P182" s="5">
        <v>1</v>
      </c>
      <c r="Q182" s="5">
        <v>0</v>
      </c>
      <c r="R182" s="5">
        <v>1</v>
      </c>
      <c r="S182" s="5">
        <v>1</v>
      </c>
      <c r="T182" s="5">
        <v>1</v>
      </c>
      <c r="U182" s="5">
        <v>1</v>
      </c>
      <c r="V182" s="5">
        <v>0</v>
      </c>
      <c r="W182" s="5">
        <v>1</v>
      </c>
      <c r="X182" s="7">
        <f t="shared" si="34"/>
        <v>13</v>
      </c>
      <c r="Y182" s="8">
        <f t="shared" si="31"/>
        <v>0.72222222222222232</v>
      </c>
      <c r="Z182" s="14" t="str">
        <f t="shared" si="25"/>
        <v>ADEQUADA</v>
      </c>
      <c r="AA182" s="5">
        <v>1</v>
      </c>
      <c r="AB182" s="5">
        <v>1</v>
      </c>
      <c r="AC182" s="5">
        <v>1</v>
      </c>
      <c r="AD182" s="5">
        <v>0</v>
      </c>
      <c r="AE182" s="5">
        <v>1</v>
      </c>
      <c r="AF182" s="5">
        <v>1</v>
      </c>
      <c r="AG182" s="5">
        <v>1</v>
      </c>
      <c r="AH182" s="5">
        <v>0</v>
      </c>
      <c r="AI182" s="5">
        <v>0</v>
      </c>
      <c r="AJ182" s="5">
        <v>1</v>
      </c>
      <c r="AK182" s="5">
        <v>0</v>
      </c>
      <c r="AL182" s="5">
        <v>0</v>
      </c>
      <c r="AM182" s="5">
        <v>1</v>
      </c>
      <c r="AN182" s="5">
        <v>1</v>
      </c>
      <c r="AO182" s="5">
        <v>0</v>
      </c>
      <c r="AP182" s="5">
        <v>0</v>
      </c>
      <c r="AQ182" s="5">
        <v>1</v>
      </c>
      <c r="AR182" s="5">
        <v>1</v>
      </c>
      <c r="AS182" s="7">
        <f t="shared" si="35"/>
        <v>11</v>
      </c>
      <c r="AT182" s="8">
        <f t="shared" si="36"/>
        <v>0.61111111111111116</v>
      </c>
      <c r="AU182" s="14" t="str">
        <f t="shared" si="26"/>
        <v>INTERMEDIÁRIO</v>
      </c>
      <c r="AV182" s="7">
        <f t="shared" si="32"/>
        <v>24</v>
      </c>
      <c r="AW182" s="8">
        <f t="shared" si="27"/>
        <v>0.66666666666666674</v>
      </c>
    </row>
    <row r="183" spans="1:49" ht="15.75" customHeight="1" x14ac:dyDescent="0.25">
      <c r="A183" s="5" t="s">
        <v>11</v>
      </c>
      <c r="B183" s="7" t="s">
        <v>733</v>
      </c>
      <c r="C183" s="7" t="s">
        <v>1162</v>
      </c>
      <c r="D183" s="7" t="s">
        <v>1097</v>
      </c>
      <c r="E183" s="5" t="s">
        <v>1239</v>
      </c>
      <c r="F183" s="5">
        <v>0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5">
        <v>0</v>
      </c>
      <c r="W183" s="5">
        <v>1</v>
      </c>
      <c r="X183" s="7">
        <f t="shared" si="34"/>
        <v>16</v>
      </c>
      <c r="Y183" s="8">
        <f t="shared" si="31"/>
        <v>0.88888888888888884</v>
      </c>
      <c r="Z183" s="14" t="str">
        <f t="shared" si="25"/>
        <v>ADEQUADA</v>
      </c>
      <c r="AA183" s="5">
        <v>1</v>
      </c>
      <c r="AB183" s="5">
        <v>1</v>
      </c>
      <c r="AC183" s="5">
        <v>1</v>
      </c>
      <c r="AD183" s="5">
        <v>1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1</v>
      </c>
      <c r="AO183" s="5">
        <v>0</v>
      </c>
      <c r="AP183" s="5">
        <v>0</v>
      </c>
      <c r="AQ183" s="5">
        <v>1</v>
      </c>
      <c r="AR183" s="5">
        <v>1</v>
      </c>
      <c r="AS183" s="7">
        <f t="shared" si="35"/>
        <v>7</v>
      </c>
      <c r="AT183" s="8">
        <f t="shared" si="36"/>
        <v>0.38888888888888884</v>
      </c>
      <c r="AU183" s="14" t="str">
        <f t="shared" si="26"/>
        <v>DEFASAGEM</v>
      </c>
      <c r="AV183" s="7">
        <f t="shared" si="32"/>
        <v>23</v>
      </c>
      <c r="AW183" s="8">
        <f t="shared" si="27"/>
        <v>0.63888888888888884</v>
      </c>
    </row>
    <row r="184" spans="1:49" ht="15.75" customHeight="1" x14ac:dyDescent="0.25">
      <c r="A184" s="5" t="s">
        <v>11</v>
      </c>
      <c r="B184" s="7" t="s">
        <v>733</v>
      </c>
      <c r="C184" s="7" t="s">
        <v>1162</v>
      </c>
      <c r="D184" s="7" t="s">
        <v>1097</v>
      </c>
      <c r="E184" s="5" t="s">
        <v>879</v>
      </c>
      <c r="F184" s="5">
        <v>1</v>
      </c>
      <c r="G184" s="5">
        <v>1</v>
      </c>
      <c r="H184" s="5">
        <v>1</v>
      </c>
      <c r="I184" s="5">
        <v>0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0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  <c r="V184" s="5">
        <v>1</v>
      </c>
      <c r="W184" s="5">
        <v>1</v>
      </c>
      <c r="X184" s="7">
        <f t="shared" si="34"/>
        <v>16</v>
      </c>
      <c r="Y184" s="8">
        <f t="shared" si="31"/>
        <v>0.88888888888888884</v>
      </c>
      <c r="Z184" s="14" t="str">
        <f t="shared" si="25"/>
        <v>ADEQUADA</v>
      </c>
      <c r="AA184" s="5">
        <v>1</v>
      </c>
      <c r="AB184" s="5">
        <v>1</v>
      </c>
      <c r="AC184" s="5">
        <v>0</v>
      </c>
      <c r="AD184" s="5">
        <v>1</v>
      </c>
      <c r="AE184" s="5">
        <v>1</v>
      </c>
      <c r="AF184" s="5">
        <v>1</v>
      </c>
      <c r="AG184" s="5">
        <v>1</v>
      </c>
      <c r="AH184" s="5">
        <v>1</v>
      </c>
      <c r="AI184" s="5">
        <v>0</v>
      </c>
      <c r="AJ184" s="5">
        <v>0</v>
      </c>
      <c r="AK184" s="5">
        <v>1</v>
      </c>
      <c r="AL184" s="5">
        <v>1</v>
      </c>
      <c r="AM184" s="5">
        <v>1</v>
      </c>
      <c r="AN184" s="5">
        <v>0</v>
      </c>
      <c r="AO184" s="5">
        <v>0</v>
      </c>
      <c r="AP184" s="5">
        <v>0</v>
      </c>
      <c r="AQ184" s="5">
        <v>1</v>
      </c>
      <c r="AR184" s="5">
        <v>0</v>
      </c>
      <c r="AS184" s="7">
        <f t="shared" si="35"/>
        <v>11</v>
      </c>
      <c r="AT184" s="8">
        <f t="shared" si="36"/>
        <v>0.61111111111111116</v>
      </c>
      <c r="AU184" s="14" t="str">
        <f t="shared" si="26"/>
        <v>INTERMEDIÁRIO</v>
      </c>
      <c r="AV184" s="7">
        <f t="shared" si="32"/>
        <v>27</v>
      </c>
      <c r="AW184" s="8">
        <f t="shared" si="27"/>
        <v>0.75</v>
      </c>
    </row>
    <row r="185" spans="1:49" ht="15.75" customHeight="1" x14ac:dyDescent="0.25">
      <c r="A185" s="5" t="s">
        <v>11</v>
      </c>
      <c r="B185" s="7" t="s">
        <v>733</v>
      </c>
      <c r="C185" s="7" t="s">
        <v>1162</v>
      </c>
      <c r="D185" s="7" t="s">
        <v>1097</v>
      </c>
      <c r="E185" s="5" t="s">
        <v>880</v>
      </c>
      <c r="F185" s="5">
        <v>0</v>
      </c>
      <c r="G185" s="5">
        <v>1</v>
      </c>
      <c r="H185" s="5">
        <v>1</v>
      </c>
      <c r="I185" s="5">
        <v>1</v>
      </c>
      <c r="J185" s="5">
        <v>1</v>
      </c>
      <c r="K185" s="5">
        <v>1</v>
      </c>
      <c r="L185" s="5">
        <v>1</v>
      </c>
      <c r="M185" s="5">
        <v>1</v>
      </c>
      <c r="N185" s="5">
        <v>1</v>
      </c>
      <c r="O185" s="5">
        <v>0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5">
        <v>1</v>
      </c>
      <c r="V185" s="5">
        <v>1</v>
      </c>
      <c r="W185" s="5">
        <v>1</v>
      </c>
      <c r="X185" s="7">
        <f t="shared" si="34"/>
        <v>16</v>
      </c>
      <c r="Y185" s="8">
        <f t="shared" si="31"/>
        <v>0.88888888888888884</v>
      </c>
      <c r="Z185" s="14" t="str">
        <f t="shared" si="25"/>
        <v>ADEQUADA</v>
      </c>
      <c r="AA185" s="5">
        <v>1</v>
      </c>
      <c r="AB185" s="5">
        <v>1</v>
      </c>
      <c r="AC185" s="5">
        <v>0</v>
      </c>
      <c r="AD185" s="5">
        <v>1</v>
      </c>
      <c r="AE185" s="5">
        <v>0</v>
      </c>
      <c r="AF185" s="5">
        <v>0</v>
      </c>
      <c r="AG185" s="5">
        <v>1</v>
      </c>
      <c r="AH185" s="5">
        <v>0</v>
      </c>
      <c r="AI185" s="5">
        <v>0</v>
      </c>
      <c r="AJ185" s="5">
        <v>0</v>
      </c>
      <c r="AK185" s="5">
        <v>1</v>
      </c>
      <c r="AL185" s="5">
        <v>0</v>
      </c>
      <c r="AM185" s="5">
        <v>0</v>
      </c>
      <c r="AN185" s="5">
        <v>1</v>
      </c>
      <c r="AO185" s="5">
        <v>0</v>
      </c>
      <c r="AP185" s="5">
        <v>0</v>
      </c>
      <c r="AQ185" s="5">
        <v>1</v>
      </c>
      <c r="AR185" s="5">
        <v>1</v>
      </c>
      <c r="AS185" s="7">
        <f t="shared" si="35"/>
        <v>8</v>
      </c>
      <c r="AT185" s="8">
        <f t="shared" si="36"/>
        <v>0.44444444444444442</v>
      </c>
      <c r="AU185" s="14" t="str">
        <f t="shared" si="26"/>
        <v>INTERMEDIÁRIO</v>
      </c>
      <c r="AV185" s="7">
        <f t="shared" si="32"/>
        <v>24</v>
      </c>
      <c r="AW185" s="8">
        <f t="shared" si="27"/>
        <v>0.66666666666666674</v>
      </c>
    </row>
    <row r="186" spans="1:49" ht="15.75" customHeight="1" x14ac:dyDescent="0.25">
      <c r="A186" s="5" t="s">
        <v>11</v>
      </c>
      <c r="B186" s="7" t="s">
        <v>881</v>
      </c>
      <c r="C186" s="7" t="s">
        <v>1223</v>
      </c>
      <c r="D186" s="7" t="s">
        <v>1097</v>
      </c>
      <c r="E186" s="5" t="s">
        <v>882</v>
      </c>
      <c r="F186" s="5">
        <v>1</v>
      </c>
      <c r="G186" s="5">
        <v>0</v>
      </c>
      <c r="H186" s="5">
        <v>1</v>
      </c>
      <c r="I186" s="5">
        <v>0</v>
      </c>
      <c r="J186" s="5">
        <v>1</v>
      </c>
      <c r="K186" s="5">
        <v>1</v>
      </c>
      <c r="L186" s="5">
        <v>1</v>
      </c>
      <c r="M186" s="5">
        <v>1</v>
      </c>
      <c r="N186" s="5">
        <v>0</v>
      </c>
      <c r="O186" s="5">
        <v>0</v>
      </c>
      <c r="P186" s="5">
        <v>1</v>
      </c>
      <c r="Q186" s="5">
        <v>1</v>
      </c>
      <c r="R186" s="5">
        <v>1</v>
      </c>
      <c r="S186" s="5">
        <v>0</v>
      </c>
      <c r="T186" s="5">
        <v>0</v>
      </c>
      <c r="U186" s="5">
        <v>1</v>
      </c>
      <c r="V186" s="5">
        <v>0</v>
      </c>
      <c r="W186" s="5">
        <v>1</v>
      </c>
      <c r="X186" s="7">
        <v>11</v>
      </c>
      <c r="Y186" s="8">
        <v>0.61111111111111116</v>
      </c>
      <c r="Z186" s="14" t="s">
        <v>1119</v>
      </c>
      <c r="AA186" s="5">
        <v>1</v>
      </c>
      <c r="AB186" s="5">
        <v>1</v>
      </c>
      <c r="AC186" s="5">
        <v>0</v>
      </c>
      <c r="AD186" s="5">
        <v>1</v>
      </c>
      <c r="AE186" s="5">
        <v>0</v>
      </c>
      <c r="AF186" s="5">
        <v>0</v>
      </c>
      <c r="AG186" s="5">
        <v>1</v>
      </c>
      <c r="AH186" s="5">
        <v>1</v>
      </c>
      <c r="AI186" s="5">
        <v>1</v>
      </c>
      <c r="AJ186" s="5">
        <v>0</v>
      </c>
      <c r="AK186" s="5">
        <v>0</v>
      </c>
      <c r="AL186" s="5">
        <v>1</v>
      </c>
      <c r="AM186" s="5">
        <v>1</v>
      </c>
      <c r="AN186" s="5">
        <v>1</v>
      </c>
      <c r="AO186" s="5">
        <v>0</v>
      </c>
      <c r="AP186" s="5">
        <v>0</v>
      </c>
      <c r="AQ186" s="5">
        <v>1</v>
      </c>
      <c r="AR186" s="5">
        <v>1</v>
      </c>
      <c r="AS186" s="7">
        <v>11</v>
      </c>
      <c r="AT186" s="8">
        <v>0.61111111111111116</v>
      </c>
      <c r="AU186" s="14" t="s">
        <v>1119</v>
      </c>
      <c r="AV186" s="7">
        <v>22</v>
      </c>
      <c r="AW186" s="8">
        <v>0.61111111111111116</v>
      </c>
    </row>
    <row r="187" spans="1:49" ht="15.75" customHeight="1" x14ac:dyDescent="0.25">
      <c r="A187" s="5" t="s">
        <v>11</v>
      </c>
      <c r="B187" s="7" t="s">
        <v>881</v>
      </c>
      <c r="C187" s="7" t="s">
        <v>1103</v>
      </c>
      <c r="D187" s="7" t="s">
        <v>1097</v>
      </c>
      <c r="E187" s="5" t="s">
        <v>883</v>
      </c>
      <c r="F187" s="5">
        <v>1</v>
      </c>
      <c r="G187" s="5">
        <v>0</v>
      </c>
      <c r="H187" s="5">
        <v>1</v>
      </c>
      <c r="I187" s="5">
        <v>0</v>
      </c>
      <c r="J187" s="5">
        <v>1</v>
      </c>
      <c r="K187" s="5">
        <v>1</v>
      </c>
      <c r="L187" s="5">
        <v>1</v>
      </c>
      <c r="M187" s="5">
        <v>1</v>
      </c>
      <c r="N187" s="5">
        <v>0</v>
      </c>
      <c r="O187" s="5">
        <v>0</v>
      </c>
      <c r="P187" s="5">
        <v>0</v>
      </c>
      <c r="Q187" s="5">
        <v>1</v>
      </c>
      <c r="R187" s="5">
        <v>1</v>
      </c>
      <c r="S187" s="5">
        <v>1</v>
      </c>
      <c r="T187" s="5">
        <v>0</v>
      </c>
      <c r="U187" s="5">
        <v>0</v>
      </c>
      <c r="V187" s="5">
        <v>1</v>
      </c>
      <c r="W187" s="5">
        <v>1</v>
      </c>
      <c r="X187" s="7">
        <v>11</v>
      </c>
      <c r="Y187" s="8">
        <v>0.61111111111111116</v>
      </c>
      <c r="Z187" s="14" t="s">
        <v>1119</v>
      </c>
      <c r="AA187" s="5">
        <v>1</v>
      </c>
      <c r="AB187" s="5">
        <v>1</v>
      </c>
      <c r="AC187" s="5">
        <v>1</v>
      </c>
      <c r="AD187" s="5">
        <v>1</v>
      </c>
      <c r="AE187" s="5">
        <v>0</v>
      </c>
      <c r="AF187" s="5">
        <v>1</v>
      </c>
      <c r="AG187" s="5">
        <v>1</v>
      </c>
      <c r="AH187" s="5">
        <v>1</v>
      </c>
      <c r="AI187" s="5">
        <v>0</v>
      </c>
      <c r="AJ187" s="5">
        <v>0</v>
      </c>
      <c r="AK187" s="5">
        <v>0</v>
      </c>
      <c r="AL187" s="5">
        <v>1</v>
      </c>
      <c r="AM187" s="5">
        <v>0</v>
      </c>
      <c r="AN187" s="5">
        <v>1</v>
      </c>
      <c r="AO187" s="5">
        <v>1</v>
      </c>
      <c r="AP187" s="5">
        <v>0</v>
      </c>
      <c r="AQ187" s="5">
        <v>0</v>
      </c>
      <c r="AR187" s="5">
        <v>0</v>
      </c>
      <c r="AS187" s="7">
        <v>10</v>
      </c>
      <c r="AT187" s="8">
        <v>0.55555555555555558</v>
      </c>
      <c r="AU187" s="14" t="s">
        <v>1119</v>
      </c>
      <c r="AV187" s="7">
        <v>21</v>
      </c>
      <c r="AW187" s="8">
        <v>0.58333333333333337</v>
      </c>
    </row>
    <row r="188" spans="1:49" ht="15.75" customHeight="1" x14ac:dyDescent="0.25">
      <c r="A188" s="5" t="s">
        <v>11</v>
      </c>
      <c r="B188" s="7" t="s">
        <v>881</v>
      </c>
      <c r="C188" s="7" t="s">
        <v>1104</v>
      </c>
      <c r="D188" s="7" t="s">
        <v>1097</v>
      </c>
      <c r="E188" s="5" t="s">
        <v>884</v>
      </c>
      <c r="F188" s="5">
        <v>0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0</v>
      </c>
      <c r="T188" s="5">
        <v>1</v>
      </c>
      <c r="U188" s="5">
        <v>1</v>
      </c>
      <c r="V188" s="5">
        <v>1</v>
      </c>
      <c r="W188" s="5">
        <v>1</v>
      </c>
      <c r="X188" s="7">
        <v>16</v>
      </c>
      <c r="Y188" s="8">
        <v>0.88888888888888884</v>
      </c>
      <c r="Z188" s="14" t="s">
        <v>1120</v>
      </c>
      <c r="AA188" s="5">
        <v>1</v>
      </c>
      <c r="AB188" s="5">
        <v>1</v>
      </c>
      <c r="AC188" s="5">
        <v>0</v>
      </c>
      <c r="AD188" s="5">
        <v>1</v>
      </c>
      <c r="AE188" s="5">
        <v>0</v>
      </c>
      <c r="AF188" s="5">
        <v>1</v>
      </c>
      <c r="AG188" s="5">
        <v>1</v>
      </c>
      <c r="AH188" s="5">
        <v>0</v>
      </c>
      <c r="AI188" s="5">
        <v>0</v>
      </c>
      <c r="AJ188" s="5">
        <v>0</v>
      </c>
      <c r="AK188" s="5">
        <v>0</v>
      </c>
      <c r="AL188" s="5">
        <v>1</v>
      </c>
      <c r="AM188" s="5">
        <v>0</v>
      </c>
      <c r="AN188" s="5">
        <v>1</v>
      </c>
      <c r="AO188" s="5">
        <v>1</v>
      </c>
      <c r="AP188" s="5">
        <v>0</v>
      </c>
      <c r="AQ188" s="5">
        <v>1</v>
      </c>
      <c r="AR188" s="5">
        <v>1</v>
      </c>
      <c r="AS188" s="7">
        <v>10</v>
      </c>
      <c r="AT188" s="8">
        <v>0.55555555555555558</v>
      </c>
      <c r="AU188" s="14" t="s">
        <v>1119</v>
      </c>
      <c r="AV188" s="7">
        <v>26</v>
      </c>
      <c r="AW188" s="8">
        <v>0.72222222222222232</v>
      </c>
    </row>
    <row r="189" spans="1:49" ht="15.75" customHeight="1" x14ac:dyDescent="0.25">
      <c r="A189" s="5" t="s">
        <v>11</v>
      </c>
      <c r="B189" s="7" t="s">
        <v>881</v>
      </c>
      <c r="C189" s="7" t="s">
        <v>1104</v>
      </c>
      <c r="D189" s="7" t="s">
        <v>1097</v>
      </c>
      <c r="E189" s="5" t="s">
        <v>885</v>
      </c>
      <c r="F189" s="5">
        <v>1</v>
      </c>
      <c r="G189" s="5">
        <v>1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1</v>
      </c>
      <c r="O189" s="5">
        <v>0</v>
      </c>
      <c r="P189" s="5">
        <v>1</v>
      </c>
      <c r="Q189" s="5">
        <v>0</v>
      </c>
      <c r="R189" s="5">
        <v>1</v>
      </c>
      <c r="S189" s="5">
        <v>1</v>
      </c>
      <c r="T189" s="5">
        <v>0</v>
      </c>
      <c r="U189" s="5">
        <v>1</v>
      </c>
      <c r="V189" s="5">
        <v>1</v>
      </c>
      <c r="W189" s="5">
        <v>0</v>
      </c>
      <c r="X189" s="7">
        <v>14</v>
      </c>
      <c r="Y189" s="8">
        <v>0.77777777777777768</v>
      </c>
      <c r="Z189" s="14" t="s">
        <v>1120</v>
      </c>
      <c r="AA189" s="5">
        <v>1</v>
      </c>
      <c r="AB189" s="5">
        <v>1</v>
      </c>
      <c r="AC189" s="5">
        <v>0</v>
      </c>
      <c r="AD189" s="5">
        <v>1</v>
      </c>
      <c r="AE189" s="5">
        <v>0</v>
      </c>
      <c r="AF189" s="5">
        <v>1</v>
      </c>
      <c r="AG189" s="5">
        <v>0</v>
      </c>
      <c r="AH189" s="5">
        <v>1</v>
      </c>
      <c r="AI189" s="5">
        <v>0</v>
      </c>
      <c r="AJ189" s="5">
        <v>0</v>
      </c>
      <c r="AK189" s="5">
        <v>1</v>
      </c>
      <c r="AL189" s="5">
        <v>0</v>
      </c>
      <c r="AM189" s="5">
        <v>0</v>
      </c>
      <c r="AN189" s="5">
        <v>0</v>
      </c>
      <c r="AO189" s="5">
        <v>1</v>
      </c>
      <c r="AP189" s="5">
        <v>0</v>
      </c>
      <c r="AQ189" s="5">
        <v>1</v>
      </c>
      <c r="AR189" s="5">
        <v>0</v>
      </c>
      <c r="AS189" s="7">
        <v>8</v>
      </c>
      <c r="AT189" s="8">
        <v>0.44444444444444442</v>
      </c>
      <c r="AU189" s="14" t="s">
        <v>1119</v>
      </c>
      <c r="AV189" s="7">
        <v>22</v>
      </c>
      <c r="AW189" s="8">
        <v>0.61111111111111116</v>
      </c>
    </row>
    <row r="190" spans="1:49" ht="15.75" customHeight="1" x14ac:dyDescent="0.25">
      <c r="A190" s="5" t="s">
        <v>11</v>
      </c>
      <c r="B190" s="7" t="s">
        <v>881</v>
      </c>
      <c r="C190" s="7" t="s">
        <v>1096</v>
      </c>
      <c r="D190" s="7" t="s">
        <v>1097</v>
      </c>
      <c r="E190" s="5" t="s">
        <v>886</v>
      </c>
      <c r="F190" s="5">
        <v>0</v>
      </c>
      <c r="G190" s="5">
        <v>0</v>
      </c>
      <c r="H190" s="5">
        <v>0</v>
      </c>
      <c r="I190" s="5">
        <v>1</v>
      </c>
      <c r="J190" s="5">
        <v>1</v>
      </c>
      <c r="K190" s="5">
        <v>1</v>
      </c>
      <c r="L190" s="5">
        <v>0</v>
      </c>
      <c r="M190" s="5">
        <v>1</v>
      </c>
      <c r="N190" s="5">
        <v>0</v>
      </c>
      <c r="O190" s="5">
        <v>0</v>
      </c>
      <c r="P190" s="5">
        <v>1</v>
      </c>
      <c r="Q190" s="5">
        <v>1</v>
      </c>
      <c r="R190" s="5">
        <v>1</v>
      </c>
      <c r="S190" s="5">
        <v>0</v>
      </c>
      <c r="T190" s="5">
        <v>0</v>
      </c>
      <c r="U190" s="5">
        <v>1</v>
      </c>
      <c r="V190" s="5">
        <v>1</v>
      </c>
      <c r="W190" s="5">
        <v>0</v>
      </c>
      <c r="X190" s="7">
        <v>9</v>
      </c>
      <c r="Y190" s="8">
        <v>0.5</v>
      </c>
      <c r="Z190" s="14" t="s">
        <v>1119</v>
      </c>
      <c r="AA190" s="5">
        <v>1</v>
      </c>
      <c r="AB190" s="5">
        <v>1</v>
      </c>
      <c r="AC190" s="5">
        <v>1</v>
      </c>
      <c r="AD190" s="5">
        <v>1</v>
      </c>
      <c r="AE190" s="5">
        <v>0</v>
      </c>
      <c r="AF190" s="5">
        <v>0</v>
      </c>
      <c r="AG190" s="5">
        <v>1</v>
      </c>
      <c r="AH190" s="5">
        <v>0</v>
      </c>
      <c r="AI190" s="5">
        <v>0</v>
      </c>
      <c r="AJ190" s="5">
        <v>0</v>
      </c>
      <c r="AK190" s="5">
        <v>1</v>
      </c>
      <c r="AL190" s="5">
        <v>1</v>
      </c>
      <c r="AM190" s="5">
        <v>1</v>
      </c>
      <c r="AN190" s="5">
        <v>1</v>
      </c>
      <c r="AO190" s="5">
        <v>0</v>
      </c>
      <c r="AP190" s="5">
        <v>0</v>
      </c>
      <c r="AQ190" s="5">
        <v>0</v>
      </c>
      <c r="AR190" s="5">
        <v>1</v>
      </c>
      <c r="AS190" s="7">
        <v>10</v>
      </c>
      <c r="AT190" s="8">
        <v>0.55555555555555558</v>
      </c>
      <c r="AU190" s="14" t="s">
        <v>1119</v>
      </c>
      <c r="AV190" s="7">
        <v>19</v>
      </c>
      <c r="AW190" s="8">
        <v>0.52777777777777779</v>
      </c>
    </row>
    <row r="191" spans="1:49" ht="15.75" customHeight="1" x14ac:dyDescent="0.25">
      <c r="A191" s="5" t="s">
        <v>11</v>
      </c>
      <c r="B191" s="7" t="s">
        <v>881</v>
      </c>
      <c r="C191" s="7" t="s">
        <v>1104</v>
      </c>
      <c r="D191" s="7" t="s">
        <v>1097</v>
      </c>
      <c r="E191" s="5" t="s">
        <v>887</v>
      </c>
      <c r="F191" s="5">
        <v>0</v>
      </c>
      <c r="G191" s="5">
        <v>0</v>
      </c>
      <c r="H191" s="5">
        <v>0</v>
      </c>
      <c r="I191" s="5">
        <v>0</v>
      </c>
      <c r="J191" s="5">
        <v>1</v>
      </c>
      <c r="K191" s="5">
        <v>1</v>
      </c>
      <c r="L191" s="5">
        <v>1</v>
      </c>
      <c r="M191" s="5">
        <v>1</v>
      </c>
      <c r="N191" s="5">
        <v>0</v>
      </c>
      <c r="O191" s="5">
        <v>1</v>
      </c>
      <c r="P191" s="5">
        <v>1</v>
      </c>
      <c r="Q191" s="5">
        <v>0</v>
      </c>
      <c r="R191" s="5">
        <v>0</v>
      </c>
      <c r="S191" s="5">
        <v>1</v>
      </c>
      <c r="T191" s="5">
        <v>0</v>
      </c>
      <c r="U191" s="5">
        <v>0</v>
      </c>
      <c r="V191" s="5">
        <v>0</v>
      </c>
      <c r="W191" s="5">
        <v>1</v>
      </c>
      <c r="X191" s="7">
        <v>8</v>
      </c>
      <c r="Y191" s="8">
        <v>0.44444444444444442</v>
      </c>
      <c r="Z191" s="14" t="s">
        <v>1119</v>
      </c>
      <c r="AA191" s="5">
        <v>0</v>
      </c>
      <c r="AB191" s="5">
        <v>0</v>
      </c>
      <c r="AC191" s="5">
        <v>1</v>
      </c>
      <c r="AD191" s="5">
        <v>0</v>
      </c>
      <c r="AE191" s="5">
        <v>0</v>
      </c>
      <c r="AF191" s="5">
        <v>0</v>
      </c>
      <c r="AG191" s="5">
        <v>1</v>
      </c>
      <c r="AH191" s="5">
        <v>0</v>
      </c>
      <c r="AI191" s="5">
        <v>0</v>
      </c>
      <c r="AJ191" s="5">
        <v>0</v>
      </c>
      <c r="AK191" s="5">
        <v>0</v>
      </c>
      <c r="AL191" s="5">
        <v>1</v>
      </c>
      <c r="AM191" s="5">
        <v>0</v>
      </c>
      <c r="AN191" s="5">
        <v>1</v>
      </c>
      <c r="AO191" s="5">
        <v>0</v>
      </c>
      <c r="AP191" s="5">
        <v>0</v>
      </c>
      <c r="AQ191" s="5">
        <v>1</v>
      </c>
      <c r="AR191" s="5">
        <v>0</v>
      </c>
      <c r="AS191" s="7">
        <v>5</v>
      </c>
      <c r="AT191" s="8">
        <v>0.27777777777777779</v>
      </c>
      <c r="AU191" s="14" t="s">
        <v>1102</v>
      </c>
      <c r="AV191" s="7">
        <v>13</v>
      </c>
      <c r="AW191" s="8">
        <v>0.36111111111111116</v>
      </c>
    </row>
    <row r="192" spans="1:49" ht="15.75" customHeight="1" x14ac:dyDescent="0.25">
      <c r="A192" s="5" t="s">
        <v>11</v>
      </c>
      <c r="B192" s="7" t="s">
        <v>881</v>
      </c>
      <c r="C192" s="7" t="s">
        <v>1096</v>
      </c>
      <c r="D192" s="7" t="s">
        <v>1097</v>
      </c>
      <c r="E192" s="5" t="s">
        <v>888</v>
      </c>
      <c r="F192" s="5">
        <v>0</v>
      </c>
      <c r="G192" s="5">
        <v>1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  <c r="M192" s="5">
        <v>1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1</v>
      </c>
      <c r="W192" s="5">
        <v>1</v>
      </c>
      <c r="X192" s="7">
        <v>17</v>
      </c>
      <c r="Y192" s="8">
        <v>0.94444444444444442</v>
      </c>
      <c r="Z192" s="14" t="s">
        <v>1120</v>
      </c>
      <c r="AA192" s="5">
        <v>1</v>
      </c>
      <c r="AB192" s="5">
        <v>1</v>
      </c>
      <c r="AC192" s="5">
        <v>1</v>
      </c>
      <c r="AD192" s="5">
        <v>1</v>
      </c>
      <c r="AE192" s="5">
        <v>0</v>
      </c>
      <c r="AF192" s="5">
        <v>0</v>
      </c>
      <c r="AG192" s="5">
        <v>1</v>
      </c>
      <c r="AH192" s="5">
        <v>1</v>
      </c>
      <c r="AI192" s="5">
        <v>0</v>
      </c>
      <c r="AJ192" s="5">
        <v>0</v>
      </c>
      <c r="AK192" s="5">
        <v>1</v>
      </c>
      <c r="AL192" s="5">
        <v>1</v>
      </c>
      <c r="AM192" s="5">
        <v>0</v>
      </c>
      <c r="AN192" s="5">
        <v>1</v>
      </c>
      <c r="AO192" s="5">
        <v>0</v>
      </c>
      <c r="AP192" s="5">
        <v>0</v>
      </c>
      <c r="AQ192" s="5">
        <v>1</v>
      </c>
      <c r="AR192" s="5">
        <v>1</v>
      </c>
      <c r="AS192" s="7">
        <v>11</v>
      </c>
      <c r="AT192" s="8">
        <v>0.61111111111111116</v>
      </c>
      <c r="AU192" s="14" t="s">
        <v>1119</v>
      </c>
      <c r="AV192" s="7">
        <v>28</v>
      </c>
      <c r="AW192" s="8">
        <v>0.77777777777777768</v>
      </c>
    </row>
    <row r="193" spans="1:49" ht="15.75" customHeight="1" x14ac:dyDescent="0.25">
      <c r="A193" s="5" t="s">
        <v>11</v>
      </c>
      <c r="B193" s="7" t="s">
        <v>881</v>
      </c>
      <c r="C193" s="7" t="s">
        <v>1096</v>
      </c>
      <c r="D193" s="7" t="s">
        <v>1097</v>
      </c>
      <c r="E193" s="5" t="s">
        <v>889</v>
      </c>
      <c r="F193" s="5">
        <v>1</v>
      </c>
      <c r="G193" s="5">
        <v>1</v>
      </c>
      <c r="H193" s="5">
        <v>1</v>
      </c>
      <c r="I193" s="5">
        <v>1</v>
      </c>
      <c r="J193" s="5">
        <v>1</v>
      </c>
      <c r="K193" s="5">
        <v>1</v>
      </c>
      <c r="L193" s="5">
        <v>0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5">
        <v>1</v>
      </c>
      <c r="S193" s="5">
        <v>1</v>
      </c>
      <c r="T193" s="5">
        <v>1</v>
      </c>
      <c r="U193" s="5">
        <v>1</v>
      </c>
      <c r="V193" s="5">
        <v>1</v>
      </c>
      <c r="W193" s="5">
        <v>1</v>
      </c>
      <c r="X193" s="7">
        <v>17</v>
      </c>
      <c r="Y193" s="8">
        <v>0.94444444444444442</v>
      </c>
      <c r="Z193" s="14" t="s">
        <v>1120</v>
      </c>
      <c r="AA193" s="5">
        <v>1</v>
      </c>
      <c r="AB193" s="5">
        <v>1</v>
      </c>
      <c r="AC193" s="5">
        <v>1</v>
      </c>
      <c r="AD193" s="5">
        <v>1</v>
      </c>
      <c r="AE193" s="5">
        <v>0</v>
      </c>
      <c r="AF193" s="5">
        <v>1</v>
      </c>
      <c r="AG193" s="5">
        <v>1</v>
      </c>
      <c r="AH193" s="5">
        <v>1</v>
      </c>
      <c r="AI193" s="5">
        <v>0</v>
      </c>
      <c r="AJ193" s="5">
        <v>0</v>
      </c>
      <c r="AK193" s="5">
        <v>1</v>
      </c>
      <c r="AL193" s="5">
        <v>1</v>
      </c>
      <c r="AM193" s="5">
        <v>1</v>
      </c>
      <c r="AN193" s="5">
        <v>1</v>
      </c>
      <c r="AO193" s="5">
        <v>0</v>
      </c>
      <c r="AP193" s="5">
        <v>0</v>
      </c>
      <c r="AQ193" s="5">
        <v>1</v>
      </c>
      <c r="AR193" s="5">
        <v>1</v>
      </c>
      <c r="AS193" s="7">
        <v>13</v>
      </c>
      <c r="AT193" s="8">
        <v>0.72222222222222232</v>
      </c>
      <c r="AU193" s="14" t="s">
        <v>1120</v>
      </c>
      <c r="AV193" s="7">
        <v>30</v>
      </c>
      <c r="AW193" s="8">
        <v>0.83333333333333326</v>
      </c>
    </row>
    <row r="194" spans="1:49" ht="15.75" customHeight="1" x14ac:dyDescent="0.25">
      <c r="A194" s="5" t="s">
        <v>11</v>
      </c>
      <c r="B194" s="7" t="s">
        <v>881</v>
      </c>
      <c r="C194" s="7" t="s">
        <v>1103</v>
      </c>
      <c r="D194" s="7" t="s">
        <v>1097</v>
      </c>
      <c r="E194" s="5" t="s">
        <v>890</v>
      </c>
      <c r="F194" s="5">
        <v>0</v>
      </c>
      <c r="G194" s="5">
        <v>1</v>
      </c>
      <c r="H194" s="5">
        <v>0</v>
      </c>
      <c r="I194" s="5">
        <v>0</v>
      </c>
      <c r="J194" s="5">
        <v>1</v>
      </c>
      <c r="K194" s="5">
        <v>1</v>
      </c>
      <c r="L194" s="5">
        <v>1</v>
      </c>
      <c r="M194" s="5">
        <v>0</v>
      </c>
      <c r="N194" s="5">
        <v>1</v>
      </c>
      <c r="O194" s="5">
        <v>1</v>
      </c>
      <c r="P194" s="5">
        <v>0</v>
      </c>
      <c r="Q194" s="5">
        <v>0</v>
      </c>
      <c r="R194" s="5">
        <v>0</v>
      </c>
      <c r="S194" s="5">
        <v>1</v>
      </c>
      <c r="T194" s="5">
        <v>0</v>
      </c>
      <c r="U194" s="5">
        <v>1</v>
      </c>
      <c r="V194" s="5">
        <v>0</v>
      </c>
      <c r="W194" s="5">
        <v>1</v>
      </c>
      <c r="X194" s="7">
        <v>9</v>
      </c>
      <c r="Y194" s="8">
        <v>0.5</v>
      </c>
      <c r="Z194" s="14" t="s">
        <v>1119</v>
      </c>
      <c r="AA194" s="5">
        <v>1</v>
      </c>
      <c r="AB194" s="5">
        <v>1</v>
      </c>
      <c r="AC194" s="5">
        <v>1</v>
      </c>
      <c r="AD194" s="5">
        <v>1</v>
      </c>
      <c r="AE194" s="5">
        <v>0</v>
      </c>
      <c r="AF194" s="5">
        <v>1</v>
      </c>
      <c r="AG194" s="5">
        <v>1</v>
      </c>
      <c r="AH194" s="5">
        <v>1</v>
      </c>
      <c r="AI194" s="5">
        <v>0</v>
      </c>
      <c r="AJ194" s="5">
        <v>0</v>
      </c>
      <c r="AK194" s="5">
        <v>1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1</v>
      </c>
      <c r="AS194" s="7">
        <v>9</v>
      </c>
      <c r="AT194" s="8">
        <v>0.5</v>
      </c>
      <c r="AU194" s="14" t="s">
        <v>1119</v>
      </c>
      <c r="AV194" s="7">
        <v>18</v>
      </c>
      <c r="AW194" s="8">
        <v>0.5</v>
      </c>
    </row>
    <row r="195" spans="1:49" ht="15.75" customHeight="1" x14ac:dyDescent="0.25">
      <c r="A195" s="5" t="s">
        <v>11</v>
      </c>
      <c r="B195" s="7" t="s">
        <v>881</v>
      </c>
      <c r="C195" s="7" t="s">
        <v>1103</v>
      </c>
      <c r="D195" s="7" t="s">
        <v>1097</v>
      </c>
      <c r="E195" s="5" t="s">
        <v>891</v>
      </c>
      <c r="F195" s="5">
        <v>1</v>
      </c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0</v>
      </c>
      <c r="M195" s="5">
        <v>0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1</v>
      </c>
      <c r="U195" s="5">
        <v>1</v>
      </c>
      <c r="V195" s="5">
        <v>1</v>
      </c>
      <c r="W195" s="5">
        <v>1</v>
      </c>
      <c r="X195" s="7">
        <v>16</v>
      </c>
      <c r="Y195" s="8">
        <v>0.88888888888888884</v>
      </c>
      <c r="Z195" s="14" t="s">
        <v>1120</v>
      </c>
      <c r="AA195" s="5">
        <v>1</v>
      </c>
      <c r="AB195" s="5">
        <v>1</v>
      </c>
      <c r="AC195" s="5">
        <v>0</v>
      </c>
      <c r="AD195" s="5">
        <v>1</v>
      </c>
      <c r="AE195" s="5">
        <v>0</v>
      </c>
      <c r="AF195" s="5">
        <v>1</v>
      </c>
      <c r="AG195" s="5">
        <v>1</v>
      </c>
      <c r="AH195" s="5">
        <v>1</v>
      </c>
      <c r="AI195" s="5">
        <v>1</v>
      </c>
      <c r="AJ195" s="5">
        <v>0</v>
      </c>
      <c r="AK195" s="5">
        <v>0</v>
      </c>
      <c r="AL195" s="5">
        <v>0</v>
      </c>
      <c r="AM195" s="5">
        <v>0</v>
      </c>
      <c r="AN195" s="5">
        <v>1</v>
      </c>
      <c r="AO195" s="5">
        <v>0</v>
      </c>
      <c r="AP195" s="5">
        <v>0</v>
      </c>
      <c r="AQ195" s="5">
        <v>1</v>
      </c>
      <c r="AR195" s="5">
        <v>1</v>
      </c>
      <c r="AS195" s="7">
        <v>10</v>
      </c>
      <c r="AT195" s="8">
        <v>0.55555555555555558</v>
      </c>
      <c r="AU195" s="14" t="s">
        <v>1119</v>
      </c>
      <c r="AV195" s="7">
        <v>26</v>
      </c>
      <c r="AW195" s="8">
        <v>0.72222222222222232</v>
      </c>
    </row>
    <row r="196" spans="1:49" ht="15.75" customHeight="1" x14ac:dyDescent="0.25">
      <c r="A196" s="5" t="s">
        <v>11</v>
      </c>
      <c r="B196" s="7" t="s">
        <v>881</v>
      </c>
      <c r="C196" s="7" t="s">
        <v>1103</v>
      </c>
      <c r="D196" s="7" t="s">
        <v>1097</v>
      </c>
      <c r="E196" s="5" t="s">
        <v>1240</v>
      </c>
      <c r="F196" s="5">
        <v>0</v>
      </c>
      <c r="G196" s="5">
        <v>1</v>
      </c>
      <c r="H196" s="5">
        <v>0</v>
      </c>
      <c r="I196" s="5">
        <v>0</v>
      </c>
      <c r="J196" s="5">
        <v>1</v>
      </c>
      <c r="K196" s="5">
        <v>0</v>
      </c>
      <c r="L196" s="5">
        <v>1</v>
      </c>
      <c r="M196" s="5">
        <v>1</v>
      </c>
      <c r="N196" s="5">
        <v>1</v>
      </c>
      <c r="O196" s="5">
        <v>1</v>
      </c>
      <c r="P196" s="5">
        <v>0</v>
      </c>
      <c r="Q196" s="5">
        <v>0</v>
      </c>
      <c r="R196" s="5">
        <v>1</v>
      </c>
      <c r="S196" s="5">
        <v>0</v>
      </c>
      <c r="T196" s="5">
        <v>0</v>
      </c>
      <c r="U196" s="5">
        <v>1</v>
      </c>
      <c r="V196" s="5">
        <v>0</v>
      </c>
      <c r="W196" s="5">
        <v>1</v>
      </c>
      <c r="X196" s="7">
        <v>9</v>
      </c>
      <c r="Y196" s="8">
        <v>0.5</v>
      </c>
      <c r="Z196" s="14" t="s">
        <v>1119</v>
      </c>
      <c r="AA196" s="5">
        <v>1</v>
      </c>
      <c r="AB196" s="5">
        <v>1</v>
      </c>
      <c r="AC196" s="5">
        <v>1</v>
      </c>
      <c r="AD196" s="5">
        <v>1</v>
      </c>
      <c r="AE196" s="5">
        <v>0</v>
      </c>
      <c r="AF196" s="5">
        <v>1</v>
      </c>
      <c r="AG196" s="5">
        <v>1</v>
      </c>
      <c r="AH196" s="5">
        <v>0</v>
      </c>
      <c r="AI196" s="5">
        <v>1</v>
      </c>
      <c r="AJ196" s="5">
        <v>1</v>
      </c>
      <c r="AK196" s="5">
        <v>1</v>
      </c>
      <c r="AL196" s="5">
        <v>1</v>
      </c>
      <c r="AM196" s="5">
        <v>0</v>
      </c>
      <c r="AN196" s="5">
        <v>0</v>
      </c>
      <c r="AO196" s="5">
        <v>0</v>
      </c>
      <c r="AP196" s="5">
        <v>0</v>
      </c>
      <c r="AQ196" s="5">
        <v>1</v>
      </c>
      <c r="AR196" s="5">
        <v>0</v>
      </c>
      <c r="AS196" s="7">
        <v>11</v>
      </c>
      <c r="AT196" s="8">
        <v>0.61111111111111116</v>
      </c>
      <c r="AU196" s="14" t="s">
        <v>1119</v>
      </c>
      <c r="AV196" s="7">
        <v>20</v>
      </c>
      <c r="AW196" s="8">
        <v>0.55555555555555558</v>
      </c>
    </row>
    <row r="197" spans="1:49" ht="15.75" customHeight="1" x14ac:dyDescent="0.25">
      <c r="A197" s="5" t="s">
        <v>11</v>
      </c>
      <c r="B197" s="7" t="s">
        <v>881</v>
      </c>
      <c r="C197" s="7" t="s">
        <v>1103</v>
      </c>
      <c r="D197" s="7" t="s">
        <v>1097</v>
      </c>
      <c r="E197" s="5" t="s">
        <v>892</v>
      </c>
      <c r="F197" s="5">
        <v>0</v>
      </c>
      <c r="G197" s="5">
        <v>0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0</v>
      </c>
      <c r="U197" s="5">
        <v>1</v>
      </c>
      <c r="V197" s="5">
        <v>1</v>
      </c>
      <c r="W197" s="5">
        <v>1</v>
      </c>
      <c r="X197" s="7">
        <v>15</v>
      </c>
      <c r="Y197" s="8">
        <v>0.83333333333333326</v>
      </c>
      <c r="Z197" s="14" t="s">
        <v>1120</v>
      </c>
      <c r="AA197" s="5">
        <v>1</v>
      </c>
      <c r="AB197" s="5">
        <v>1</v>
      </c>
      <c r="AC197" s="5">
        <v>1</v>
      </c>
      <c r="AD197" s="5">
        <v>1</v>
      </c>
      <c r="AE197" s="5">
        <v>0</v>
      </c>
      <c r="AF197" s="5">
        <v>1</v>
      </c>
      <c r="AG197" s="5">
        <v>1</v>
      </c>
      <c r="AH197" s="5">
        <v>0</v>
      </c>
      <c r="AI197" s="5">
        <v>0</v>
      </c>
      <c r="AJ197" s="5">
        <v>1</v>
      </c>
      <c r="AK197" s="5">
        <v>1</v>
      </c>
      <c r="AL197" s="5">
        <v>0</v>
      </c>
      <c r="AM197" s="5">
        <v>0</v>
      </c>
      <c r="AN197" s="5">
        <v>1</v>
      </c>
      <c r="AO197" s="5">
        <v>0</v>
      </c>
      <c r="AP197" s="5">
        <v>0</v>
      </c>
      <c r="AQ197" s="5">
        <v>0</v>
      </c>
      <c r="AR197" s="5">
        <v>1</v>
      </c>
      <c r="AS197" s="7">
        <v>10</v>
      </c>
      <c r="AT197" s="8">
        <v>0.55555555555555558</v>
      </c>
      <c r="AU197" s="14" t="s">
        <v>1119</v>
      </c>
      <c r="AV197" s="7">
        <v>25</v>
      </c>
      <c r="AW197" s="8">
        <v>0.69444444444444442</v>
      </c>
    </row>
    <row r="198" spans="1:49" ht="15.75" customHeight="1" x14ac:dyDescent="0.25">
      <c r="A198" s="5" t="s">
        <v>11</v>
      </c>
      <c r="B198" s="7" t="s">
        <v>881</v>
      </c>
      <c r="C198" s="7" t="s">
        <v>1103</v>
      </c>
      <c r="D198" s="7" t="s">
        <v>1097</v>
      </c>
      <c r="E198" s="5" t="s">
        <v>893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0</v>
      </c>
      <c r="O198" s="5">
        <v>1</v>
      </c>
      <c r="P198" s="5">
        <v>0</v>
      </c>
      <c r="Q198" s="5">
        <v>0</v>
      </c>
      <c r="R198" s="5">
        <v>1</v>
      </c>
      <c r="S198" s="5">
        <v>1</v>
      </c>
      <c r="T198" s="5">
        <v>1</v>
      </c>
      <c r="U198" s="5">
        <v>1</v>
      </c>
      <c r="V198" s="5">
        <v>1</v>
      </c>
      <c r="W198" s="5">
        <v>1</v>
      </c>
      <c r="X198" s="7">
        <v>9</v>
      </c>
      <c r="Y198" s="8">
        <v>0.5</v>
      </c>
      <c r="Z198" s="14" t="s">
        <v>1119</v>
      </c>
      <c r="AA198" s="5">
        <v>1</v>
      </c>
      <c r="AB198" s="5">
        <v>1</v>
      </c>
      <c r="AC198" s="5">
        <v>1</v>
      </c>
      <c r="AD198" s="5">
        <v>1</v>
      </c>
      <c r="AE198" s="5">
        <v>0</v>
      </c>
      <c r="AF198" s="5">
        <v>1</v>
      </c>
      <c r="AG198" s="5">
        <v>1</v>
      </c>
      <c r="AH198" s="5">
        <v>0</v>
      </c>
      <c r="AI198" s="5">
        <v>0</v>
      </c>
      <c r="AJ198" s="5">
        <v>0</v>
      </c>
      <c r="AK198" s="5">
        <v>1</v>
      </c>
      <c r="AL198" s="5">
        <v>1</v>
      </c>
      <c r="AM198" s="5">
        <v>1</v>
      </c>
      <c r="AN198" s="5">
        <v>0</v>
      </c>
      <c r="AO198" s="5">
        <v>0</v>
      </c>
      <c r="AP198" s="5">
        <v>0</v>
      </c>
      <c r="AQ198" s="5">
        <v>1</v>
      </c>
      <c r="AR198" s="5">
        <v>1</v>
      </c>
      <c r="AS198" s="7">
        <v>11</v>
      </c>
      <c r="AT198" s="8">
        <v>0.61111111111111116</v>
      </c>
      <c r="AU198" s="14" t="s">
        <v>1119</v>
      </c>
      <c r="AV198" s="7">
        <v>20</v>
      </c>
      <c r="AW198" s="8">
        <v>0.55555555555555558</v>
      </c>
    </row>
    <row r="199" spans="1:49" ht="15.75" customHeight="1" x14ac:dyDescent="0.25">
      <c r="A199" s="5" t="s">
        <v>11</v>
      </c>
      <c r="B199" s="7" t="s">
        <v>881</v>
      </c>
      <c r="C199" s="7" t="s">
        <v>1096</v>
      </c>
      <c r="D199" s="7" t="s">
        <v>1097</v>
      </c>
      <c r="E199" s="5" t="s">
        <v>894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1</v>
      </c>
      <c r="U199" s="5">
        <v>1</v>
      </c>
      <c r="V199" s="5">
        <v>1</v>
      </c>
      <c r="W199" s="5">
        <v>1</v>
      </c>
      <c r="X199" s="7">
        <v>18</v>
      </c>
      <c r="Y199" s="8">
        <v>1</v>
      </c>
      <c r="Z199" s="14" t="s">
        <v>1120</v>
      </c>
      <c r="AA199" s="5">
        <v>1</v>
      </c>
      <c r="AB199" s="5">
        <v>1</v>
      </c>
      <c r="AC199" s="5">
        <v>0</v>
      </c>
      <c r="AD199" s="5">
        <v>1</v>
      </c>
      <c r="AE199" s="5">
        <v>0</v>
      </c>
      <c r="AF199" s="5">
        <v>0</v>
      </c>
      <c r="AG199" s="5">
        <v>1</v>
      </c>
      <c r="AH199" s="5">
        <v>1</v>
      </c>
      <c r="AI199" s="5">
        <v>0</v>
      </c>
      <c r="AJ199" s="5">
        <v>0</v>
      </c>
      <c r="AK199" s="5">
        <v>1</v>
      </c>
      <c r="AL199" s="5">
        <v>1</v>
      </c>
      <c r="AM199" s="5">
        <v>0</v>
      </c>
      <c r="AN199" s="5">
        <v>1</v>
      </c>
      <c r="AO199" s="5">
        <v>1</v>
      </c>
      <c r="AP199" s="5">
        <v>0</v>
      </c>
      <c r="AQ199" s="5">
        <v>1</v>
      </c>
      <c r="AR199" s="5">
        <v>1</v>
      </c>
      <c r="AS199" s="7">
        <v>11</v>
      </c>
      <c r="AT199" s="8">
        <v>0.61111111111111116</v>
      </c>
      <c r="AU199" s="14" t="s">
        <v>1119</v>
      </c>
      <c r="AV199" s="7">
        <v>29</v>
      </c>
      <c r="AW199" s="8">
        <v>0.80555555555555558</v>
      </c>
    </row>
    <row r="200" spans="1:49" ht="15.75" customHeight="1" x14ac:dyDescent="0.25">
      <c r="A200" s="5" t="s">
        <v>11</v>
      </c>
      <c r="B200" s="7" t="s">
        <v>881</v>
      </c>
      <c r="C200" s="7" t="s">
        <v>1096</v>
      </c>
      <c r="D200" s="7" t="s">
        <v>1097</v>
      </c>
      <c r="E200" s="5" t="s">
        <v>895</v>
      </c>
      <c r="F200" s="5">
        <v>1</v>
      </c>
      <c r="G200" s="5">
        <v>0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5">
        <v>0</v>
      </c>
      <c r="N200" s="5">
        <v>1</v>
      </c>
      <c r="O200" s="5">
        <v>0</v>
      </c>
      <c r="P200" s="5">
        <v>1</v>
      </c>
      <c r="Q200" s="5">
        <v>1</v>
      </c>
      <c r="R200" s="5">
        <v>1</v>
      </c>
      <c r="S200" s="5">
        <v>1</v>
      </c>
      <c r="T200" s="5">
        <v>1</v>
      </c>
      <c r="U200" s="5">
        <v>1</v>
      </c>
      <c r="V200" s="5">
        <v>1</v>
      </c>
      <c r="W200" s="5">
        <v>1</v>
      </c>
      <c r="X200" s="7">
        <v>15</v>
      </c>
      <c r="Y200" s="8">
        <v>0.83333333333333326</v>
      </c>
      <c r="Z200" s="14" t="s">
        <v>1120</v>
      </c>
      <c r="AA200" s="5">
        <v>1</v>
      </c>
      <c r="AB200" s="5">
        <v>1</v>
      </c>
      <c r="AC200" s="5">
        <v>1</v>
      </c>
      <c r="AD200" s="5">
        <v>1</v>
      </c>
      <c r="AE200" s="5">
        <v>0</v>
      </c>
      <c r="AF200" s="5">
        <v>0</v>
      </c>
      <c r="AG200" s="5">
        <v>0</v>
      </c>
      <c r="AH200" s="5">
        <v>1</v>
      </c>
      <c r="AI200" s="5">
        <v>0</v>
      </c>
      <c r="AJ200" s="5">
        <v>0</v>
      </c>
      <c r="AK200" s="5">
        <v>1</v>
      </c>
      <c r="AL200" s="5">
        <v>1</v>
      </c>
      <c r="AM200" s="5">
        <v>1</v>
      </c>
      <c r="AN200" s="5">
        <v>1</v>
      </c>
      <c r="AO200" s="5">
        <v>1</v>
      </c>
      <c r="AP200" s="5">
        <v>0</v>
      </c>
      <c r="AQ200" s="5">
        <v>1</v>
      </c>
      <c r="AR200" s="5">
        <v>1</v>
      </c>
      <c r="AS200" s="7">
        <v>12</v>
      </c>
      <c r="AT200" s="8">
        <v>0.66666666666666674</v>
      </c>
      <c r="AU200" s="14" t="s">
        <v>1119</v>
      </c>
      <c r="AV200" s="7">
        <v>27</v>
      </c>
      <c r="AW200" s="8">
        <v>0.75</v>
      </c>
    </row>
    <row r="201" spans="1:49" ht="15.75" customHeight="1" x14ac:dyDescent="0.25">
      <c r="A201" s="5" t="s">
        <v>11</v>
      </c>
      <c r="B201" s="7" t="s">
        <v>881</v>
      </c>
      <c r="C201" s="7" t="s">
        <v>1103</v>
      </c>
      <c r="D201" s="7" t="s">
        <v>1097</v>
      </c>
      <c r="E201" s="5" t="s">
        <v>896</v>
      </c>
      <c r="F201" s="5">
        <v>1</v>
      </c>
      <c r="G201" s="5">
        <v>0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0</v>
      </c>
      <c r="P201" s="5">
        <v>1</v>
      </c>
      <c r="Q201" s="5">
        <v>1</v>
      </c>
      <c r="R201" s="5">
        <v>1</v>
      </c>
      <c r="S201" s="5">
        <v>1</v>
      </c>
      <c r="T201" s="5">
        <v>1</v>
      </c>
      <c r="U201" s="5">
        <v>1</v>
      </c>
      <c r="V201" s="5">
        <v>1</v>
      </c>
      <c r="W201" s="5">
        <v>1</v>
      </c>
      <c r="X201" s="7">
        <v>16</v>
      </c>
      <c r="Y201" s="8">
        <v>0.88888888888888884</v>
      </c>
      <c r="Z201" s="14" t="s">
        <v>1120</v>
      </c>
      <c r="AA201" s="5">
        <v>1</v>
      </c>
      <c r="AB201" s="5">
        <v>1</v>
      </c>
      <c r="AC201" s="5">
        <v>0</v>
      </c>
      <c r="AD201" s="5">
        <v>1</v>
      </c>
      <c r="AE201" s="5">
        <v>0</v>
      </c>
      <c r="AF201" s="5">
        <v>1</v>
      </c>
      <c r="AG201" s="5">
        <v>0</v>
      </c>
      <c r="AH201" s="5">
        <v>1</v>
      </c>
      <c r="AI201" s="5">
        <v>0</v>
      </c>
      <c r="AJ201" s="5">
        <v>0</v>
      </c>
      <c r="AK201" s="5">
        <v>1</v>
      </c>
      <c r="AL201" s="5">
        <v>1</v>
      </c>
      <c r="AM201" s="5">
        <v>0</v>
      </c>
      <c r="AN201" s="5">
        <v>0</v>
      </c>
      <c r="AO201" s="5">
        <v>0</v>
      </c>
      <c r="AP201" s="5">
        <v>0</v>
      </c>
      <c r="AQ201" s="5">
        <v>1</v>
      </c>
      <c r="AR201" s="5">
        <v>1</v>
      </c>
      <c r="AS201" s="7">
        <v>9</v>
      </c>
      <c r="AT201" s="8">
        <v>0.5</v>
      </c>
      <c r="AU201" s="14" t="s">
        <v>1119</v>
      </c>
      <c r="AV201" s="7">
        <v>25</v>
      </c>
      <c r="AW201" s="8">
        <v>0.69444444444444442</v>
      </c>
    </row>
    <row r="202" spans="1:49" ht="15.75" customHeight="1" x14ac:dyDescent="0.25">
      <c r="A202" s="5" t="s">
        <v>11</v>
      </c>
      <c r="B202" s="7" t="s">
        <v>881</v>
      </c>
      <c r="C202" s="7" t="s">
        <v>1103</v>
      </c>
      <c r="D202" s="7" t="s">
        <v>1097</v>
      </c>
      <c r="E202" s="5" t="s">
        <v>897</v>
      </c>
      <c r="F202" s="5">
        <v>1</v>
      </c>
      <c r="G202" s="5">
        <v>1</v>
      </c>
      <c r="H202" s="5">
        <v>1</v>
      </c>
      <c r="I202" s="5">
        <v>0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0</v>
      </c>
      <c r="P202" s="5">
        <v>1</v>
      </c>
      <c r="Q202" s="5">
        <v>0</v>
      </c>
      <c r="R202" s="5">
        <v>1</v>
      </c>
      <c r="S202" s="5">
        <v>1</v>
      </c>
      <c r="T202" s="5">
        <v>1</v>
      </c>
      <c r="U202" s="5">
        <v>0</v>
      </c>
      <c r="V202" s="5">
        <v>0</v>
      </c>
      <c r="W202" s="5">
        <v>1</v>
      </c>
      <c r="X202" s="7">
        <v>13</v>
      </c>
      <c r="Y202" s="8">
        <v>0.72222222222222232</v>
      </c>
      <c r="Z202" s="14" t="s">
        <v>1120</v>
      </c>
      <c r="AA202" s="5">
        <v>1</v>
      </c>
      <c r="AB202" s="5">
        <v>1</v>
      </c>
      <c r="AC202" s="5">
        <v>0</v>
      </c>
      <c r="AD202" s="5">
        <v>1</v>
      </c>
      <c r="AE202" s="5">
        <v>0</v>
      </c>
      <c r="AF202" s="5">
        <v>1</v>
      </c>
      <c r="AG202" s="5">
        <v>0</v>
      </c>
      <c r="AH202" s="5">
        <v>0</v>
      </c>
      <c r="AI202" s="5">
        <v>0</v>
      </c>
      <c r="AJ202" s="5">
        <v>0</v>
      </c>
      <c r="AK202" s="5">
        <v>1</v>
      </c>
      <c r="AL202" s="5">
        <v>1</v>
      </c>
      <c r="AM202" s="5">
        <v>0</v>
      </c>
      <c r="AN202" s="5">
        <v>0</v>
      </c>
      <c r="AO202" s="5">
        <v>0</v>
      </c>
      <c r="AP202" s="5">
        <v>0</v>
      </c>
      <c r="AQ202" s="5">
        <v>1</v>
      </c>
      <c r="AR202" s="5">
        <v>1</v>
      </c>
      <c r="AS202" s="7">
        <v>8</v>
      </c>
      <c r="AT202" s="8">
        <v>0.44444444444444442</v>
      </c>
      <c r="AU202" s="14" t="s">
        <v>1119</v>
      </c>
      <c r="AV202" s="7">
        <v>21</v>
      </c>
      <c r="AW202" s="8">
        <v>0.58333333333333337</v>
      </c>
    </row>
    <row r="203" spans="1:49" ht="15.75" customHeight="1" x14ac:dyDescent="0.25">
      <c r="A203" s="5" t="s">
        <v>11</v>
      </c>
      <c r="B203" s="7" t="s">
        <v>881</v>
      </c>
      <c r="C203" s="7" t="s">
        <v>1096</v>
      </c>
      <c r="D203" s="7" t="s">
        <v>1097</v>
      </c>
      <c r="E203" s="5" t="s">
        <v>898</v>
      </c>
      <c r="F203" s="5">
        <v>0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1</v>
      </c>
      <c r="U203" s="5">
        <v>1</v>
      </c>
      <c r="V203" s="5">
        <v>1</v>
      </c>
      <c r="W203" s="5">
        <v>1</v>
      </c>
      <c r="X203" s="7">
        <v>11</v>
      </c>
      <c r="Y203" s="8">
        <v>0.61111111111111116</v>
      </c>
      <c r="Z203" s="14" t="s">
        <v>1119</v>
      </c>
      <c r="AA203" s="5">
        <v>0</v>
      </c>
      <c r="AB203" s="5">
        <v>1</v>
      </c>
      <c r="AC203" s="5">
        <v>1</v>
      </c>
      <c r="AD203" s="5">
        <v>0</v>
      </c>
      <c r="AE203" s="5">
        <v>0</v>
      </c>
      <c r="AF203" s="5">
        <v>1</v>
      </c>
      <c r="AG203" s="5">
        <v>1</v>
      </c>
      <c r="AH203" s="5">
        <v>1</v>
      </c>
      <c r="AI203" s="5">
        <v>0</v>
      </c>
      <c r="AJ203" s="5">
        <v>1</v>
      </c>
      <c r="AK203" s="5">
        <v>1</v>
      </c>
      <c r="AL203" s="5">
        <v>0</v>
      </c>
      <c r="AM203" s="5">
        <v>1</v>
      </c>
      <c r="AN203" s="5">
        <v>1</v>
      </c>
      <c r="AO203" s="5">
        <v>0</v>
      </c>
      <c r="AP203" s="5">
        <v>0</v>
      </c>
      <c r="AQ203" s="5">
        <v>1</v>
      </c>
      <c r="AR203" s="5">
        <v>1</v>
      </c>
      <c r="AS203" s="7">
        <v>11</v>
      </c>
      <c r="AT203" s="8">
        <v>0.61111111111111116</v>
      </c>
      <c r="AU203" s="14" t="s">
        <v>1119</v>
      </c>
      <c r="AV203" s="7">
        <v>22</v>
      </c>
      <c r="AW203" s="8">
        <v>0.61111111111111116</v>
      </c>
    </row>
    <row r="204" spans="1:49" ht="15.75" customHeight="1" x14ac:dyDescent="0.25">
      <c r="A204" s="5" t="s">
        <v>11</v>
      </c>
      <c r="B204" s="7" t="s">
        <v>881</v>
      </c>
      <c r="C204" s="7" t="s">
        <v>1103</v>
      </c>
      <c r="D204" s="7" t="s">
        <v>1097</v>
      </c>
      <c r="E204" s="5" t="s">
        <v>899</v>
      </c>
      <c r="F204" s="5">
        <v>1</v>
      </c>
      <c r="G204" s="5">
        <v>0</v>
      </c>
      <c r="H204" s="5">
        <v>1</v>
      </c>
      <c r="I204" s="5">
        <v>0</v>
      </c>
      <c r="J204" s="5">
        <v>1</v>
      </c>
      <c r="K204" s="5">
        <v>1</v>
      </c>
      <c r="L204" s="5">
        <v>1</v>
      </c>
      <c r="M204" s="5">
        <v>1</v>
      </c>
      <c r="N204" s="5">
        <v>1</v>
      </c>
      <c r="O204" s="5">
        <v>0</v>
      </c>
      <c r="P204" s="5">
        <v>1</v>
      </c>
      <c r="Q204" s="5">
        <v>1</v>
      </c>
      <c r="R204" s="5">
        <v>1</v>
      </c>
      <c r="S204" s="5">
        <v>1</v>
      </c>
      <c r="T204" s="5">
        <v>1</v>
      </c>
      <c r="U204" s="5">
        <v>1</v>
      </c>
      <c r="V204" s="5">
        <v>1</v>
      </c>
      <c r="W204" s="5">
        <v>1</v>
      </c>
      <c r="X204" s="7">
        <v>15</v>
      </c>
      <c r="Y204" s="8">
        <v>0.83333333333333326</v>
      </c>
      <c r="Z204" s="14" t="s">
        <v>1120</v>
      </c>
      <c r="AA204" s="5">
        <v>1</v>
      </c>
      <c r="AB204" s="5">
        <v>1</v>
      </c>
      <c r="AC204" s="5">
        <v>1</v>
      </c>
      <c r="AD204" s="5">
        <v>1</v>
      </c>
      <c r="AE204" s="5">
        <v>0</v>
      </c>
      <c r="AF204" s="5">
        <v>0</v>
      </c>
      <c r="AG204" s="5">
        <v>1</v>
      </c>
      <c r="AH204" s="5">
        <v>1</v>
      </c>
      <c r="AI204" s="5">
        <v>0</v>
      </c>
      <c r="AJ204" s="5">
        <v>0</v>
      </c>
      <c r="AK204" s="5">
        <v>1</v>
      </c>
      <c r="AL204" s="5">
        <v>0</v>
      </c>
      <c r="AM204" s="5">
        <v>0</v>
      </c>
      <c r="AN204" s="5">
        <v>1</v>
      </c>
      <c r="AO204" s="5">
        <v>1</v>
      </c>
      <c r="AP204" s="5">
        <v>1</v>
      </c>
      <c r="AQ204" s="5">
        <v>1</v>
      </c>
      <c r="AR204" s="5">
        <v>0</v>
      </c>
      <c r="AS204" s="7">
        <v>11</v>
      </c>
      <c r="AT204" s="8">
        <v>0.61111111111111116</v>
      </c>
      <c r="AU204" s="14" t="s">
        <v>1119</v>
      </c>
      <c r="AV204" s="7">
        <v>26</v>
      </c>
      <c r="AW204" s="8">
        <v>0.72222222222222232</v>
      </c>
    </row>
    <row r="205" spans="1:49" ht="15.75" customHeight="1" x14ac:dyDescent="0.25">
      <c r="A205" s="5" t="s">
        <v>11</v>
      </c>
      <c r="B205" s="7" t="s">
        <v>881</v>
      </c>
      <c r="C205" s="7" t="s">
        <v>1096</v>
      </c>
      <c r="D205" s="7" t="s">
        <v>1097</v>
      </c>
      <c r="E205" s="5" t="s">
        <v>900</v>
      </c>
      <c r="F205" s="5">
        <v>1</v>
      </c>
      <c r="G205" s="5">
        <v>1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</v>
      </c>
      <c r="O205" s="5">
        <v>0</v>
      </c>
      <c r="P205" s="5">
        <v>1</v>
      </c>
      <c r="Q205" s="5">
        <v>1</v>
      </c>
      <c r="R205" s="5">
        <v>1</v>
      </c>
      <c r="S205" s="5">
        <v>1</v>
      </c>
      <c r="T205" s="5">
        <v>1</v>
      </c>
      <c r="U205" s="5">
        <v>1</v>
      </c>
      <c r="V205" s="5">
        <v>0</v>
      </c>
      <c r="W205" s="5">
        <v>1</v>
      </c>
      <c r="X205" s="7">
        <v>16</v>
      </c>
      <c r="Y205" s="8">
        <v>0.88888888888888884</v>
      </c>
      <c r="Z205" s="14" t="s">
        <v>1120</v>
      </c>
      <c r="AA205" s="5">
        <v>1</v>
      </c>
      <c r="AB205" s="5">
        <v>1</v>
      </c>
      <c r="AC205" s="5">
        <v>1</v>
      </c>
      <c r="AD205" s="5">
        <v>1</v>
      </c>
      <c r="AE205" s="5">
        <v>0</v>
      </c>
      <c r="AF205" s="5">
        <v>1</v>
      </c>
      <c r="AG205" s="5">
        <v>1</v>
      </c>
      <c r="AH205" s="5">
        <v>0</v>
      </c>
      <c r="AI205" s="5">
        <v>0</v>
      </c>
      <c r="AJ205" s="5">
        <v>1</v>
      </c>
      <c r="AK205" s="5">
        <v>1</v>
      </c>
      <c r="AL205" s="5">
        <v>1</v>
      </c>
      <c r="AM205" s="5">
        <v>1</v>
      </c>
      <c r="AN205" s="5">
        <v>1</v>
      </c>
      <c r="AO205" s="5">
        <v>0</v>
      </c>
      <c r="AP205" s="5">
        <v>0</v>
      </c>
      <c r="AQ205" s="5">
        <v>1</v>
      </c>
      <c r="AR205" s="5">
        <v>1</v>
      </c>
      <c r="AS205" s="7">
        <v>13</v>
      </c>
      <c r="AT205" s="8">
        <v>0.72222222222222232</v>
      </c>
      <c r="AU205" s="14" t="s">
        <v>1120</v>
      </c>
      <c r="AV205" s="7">
        <v>29</v>
      </c>
      <c r="AW205" s="8">
        <v>0.80555555555555558</v>
      </c>
    </row>
    <row r="206" spans="1:49" ht="15.75" customHeight="1" x14ac:dyDescent="0.25">
      <c r="A206" s="5" t="s">
        <v>11</v>
      </c>
      <c r="B206" s="7" t="s">
        <v>881</v>
      </c>
      <c r="C206" s="7" t="s">
        <v>1096</v>
      </c>
      <c r="D206" s="7" t="s">
        <v>1097</v>
      </c>
      <c r="E206" s="5" t="s">
        <v>901</v>
      </c>
      <c r="F206" s="5">
        <v>0</v>
      </c>
      <c r="G206" s="5">
        <v>0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1</v>
      </c>
      <c r="N206" s="5">
        <v>1</v>
      </c>
      <c r="O206" s="5">
        <v>0</v>
      </c>
      <c r="P206" s="5">
        <v>1</v>
      </c>
      <c r="Q206" s="5">
        <v>1</v>
      </c>
      <c r="R206" s="5">
        <v>0</v>
      </c>
      <c r="S206" s="5">
        <v>1</v>
      </c>
      <c r="T206" s="5">
        <v>1</v>
      </c>
      <c r="U206" s="5">
        <v>1</v>
      </c>
      <c r="V206" s="5">
        <v>1</v>
      </c>
      <c r="W206" s="5">
        <v>1</v>
      </c>
      <c r="X206" s="7">
        <v>14</v>
      </c>
      <c r="Y206" s="8">
        <v>0.77777777777777768</v>
      </c>
      <c r="Z206" s="14" t="s">
        <v>1120</v>
      </c>
      <c r="AA206" s="5">
        <v>1</v>
      </c>
      <c r="AB206" s="5">
        <v>1</v>
      </c>
      <c r="AC206" s="5">
        <v>1</v>
      </c>
      <c r="AD206" s="5">
        <v>1</v>
      </c>
      <c r="AE206" s="5">
        <v>1</v>
      </c>
      <c r="AF206" s="5">
        <v>0</v>
      </c>
      <c r="AG206" s="5">
        <v>1</v>
      </c>
      <c r="AH206" s="5">
        <v>1</v>
      </c>
      <c r="AI206" s="5">
        <v>0</v>
      </c>
      <c r="AJ206" s="5">
        <v>1</v>
      </c>
      <c r="AK206" s="5">
        <v>1</v>
      </c>
      <c r="AL206" s="5">
        <v>0</v>
      </c>
      <c r="AM206" s="5">
        <v>0</v>
      </c>
      <c r="AN206" s="5">
        <v>1</v>
      </c>
      <c r="AO206" s="5">
        <v>0</v>
      </c>
      <c r="AP206" s="5">
        <v>0</v>
      </c>
      <c r="AQ206" s="5">
        <v>1</v>
      </c>
      <c r="AR206" s="5">
        <v>1</v>
      </c>
      <c r="AS206" s="7">
        <v>12</v>
      </c>
      <c r="AT206" s="8">
        <v>0.66666666666666674</v>
      </c>
      <c r="AU206" s="14" t="s">
        <v>1119</v>
      </c>
      <c r="AV206" s="7">
        <v>26</v>
      </c>
      <c r="AW206" s="8">
        <v>0.72222222222222232</v>
      </c>
    </row>
    <row r="207" spans="1:49" ht="15.75" customHeight="1" x14ac:dyDescent="0.25">
      <c r="A207" s="5" t="s">
        <v>11</v>
      </c>
      <c r="B207" s="7" t="s">
        <v>881</v>
      </c>
      <c r="C207" s="7" t="s">
        <v>1103</v>
      </c>
      <c r="D207" s="7" t="s">
        <v>1097</v>
      </c>
      <c r="E207" s="5" t="s">
        <v>902</v>
      </c>
      <c r="F207" s="5">
        <v>1</v>
      </c>
      <c r="G207" s="5">
        <v>1</v>
      </c>
      <c r="H207" s="5">
        <v>1</v>
      </c>
      <c r="I207" s="5">
        <v>1</v>
      </c>
      <c r="J207" s="5">
        <v>1</v>
      </c>
      <c r="K207" s="5">
        <v>1</v>
      </c>
      <c r="L207" s="5">
        <v>1</v>
      </c>
      <c r="M207" s="5">
        <v>1</v>
      </c>
      <c r="N207" s="5">
        <v>1</v>
      </c>
      <c r="O207" s="5">
        <v>0</v>
      </c>
      <c r="P207" s="5">
        <v>0</v>
      </c>
      <c r="Q207" s="5">
        <v>0</v>
      </c>
      <c r="R207" s="5">
        <v>1</v>
      </c>
      <c r="S207" s="5">
        <v>1</v>
      </c>
      <c r="T207" s="5">
        <v>0</v>
      </c>
      <c r="U207" s="5">
        <v>1</v>
      </c>
      <c r="V207" s="5">
        <v>0</v>
      </c>
      <c r="W207" s="5">
        <v>1</v>
      </c>
      <c r="X207" s="7">
        <v>13</v>
      </c>
      <c r="Y207" s="8">
        <v>0.72222222222222232</v>
      </c>
      <c r="Z207" s="14" t="s">
        <v>1120</v>
      </c>
      <c r="AA207" s="5">
        <v>1</v>
      </c>
      <c r="AB207" s="5">
        <v>0</v>
      </c>
      <c r="AC207" s="5">
        <v>1</v>
      </c>
      <c r="AD207" s="5">
        <v>1</v>
      </c>
      <c r="AE207" s="5">
        <v>0</v>
      </c>
      <c r="AF207" s="5">
        <v>1</v>
      </c>
      <c r="AG207" s="5">
        <v>0</v>
      </c>
      <c r="AH207" s="5">
        <v>0</v>
      </c>
      <c r="AI207" s="5">
        <v>0</v>
      </c>
      <c r="AJ207" s="5">
        <v>0</v>
      </c>
      <c r="AK207" s="5">
        <v>1</v>
      </c>
      <c r="AL207" s="5">
        <v>1</v>
      </c>
      <c r="AM207" s="5">
        <v>0</v>
      </c>
      <c r="AN207" s="5">
        <v>0</v>
      </c>
      <c r="AO207" s="5">
        <v>0</v>
      </c>
      <c r="AP207" s="5">
        <v>0</v>
      </c>
      <c r="AQ207" s="5">
        <v>1</v>
      </c>
      <c r="AR207" s="5">
        <v>0</v>
      </c>
      <c r="AS207" s="7">
        <v>7</v>
      </c>
      <c r="AT207" s="8">
        <v>0.38888888888888884</v>
      </c>
      <c r="AU207" s="14" t="s">
        <v>1102</v>
      </c>
      <c r="AV207" s="7">
        <v>20</v>
      </c>
      <c r="AW207" s="8">
        <v>0.55555555555555558</v>
      </c>
    </row>
    <row r="208" spans="1:49" ht="15.75" customHeight="1" x14ac:dyDescent="0.25">
      <c r="A208" s="5" t="s">
        <v>11</v>
      </c>
      <c r="B208" s="7" t="s">
        <v>903</v>
      </c>
      <c r="C208" s="7" t="s">
        <v>1162</v>
      </c>
      <c r="D208" s="7" t="s">
        <v>1097</v>
      </c>
      <c r="E208" s="5" t="s">
        <v>904</v>
      </c>
      <c r="F208" s="5">
        <v>1</v>
      </c>
      <c r="G208" s="5">
        <v>1</v>
      </c>
      <c r="H208" s="5">
        <v>1</v>
      </c>
      <c r="I208" s="5">
        <v>1</v>
      </c>
      <c r="J208" s="5">
        <v>1</v>
      </c>
      <c r="K208" s="5">
        <v>1</v>
      </c>
      <c r="L208" s="5">
        <v>1</v>
      </c>
      <c r="M208" s="5">
        <v>1</v>
      </c>
      <c r="N208" s="5">
        <v>1</v>
      </c>
      <c r="O208" s="5">
        <v>1</v>
      </c>
      <c r="P208" s="5">
        <v>1</v>
      </c>
      <c r="Q208" s="5">
        <v>1</v>
      </c>
      <c r="R208" s="5">
        <v>1</v>
      </c>
      <c r="S208" s="5">
        <v>1</v>
      </c>
      <c r="T208" s="5">
        <v>1</v>
      </c>
      <c r="U208" s="5">
        <v>1</v>
      </c>
      <c r="V208" s="5">
        <v>1</v>
      </c>
      <c r="W208" s="5">
        <v>1</v>
      </c>
      <c r="X208" s="7">
        <f t="shared" ref="X208:X241" si="37">SUM(F208:W208)</f>
        <v>18</v>
      </c>
      <c r="Y208" s="8">
        <f t="shared" ref="Y208:Y271" si="38">((X208*100)/18)/100</f>
        <v>1</v>
      </c>
      <c r="Z208" s="14" t="str">
        <f t="shared" ref="Z208:Z271" si="39">IF(Y208&lt;0.4,"DEFASAGEM",IF(Y208&lt;0.7,"INTERMEDIÁRIO","ADEQUADA"))</f>
        <v>ADEQUADA</v>
      </c>
      <c r="AA208" s="5">
        <v>1</v>
      </c>
      <c r="AB208" s="5">
        <v>1</v>
      </c>
      <c r="AC208" s="5">
        <v>1</v>
      </c>
      <c r="AD208" s="5">
        <v>0</v>
      </c>
      <c r="AE208" s="5">
        <v>0</v>
      </c>
      <c r="AF208" s="5">
        <v>1</v>
      </c>
      <c r="AG208" s="5">
        <v>1</v>
      </c>
      <c r="AH208" s="5">
        <v>1</v>
      </c>
      <c r="AI208" s="5">
        <v>0</v>
      </c>
      <c r="AJ208" s="5">
        <v>1</v>
      </c>
      <c r="AK208" s="5">
        <v>1</v>
      </c>
      <c r="AL208" s="5">
        <v>0</v>
      </c>
      <c r="AM208" s="5">
        <v>1</v>
      </c>
      <c r="AN208" s="5">
        <v>1</v>
      </c>
      <c r="AO208" s="5">
        <v>1</v>
      </c>
      <c r="AP208" s="5">
        <v>1</v>
      </c>
      <c r="AQ208" s="5">
        <v>1</v>
      </c>
      <c r="AR208" s="5">
        <v>1</v>
      </c>
      <c r="AS208" s="7">
        <f t="shared" ref="AS208:AS233" si="40">SUM(AA208:AR208)</f>
        <v>14</v>
      </c>
      <c r="AT208" s="8">
        <f t="shared" ref="AT208:AT271" si="41">((AS208*100)/18)/100</f>
        <v>0.77777777777777768</v>
      </c>
      <c r="AU208" s="14" t="str">
        <f t="shared" ref="AU208:AU271" si="42">IF(AT208&lt;0.4,"DEFASAGEM",IF(AT208&lt;0.7,"INTERMEDIÁRIO","ADEQUADA"))</f>
        <v>ADEQUADA</v>
      </c>
      <c r="AV208" s="7">
        <f t="shared" ref="AV208:AV271" si="43">SUM(F208:W208)+(SUM(AA208:AR208))</f>
        <v>32</v>
      </c>
      <c r="AW208" s="8">
        <f t="shared" ref="AW208:AW271" si="44">((AV208*100)/36)/100</f>
        <v>0.88888888888888884</v>
      </c>
    </row>
    <row r="209" spans="1:49" ht="15.75" customHeight="1" x14ac:dyDescent="0.25">
      <c r="A209" s="5" t="s">
        <v>11</v>
      </c>
      <c r="B209" s="7" t="s">
        <v>903</v>
      </c>
      <c r="C209" s="7" t="s">
        <v>1162</v>
      </c>
      <c r="D209" s="7" t="s">
        <v>1097</v>
      </c>
      <c r="E209" s="5" t="s">
        <v>905</v>
      </c>
      <c r="F209" s="5">
        <v>0</v>
      </c>
      <c r="G209" s="5">
        <v>0</v>
      </c>
      <c r="H209" s="5">
        <v>1</v>
      </c>
      <c r="I209" s="5">
        <v>0</v>
      </c>
      <c r="J209" s="5">
        <v>0</v>
      </c>
      <c r="K209" s="5">
        <v>1</v>
      </c>
      <c r="L209" s="5">
        <v>1</v>
      </c>
      <c r="M209" s="5">
        <v>0</v>
      </c>
      <c r="N209" s="5">
        <v>0</v>
      </c>
      <c r="O209" s="5">
        <v>1</v>
      </c>
      <c r="P209" s="5">
        <v>0</v>
      </c>
      <c r="Q209" s="5">
        <v>1</v>
      </c>
      <c r="R209" s="5">
        <v>1</v>
      </c>
      <c r="S209" s="5">
        <v>1</v>
      </c>
      <c r="T209" s="5">
        <v>0</v>
      </c>
      <c r="U209" s="5">
        <v>1</v>
      </c>
      <c r="V209" s="5">
        <v>1</v>
      </c>
      <c r="W209" s="5">
        <v>1</v>
      </c>
      <c r="X209" s="7">
        <f t="shared" si="37"/>
        <v>10</v>
      </c>
      <c r="Y209" s="8">
        <f t="shared" si="38"/>
        <v>0.55555555555555558</v>
      </c>
      <c r="Z209" s="14" t="str">
        <f t="shared" si="39"/>
        <v>INTERMEDIÁRIO</v>
      </c>
      <c r="AA209" s="5">
        <v>1</v>
      </c>
      <c r="AB209" s="5">
        <v>1</v>
      </c>
      <c r="AC209" s="5">
        <v>0</v>
      </c>
      <c r="AD209" s="5">
        <v>1</v>
      </c>
      <c r="AE209" s="5">
        <v>0</v>
      </c>
      <c r="AF209" s="5">
        <v>0</v>
      </c>
      <c r="AG209" s="5">
        <v>1</v>
      </c>
      <c r="AH209" s="5">
        <v>0</v>
      </c>
      <c r="AI209" s="5">
        <v>0</v>
      </c>
      <c r="AJ209" s="5">
        <v>0</v>
      </c>
      <c r="AK209" s="5">
        <v>0</v>
      </c>
      <c r="AL209" s="5">
        <v>1</v>
      </c>
      <c r="AM209" s="5">
        <v>0</v>
      </c>
      <c r="AN209" s="5">
        <v>1</v>
      </c>
      <c r="AO209" s="5">
        <v>0</v>
      </c>
      <c r="AP209" s="5">
        <v>0</v>
      </c>
      <c r="AQ209" s="5">
        <v>1</v>
      </c>
      <c r="AR209" s="5">
        <v>1</v>
      </c>
      <c r="AS209" s="7">
        <f t="shared" si="40"/>
        <v>8</v>
      </c>
      <c r="AT209" s="8">
        <f t="shared" si="41"/>
        <v>0.44444444444444442</v>
      </c>
      <c r="AU209" s="14" t="str">
        <f t="shared" si="42"/>
        <v>INTERMEDIÁRIO</v>
      </c>
      <c r="AV209" s="7">
        <f t="shared" si="43"/>
        <v>18</v>
      </c>
      <c r="AW209" s="8">
        <f t="shared" si="44"/>
        <v>0.5</v>
      </c>
    </row>
    <row r="210" spans="1:49" ht="15.75" customHeight="1" x14ac:dyDescent="0.25">
      <c r="A210" s="5" t="s">
        <v>11</v>
      </c>
      <c r="B210" s="7" t="s">
        <v>903</v>
      </c>
      <c r="C210" s="7" t="s">
        <v>1162</v>
      </c>
      <c r="D210" s="7" t="s">
        <v>1097</v>
      </c>
      <c r="E210" s="5" t="s">
        <v>906</v>
      </c>
      <c r="F210" s="5">
        <v>1</v>
      </c>
      <c r="G210" s="5">
        <v>1</v>
      </c>
      <c r="H210" s="5">
        <v>1</v>
      </c>
      <c r="I210" s="5">
        <v>1</v>
      </c>
      <c r="J210" s="5">
        <v>1</v>
      </c>
      <c r="K210" s="5">
        <v>1</v>
      </c>
      <c r="L210" s="5">
        <v>0</v>
      </c>
      <c r="M210" s="5">
        <v>0</v>
      </c>
      <c r="N210" s="5">
        <v>1</v>
      </c>
      <c r="O210" s="5">
        <v>0</v>
      </c>
      <c r="P210" s="5">
        <v>1</v>
      </c>
      <c r="Q210" s="5">
        <v>1</v>
      </c>
      <c r="R210" s="5">
        <v>1</v>
      </c>
      <c r="S210" s="5">
        <v>1</v>
      </c>
      <c r="T210" s="5">
        <v>1</v>
      </c>
      <c r="U210" s="5">
        <v>1</v>
      </c>
      <c r="V210" s="5">
        <v>1</v>
      </c>
      <c r="W210" s="5">
        <v>1</v>
      </c>
      <c r="X210" s="7">
        <f t="shared" si="37"/>
        <v>15</v>
      </c>
      <c r="Y210" s="8">
        <f t="shared" si="38"/>
        <v>0.83333333333333326</v>
      </c>
      <c r="Z210" s="14" t="str">
        <f t="shared" si="39"/>
        <v>ADEQUADA</v>
      </c>
      <c r="AA210" s="5">
        <v>1</v>
      </c>
      <c r="AB210" s="5">
        <v>0</v>
      </c>
      <c r="AC210" s="5">
        <v>1</v>
      </c>
      <c r="AD210" s="5">
        <v>1</v>
      </c>
      <c r="AE210" s="5">
        <v>0</v>
      </c>
      <c r="AF210" s="5">
        <v>1</v>
      </c>
      <c r="AG210" s="5">
        <v>1</v>
      </c>
      <c r="AH210" s="5">
        <v>1</v>
      </c>
      <c r="AI210" s="5">
        <v>1</v>
      </c>
      <c r="AJ210" s="5">
        <v>1</v>
      </c>
      <c r="AK210" s="5">
        <v>1</v>
      </c>
      <c r="AL210" s="5">
        <v>1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1</v>
      </c>
      <c r="AS210" s="7">
        <f t="shared" si="40"/>
        <v>11</v>
      </c>
      <c r="AT210" s="8">
        <f t="shared" si="41"/>
        <v>0.61111111111111116</v>
      </c>
      <c r="AU210" s="14" t="str">
        <f t="shared" si="42"/>
        <v>INTERMEDIÁRIO</v>
      </c>
      <c r="AV210" s="7">
        <f t="shared" si="43"/>
        <v>26</v>
      </c>
      <c r="AW210" s="8">
        <f t="shared" si="44"/>
        <v>0.72222222222222232</v>
      </c>
    </row>
    <row r="211" spans="1:49" ht="15.75" customHeight="1" x14ac:dyDescent="0.25">
      <c r="A211" s="5" t="s">
        <v>11</v>
      </c>
      <c r="B211" s="7" t="s">
        <v>903</v>
      </c>
      <c r="C211" s="7" t="s">
        <v>1223</v>
      </c>
      <c r="D211" s="7" t="s">
        <v>1097</v>
      </c>
      <c r="E211" s="5" t="s">
        <v>907</v>
      </c>
      <c r="F211" s="5">
        <v>1</v>
      </c>
      <c r="G211" s="5">
        <v>1</v>
      </c>
      <c r="H211" s="5">
        <v>1</v>
      </c>
      <c r="I211" s="5">
        <v>1</v>
      </c>
      <c r="J211" s="5">
        <v>1</v>
      </c>
      <c r="K211" s="5">
        <v>0</v>
      </c>
      <c r="L211" s="5">
        <v>0</v>
      </c>
      <c r="M211" s="5">
        <v>0</v>
      </c>
      <c r="N211" s="5">
        <v>1</v>
      </c>
      <c r="O211" s="5">
        <v>0</v>
      </c>
      <c r="P211" s="5">
        <v>0</v>
      </c>
      <c r="Q211" s="5">
        <v>0</v>
      </c>
      <c r="R211" s="5">
        <v>1</v>
      </c>
      <c r="S211" s="5">
        <v>1</v>
      </c>
      <c r="T211" s="5">
        <v>0</v>
      </c>
      <c r="U211" s="5">
        <v>0</v>
      </c>
      <c r="V211" s="5">
        <v>1</v>
      </c>
      <c r="W211" s="5">
        <v>0</v>
      </c>
      <c r="X211" s="7">
        <f t="shared" si="37"/>
        <v>9</v>
      </c>
      <c r="Y211" s="8">
        <f t="shared" si="38"/>
        <v>0.5</v>
      </c>
      <c r="Z211" s="14" t="str">
        <f t="shared" si="39"/>
        <v>INTERMEDIÁRIO</v>
      </c>
      <c r="AA211" s="5">
        <v>1</v>
      </c>
      <c r="AB211" s="5">
        <v>1</v>
      </c>
      <c r="AC211" s="5">
        <v>1</v>
      </c>
      <c r="AD211" s="5">
        <v>1</v>
      </c>
      <c r="AE211" s="5">
        <v>0</v>
      </c>
      <c r="AF211" s="5">
        <v>1</v>
      </c>
      <c r="AG211" s="5">
        <v>1</v>
      </c>
      <c r="AH211" s="5">
        <v>0</v>
      </c>
      <c r="AI211" s="5">
        <v>0</v>
      </c>
      <c r="AJ211" s="5">
        <v>0</v>
      </c>
      <c r="AK211" s="5">
        <v>0</v>
      </c>
      <c r="AL211" s="5">
        <v>1</v>
      </c>
      <c r="AM211" s="5">
        <v>0</v>
      </c>
      <c r="AN211" s="5">
        <v>0</v>
      </c>
      <c r="AO211" s="5">
        <v>1</v>
      </c>
      <c r="AP211" s="5">
        <v>0</v>
      </c>
      <c r="AQ211" s="5">
        <v>0</v>
      </c>
      <c r="AR211" s="5">
        <v>0</v>
      </c>
      <c r="AS211" s="7">
        <f t="shared" si="40"/>
        <v>8</v>
      </c>
      <c r="AT211" s="8">
        <f t="shared" si="41"/>
        <v>0.44444444444444442</v>
      </c>
      <c r="AU211" s="14" t="str">
        <f t="shared" si="42"/>
        <v>INTERMEDIÁRIO</v>
      </c>
      <c r="AV211" s="7">
        <f t="shared" si="43"/>
        <v>17</v>
      </c>
      <c r="AW211" s="8">
        <f t="shared" si="44"/>
        <v>0.47222222222222221</v>
      </c>
    </row>
    <row r="212" spans="1:49" ht="15.75" customHeight="1" x14ac:dyDescent="0.25">
      <c r="A212" s="5" t="s">
        <v>11</v>
      </c>
      <c r="B212" s="7" t="s">
        <v>903</v>
      </c>
      <c r="C212" s="7" t="s">
        <v>1220</v>
      </c>
      <c r="D212" s="7" t="s">
        <v>1097</v>
      </c>
      <c r="E212" s="5" t="s">
        <v>908</v>
      </c>
      <c r="F212" s="5">
        <v>1</v>
      </c>
      <c r="G212" s="5">
        <v>1</v>
      </c>
      <c r="H212" s="5">
        <v>1</v>
      </c>
      <c r="I212" s="5">
        <v>0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0</v>
      </c>
      <c r="P212" s="5">
        <v>1</v>
      </c>
      <c r="Q212" s="5">
        <v>1</v>
      </c>
      <c r="R212" s="5">
        <v>1</v>
      </c>
      <c r="S212" s="5">
        <v>1</v>
      </c>
      <c r="T212" s="5">
        <v>1</v>
      </c>
      <c r="U212" s="5">
        <v>1</v>
      </c>
      <c r="V212" s="5">
        <v>1</v>
      </c>
      <c r="W212" s="5">
        <v>1</v>
      </c>
      <c r="X212" s="7">
        <f t="shared" si="37"/>
        <v>16</v>
      </c>
      <c r="Y212" s="8">
        <f t="shared" si="38"/>
        <v>0.88888888888888884</v>
      </c>
      <c r="Z212" s="14" t="str">
        <f t="shared" si="39"/>
        <v>ADEQUADA</v>
      </c>
      <c r="AA212" s="5">
        <v>1</v>
      </c>
      <c r="AB212" s="5">
        <v>0</v>
      </c>
      <c r="AC212" s="5">
        <v>1</v>
      </c>
      <c r="AD212" s="5">
        <v>1</v>
      </c>
      <c r="AE212" s="5">
        <v>0</v>
      </c>
      <c r="AF212" s="5">
        <v>0</v>
      </c>
      <c r="AG212" s="5">
        <v>1</v>
      </c>
      <c r="AH212" s="5">
        <v>0</v>
      </c>
      <c r="AI212" s="5">
        <v>0</v>
      </c>
      <c r="AJ212" s="5">
        <v>0</v>
      </c>
      <c r="AK212" s="5">
        <v>1</v>
      </c>
      <c r="AL212" s="5">
        <v>0</v>
      </c>
      <c r="AM212" s="5">
        <v>1</v>
      </c>
      <c r="AN212" s="5">
        <v>1</v>
      </c>
      <c r="AO212" s="5">
        <v>0</v>
      </c>
      <c r="AP212" s="5">
        <v>0</v>
      </c>
      <c r="AQ212" s="5">
        <v>0</v>
      </c>
      <c r="AR212" s="5">
        <v>1</v>
      </c>
      <c r="AS212" s="7">
        <f t="shared" si="40"/>
        <v>8</v>
      </c>
      <c r="AT212" s="8">
        <f t="shared" si="41"/>
        <v>0.44444444444444442</v>
      </c>
      <c r="AU212" s="14" t="str">
        <f t="shared" si="42"/>
        <v>INTERMEDIÁRIO</v>
      </c>
      <c r="AV212" s="7">
        <f t="shared" si="43"/>
        <v>24</v>
      </c>
      <c r="AW212" s="8">
        <f t="shared" si="44"/>
        <v>0.66666666666666674</v>
      </c>
    </row>
    <row r="213" spans="1:49" ht="15.75" customHeight="1" x14ac:dyDescent="0.25">
      <c r="A213" s="5" t="s">
        <v>11</v>
      </c>
      <c r="B213" s="7" t="s">
        <v>903</v>
      </c>
      <c r="C213" s="7" t="s">
        <v>1162</v>
      </c>
      <c r="D213" s="7" t="s">
        <v>1097</v>
      </c>
      <c r="E213" s="5" t="s">
        <v>909</v>
      </c>
      <c r="F213" s="5">
        <v>1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0</v>
      </c>
      <c r="M213" s="5">
        <v>1</v>
      </c>
      <c r="N213" s="5">
        <v>1</v>
      </c>
      <c r="O213" s="5">
        <v>1</v>
      </c>
      <c r="P213" s="5">
        <v>1</v>
      </c>
      <c r="Q213" s="5">
        <v>1</v>
      </c>
      <c r="R213" s="5">
        <v>1</v>
      </c>
      <c r="S213" s="5">
        <v>1</v>
      </c>
      <c r="T213" s="5">
        <v>1</v>
      </c>
      <c r="U213" s="5">
        <v>1</v>
      </c>
      <c r="V213" s="5">
        <v>1</v>
      </c>
      <c r="W213" s="5">
        <v>1</v>
      </c>
      <c r="X213" s="7">
        <f t="shared" si="37"/>
        <v>17</v>
      </c>
      <c r="Y213" s="8">
        <f t="shared" si="38"/>
        <v>0.94444444444444442</v>
      </c>
      <c r="Z213" s="14" t="str">
        <f t="shared" si="39"/>
        <v>ADEQUADA</v>
      </c>
      <c r="AA213" s="5">
        <v>1</v>
      </c>
      <c r="AB213" s="5">
        <v>1</v>
      </c>
      <c r="AC213" s="5">
        <v>1</v>
      </c>
      <c r="AD213" s="5">
        <v>0</v>
      </c>
      <c r="AE213" s="5">
        <v>0</v>
      </c>
      <c r="AF213" s="5">
        <v>1</v>
      </c>
      <c r="AG213" s="5">
        <v>1</v>
      </c>
      <c r="AH213" s="5">
        <v>1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1</v>
      </c>
      <c r="AO213" s="5">
        <v>0</v>
      </c>
      <c r="AP213" s="5">
        <v>0</v>
      </c>
      <c r="AQ213" s="5">
        <v>1</v>
      </c>
      <c r="AR213" s="5">
        <v>1</v>
      </c>
      <c r="AS213" s="7">
        <f t="shared" si="40"/>
        <v>9</v>
      </c>
      <c r="AT213" s="8">
        <f t="shared" si="41"/>
        <v>0.5</v>
      </c>
      <c r="AU213" s="14" t="str">
        <f t="shared" si="42"/>
        <v>INTERMEDIÁRIO</v>
      </c>
      <c r="AV213" s="7">
        <f t="shared" si="43"/>
        <v>26</v>
      </c>
      <c r="AW213" s="8">
        <f t="shared" si="44"/>
        <v>0.72222222222222232</v>
      </c>
    </row>
    <row r="214" spans="1:49" ht="15.75" customHeight="1" x14ac:dyDescent="0.25">
      <c r="A214" s="5" t="s">
        <v>11</v>
      </c>
      <c r="B214" s="7" t="s">
        <v>903</v>
      </c>
      <c r="C214" s="7" t="s">
        <v>1162</v>
      </c>
      <c r="D214" s="7" t="s">
        <v>1097</v>
      </c>
      <c r="E214" s="5" t="s">
        <v>910</v>
      </c>
      <c r="F214" s="5">
        <v>1</v>
      </c>
      <c r="G214" s="5">
        <v>1</v>
      </c>
      <c r="H214" s="5">
        <v>1</v>
      </c>
      <c r="I214" s="5">
        <v>1</v>
      </c>
      <c r="J214" s="5">
        <v>0</v>
      </c>
      <c r="K214" s="5">
        <v>1</v>
      </c>
      <c r="L214" s="5">
        <v>1</v>
      </c>
      <c r="M214" s="5">
        <v>0</v>
      </c>
      <c r="N214" s="5">
        <v>1</v>
      </c>
      <c r="O214" s="5">
        <v>0</v>
      </c>
      <c r="P214" s="5">
        <v>1</v>
      </c>
      <c r="Q214" s="5">
        <v>1</v>
      </c>
      <c r="R214" s="5">
        <v>1</v>
      </c>
      <c r="S214" s="5">
        <v>1</v>
      </c>
      <c r="T214" s="5">
        <v>1</v>
      </c>
      <c r="U214" s="5">
        <v>1</v>
      </c>
      <c r="V214" s="5">
        <v>0</v>
      </c>
      <c r="W214" s="5">
        <v>1</v>
      </c>
      <c r="X214" s="7">
        <f t="shared" si="37"/>
        <v>14</v>
      </c>
      <c r="Y214" s="8">
        <f t="shared" si="38"/>
        <v>0.77777777777777768</v>
      </c>
      <c r="Z214" s="14" t="str">
        <f t="shared" si="39"/>
        <v>ADEQUADA</v>
      </c>
      <c r="AA214" s="5">
        <v>1</v>
      </c>
      <c r="AB214" s="5">
        <v>1</v>
      </c>
      <c r="AC214" s="5">
        <v>1</v>
      </c>
      <c r="AD214" s="5">
        <v>1</v>
      </c>
      <c r="AE214" s="5">
        <v>0</v>
      </c>
      <c r="AF214" s="5">
        <v>0</v>
      </c>
      <c r="AG214" s="5">
        <v>1</v>
      </c>
      <c r="AH214" s="5">
        <v>0</v>
      </c>
      <c r="AI214" s="5">
        <v>0</v>
      </c>
      <c r="AJ214" s="5">
        <v>1</v>
      </c>
      <c r="AK214" s="5">
        <v>1</v>
      </c>
      <c r="AL214" s="5">
        <v>1</v>
      </c>
      <c r="AM214" s="5">
        <v>1</v>
      </c>
      <c r="AN214" s="5">
        <v>0</v>
      </c>
      <c r="AO214" s="5">
        <v>1</v>
      </c>
      <c r="AP214" s="5">
        <v>0</v>
      </c>
      <c r="AQ214" s="5">
        <v>1</v>
      </c>
      <c r="AR214" s="5">
        <v>1</v>
      </c>
      <c r="AS214" s="7">
        <f t="shared" si="40"/>
        <v>12</v>
      </c>
      <c r="AT214" s="8">
        <f t="shared" si="41"/>
        <v>0.66666666666666674</v>
      </c>
      <c r="AU214" s="14" t="str">
        <f t="shared" si="42"/>
        <v>INTERMEDIÁRIO</v>
      </c>
      <c r="AV214" s="7">
        <f t="shared" si="43"/>
        <v>26</v>
      </c>
      <c r="AW214" s="8">
        <f t="shared" si="44"/>
        <v>0.72222222222222232</v>
      </c>
    </row>
    <row r="215" spans="1:49" ht="15.75" customHeight="1" x14ac:dyDescent="0.25">
      <c r="A215" s="5" t="s">
        <v>11</v>
      </c>
      <c r="B215" s="7" t="s">
        <v>903</v>
      </c>
      <c r="C215" s="7" t="s">
        <v>1220</v>
      </c>
      <c r="D215" s="7" t="s">
        <v>1097</v>
      </c>
      <c r="E215" s="5" t="s">
        <v>911</v>
      </c>
      <c r="F215" s="5">
        <v>0</v>
      </c>
      <c r="G215" s="5">
        <v>1</v>
      </c>
      <c r="H215" s="5">
        <v>1</v>
      </c>
      <c r="I215" s="5">
        <v>1</v>
      </c>
      <c r="J215" s="5">
        <v>1</v>
      </c>
      <c r="K215" s="5">
        <v>0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0</v>
      </c>
      <c r="R215" s="5">
        <v>1</v>
      </c>
      <c r="S215" s="5">
        <v>1</v>
      </c>
      <c r="T215" s="5">
        <v>1</v>
      </c>
      <c r="U215" s="5">
        <v>1</v>
      </c>
      <c r="V215" s="5">
        <v>1</v>
      </c>
      <c r="W215" s="5">
        <v>1</v>
      </c>
      <c r="X215" s="7">
        <f t="shared" si="37"/>
        <v>15</v>
      </c>
      <c r="Y215" s="8">
        <f t="shared" si="38"/>
        <v>0.83333333333333326</v>
      </c>
      <c r="Z215" s="14" t="str">
        <f t="shared" si="39"/>
        <v>ADEQUADA</v>
      </c>
      <c r="AA215" s="5">
        <v>1</v>
      </c>
      <c r="AB215" s="5">
        <v>1</v>
      </c>
      <c r="AC215" s="5">
        <v>1</v>
      </c>
      <c r="AD215" s="5">
        <v>1</v>
      </c>
      <c r="AE215" s="5">
        <v>0</v>
      </c>
      <c r="AF215" s="5">
        <v>0</v>
      </c>
      <c r="AG215" s="5">
        <v>1</v>
      </c>
      <c r="AH215" s="5">
        <v>1</v>
      </c>
      <c r="AI215" s="5">
        <v>0</v>
      </c>
      <c r="AJ215" s="5">
        <v>1</v>
      </c>
      <c r="AK215" s="5">
        <v>1</v>
      </c>
      <c r="AL215" s="5">
        <v>1</v>
      </c>
      <c r="AM215" s="5">
        <v>1</v>
      </c>
      <c r="AN215" s="5">
        <v>1</v>
      </c>
      <c r="AO215" s="5">
        <v>1</v>
      </c>
      <c r="AP215" s="5">
        <v>0</v>
      </c>
      <c r="AQ215" s="5">
        <v>1</v>
      </c>
      <c r="AR215" s="5">
        <v>1</v>
      </c>
      <c r="AS215" s="7">
        <f t="shared" si="40"/>
        <v>14</v>
      </c>
      <c r="AT215" s="8">
        <f t="shared" si="41"/>
        <v>0.77777777777777768</v>
      </c>
      <c r="AU215" s="14" t="str">
        <f t="shared" si="42"/>
        <v>ADEQUADA</v>
      </c>
      <c r="AV215" s="7">
        <f t="shared" si="43"/>
        <v>29</v>
      </c>
      <c r="AW215" s="8">
        <f t="shared" si="44"/>
        <v>0.80555555555555558</v>
      </c>
    </row>
    <row r="216" spans="1:49" ht="15.75" customHeight="1" x14ac:dyDescent="0.25">
      <c r="A216" s="5" t="s">
        <v>11</v>
      </c>
      <c r="B216" s="7" t="s">
        <v>903</v>
      </c>
      <c r="C216" s="7" t="s">
        <v>1162</v>
      </c>
      <c r="D216" s="7" t="s">
        <v>1097</v>
      </c>
      <c r="E216" s="5" t="s">
        <v>912</v>
      </c>
      <c r="F216" s="5">
        <v>1</v>
      </c>
      <c r="G216" s="5">
        <v>1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>
        <v>1</v>
      </c>
      <c r="P216" s="5">
        <v>1</v>
      </c>
      <c r="Q216" s="5">
        <v>1</v>
      </c>
      <c r="R216" s="5">
        <v>1</v>
      </c>
      <c r="S216" s="5">
        <v>1</v>
      </c>
      <c r="T216" s="5">
        <v>1</v>
      </c>
      <c r="U216" s="5">
        <v>1</v>
      </c>
      <c r="V216" s="5">
        <v>1</v>
      </c>
      <c r="W216" s="5">
        <v>1</v>
      </c>
      <c r="X216" s="7">
        <f t="shared" si="37"/>
        <v>18</v>
      </c>
      <c r="Y216" s="8">
        <f t="shared" si="38"/>
        <v>1</v>
      </c>
      <c r="Z216" s="14" t="str">
        <f t="shared" si="39"/>
        <v>ADEQUADA</v>
      </c>
      <c r="AA216" s="5">
        <v>1</v>
      </c>
      <c r="AB216" s="5">
        <v>1</v>
      </c>
      <c r="AC216" s="5">
        <v>1</v>
      </c>
      <c r="AD216" s="5">
        <v>1</v>
      </c>
      <c r="AE216" s="5">
        <v>0</v>
      </c>
      <c r="AF216" s="5">
        <v>0</v>
      </c>
      <c r="AG216" s="5">
        <v>1</v>
      </c>
      <c r="AH216" s="5">
        <v>1</v>
      </c>
      <c r="AI216" s="5">
        <v>0</v>
      </c>
      <c r="AJ216" s="5">
        <v>0</v>
      </c>
      <c r="AK216" s="5">
        <v>1</v>
      </c>
      <c r="AL216" s="5">
        <v>1</v>
      </c>
      <c r="AM216" s="5">
        <v>0</v>
      </c>
      <c r="AN216" s="5">
        <v>0</v>
      </c>
      <c r="AO216" s="5">
        <v>1</v>
      </c>
      <c r="AP216" s="5">
        <v>0</v>
      </c>
      <c r="AQ216" s="5">
        <v>1</v>
      </c>
      <c r="AR216" s="5">
        <v>1</v>
      </c>
      <c r="AS216" s="7">
        <f t="shared" si="40"/>
        <v>11</v>
      </c>
      <c r="AT216" s="8">
        <f t="shared" si="41"/>
        <v>0.61111111111111116</v>
      </c>
      <c r="AU216" s="14" t="str">
        <f t="shared" si="42"/>
        <v>INTERMEDIÁRIO</v>
      </c>
      <c r="AV216" s="7">
        <f t="shared" si="43"/>
        <v>29</v>
      </c>
      <c r="AW216" s="8">
        <f t="shared" si="44"/>
        <v>0.80555555555555558</v>
      </c>
    </row>
    <row r="217" spans="1:49" ht="15.75" customHeight="1" x14ac:dyDescent="0.25">
      <c r="A217" s="5" t="s">
        <v>11</v>
      </c>
      <c r="B217" s="7" t="s">
        <v>903</v>
      </c>
      <c r="C217" s="7" t="s">
        <v>1104</v>
      </c>
      <c r="D217" s="7" t="s">
        <v>1097</v>
      </c>
      <c r="E217" s="5" t="s">
        <v>913</v>
      </c>
      <c r="F217" s="5">
        <v>1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0</v>
      </c>
      <c r="P217" s="5">
        <v>1</v>
      </c>
      <c r="Q217" s="5">
        <v>0</v>
      </c>
      <c r="R217" s="5">
        <v>1</v>
      </c>
      <c r="S217" s="5">
        <v>1</v>
      </c>
      <c r="T217" s="5">
        <v>1</v>
      </c>
      <c r="U217" s="5">
        <v>1</v>
      </c>
      <c r="V217" s="5">
        <v>1</v>
      </c>
      <c r="W217" s="5">
        <v>1</v>
      </c>
      <c r="X217" s="7">
        <f t="shared" si="37"/>
        <v>16</v>
      </c>
      <c r="Y217" s="8">
        <f t="shared" si="38"/>
        <v>0.88888888888888884</v>
      </c>
      <c r="Z217" s="14" t="str">
        <f t="shared" si="39"/>
        <v>ADEQUADA</v>
      </c>
      <c r="AA217" s="5">
        <v>1</v>
      </c>
      <c r="AB217" s="5">
        <v>1</v>
      </c>
      <c r="AC217" s="5">
        <v>1</v>
      </c>
      <c r="AD217" s="5">
        <v>0</v>
      </c>
      <c r="AE217" s="5">
        <v>0</v>
      </c>
      <c r="AF217" s="5">
        <v>0</v>
      </c>
      <c r="AG217" s="5">
        <v>1</v>
      </c>
      <c r="AH217" s="5">
        <v>1</v>
      </c>
      <c r="AI217" s="5">
        <v>0</v>
      </c>
      <c r="AJ217" s="5">
        <v>1</v>
      </c>
      <c r="AK217" s="5">
        <v>1</v>
      </c>
      <c r="AL217" s="5">
        <v>0</v>
      </c>
      <c r="AM217" s="5">
        <v>1</v>
      </c>
      <c r="AN217" s="5">
        <v>1</v>
      </c>
      <c r="AO217" s="5">
        <v>0</v>
      </c>
      <c r="AP217" s="5">
        <v>1</v>
      </c>
      <c r="AQ217" s="5">
        <v>1</v>
      </c>
      <c r="AR217" s="5">
        <v>0</v>
      </c>
      <c r="AS217" s="7">
        <f t="shared" si="40"/>
        <v>11</v>
      </c>
      <c r="AT217" s="8">
        <f t="shared" si="41"/>
        <v>0.61111111111111116</v>
      </c>
      <c r="AU217" s="14" t="str">
        <f t="shared" si="42"/>
        <v>INTERMEDIÁRIO</v>
      </c>
      <c r="AV217" s="7">
        <f t="shared" si="43"/>
        <v>27</v>
      </c>
      <c r="AW217" s="8">
        <f t="shared" si="44"/>
        <v>0.75</v>
      </c>
    </row>
    <row r="218" spans="1:49" ht="15.75" customHeight="1" x14ac:dyDescent="0.25">
      <c r="A218" s="5" t="s">
        <v>11</v>
      </c>
      <c r="B218" s="7" t="s">
        <v>903</v>
      </c>
      <c r="C218" s="7" t="s">
        <v>1162</v>
      </c>
      <c r="D218" s="7" t="s">
        <v>1097</v>
      </c>
      <c r="E218" s="5" t="s">
        <v>914</v>
      </c>
      <c r="F218" s="5">
        <v>1</v>
      </c>
      <c r="G218" s="5">
        <v>1</v>
      </c>
      <c r="H218" s="5">
        <v>1</v>
      </c>
      <c r="I218" s="5">
        <v>1</v>
      </c>
      <c r="J218" s="5">
        <v>1</v>
      </c>
      <c r="K218" s="5">
        <v>1</v>
      </c>
      <c r="L218" s="5">
        <v>1</v>
      </c>
      <c r="M218" s="5">
        <v>1</v>
      </c>
      <c r="N218" s="5">
        <v>1</v>
      </c>
      <c r="O218" s="5">
        <v>1</v>
      </c>
      <c r="P218" s="5">
        <v>1</v>
      </c>
      <c r="Q218" s="5">
        <v>0</v>
      </c>
      <c r="R218" s="5">
        <v>1</v>
      </c>
      <c r="S218" s="5">
        <v>1</v>
      </c>
      <c r="T218" s="5">
        <v>1</v>
      </c>
      <c r="U218" s="5">
        <v>1</v>
      </c>
      <c r="V218" s="5">
        <v>1</v>
      </c>
      <c r="W218" s="5">
        <v>1</v>
      </c>
      <c r="X218" s="7">
        <f t="shared" si="37"/>
        <v>17</v>
      </c>
      <c r="Y218" s="8">
        <f t="shared" si="38"/>
        <v>0.94444444444444442</v>
      </c>
      <c r="Z218" s="14" t="str">
        <f t="shared" si="39"/>
        <v>ADEQUADA</v>
      </c>
      <c r="AA218" s="5">
        <v>1</v>
      </c>
      <c r="AB218" s="5">
        <v>1</v>
      </c>
      <c r="AC218" s="5">
        <v>1</v>
      </c>
      <c r="AD218" s="5">
        <v>0</v>
      </c>
      <c r="AE218" s="5">
        <v>0</v>
      </c>
      <c r="AF218" s="5">
        <v>1</v>
      </c>
      <c r="AG218" s="5">
        <v>1</v>
      </c>
      <c r="AH218" s="5">
        <v>1</v>
      </c>
      <c r="AI218" s="5">
        <v>0</v>
      </c>
      <c r="AJ218" s="5">
        <v>0</v>
      </c>
      <c r="AK218" s="5">
        <v>1</v>
      </c>
      <c r="AL218" s="5">
        <v>1</v>
      </c>
      <c r="AM218" s="5">
        <v>0</v>
      </c>
      <c r="AN218" s="5">
        <v>1</v>
      </c>
      <c r="AO218" s="5">
        <v>0</v>
      </c>
      <c r="AP218" s="5">
        <v>0</v>
      </c>
      <c r="AQ218" s="5">
        <v>0</v>
      </c>
      <c r="AR218" s="5">
        <v>1</v>
      </c>
      <c r="AS218" s="7">
        <f t="shared" si="40"/>
        <v>10</v>
      </c>
      <c r="AT218" s="8">
        <f t="shared" si="41"/>
        <v>0.55555555555555558</v>
      </c>
      <c r="AU218" s="14" t="str">
        <f t="shared" si="42"/>
        <v>INTERMEDIÁRIO</v>
      </c>
      <c r="AV218" s="7">
        <f t="shared" si="43"/>
        <v>27</v>
      </c>
      <c r="AW218" s="8">
        <f t="shared" si="44"/>
        <v>0.75</v>
      </c>
    </row>
    <row r="219" spans="1:49" ht="15.75" customHeight="1" x14ac:dyDescent="0.25">
      <c r="A219" s="5" t="s">
        <v>11</v>
      </c>
      <c r="B219" s="7" t="s">
        <v>903</v>
      </c>
      <c r="C219" s="7" t="s">
        <v>1162</v>
      </c>
      <c r="D219" s="7" t="s">
        <v>1097</v>
      </c>
      <c r="E219" s="5" t="s">
        <v>915</v>
      </c>
      <c r="F219" s="5">
        <v>1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5">
        <v>1</v>
      </c>
      <c r="O219" s="5">
        <v>1</v>
      </c>
      <c r="P219" s="5">
        <v>1</v>
      </c>
      <c r="Q219" s="5">
        <v>1</v>
      </c>
      <c r="R219" s="5">
        <v>1</v>
      </c>
      <c r="S219" s="5">
        <v>1</v>
      </c>
      <c r="T219" s="5">
        <v>1</v>
      </c>
      <c r="U219" s="5">
        <v>1</v>
      </c>
      <c r="V219" s="5">
        <v>1</v>
      </c>
      <c r="W219" s="5">
        <v>1</v>
      </c>
      <c r="X219" s="7">
        <f t="shared" si="37"/>
        <v>18</v>
      </c>
      <c r="Y219" s="8">
        <f t="shared" si="38"/>
        <v>1</v>
      </c>
      <c r="Z219" s="14" t="str">
        <f t="shared" si="39"/>
        <v>ADEQUADA</v>
      </c>
      <c r="AA219" s="5">
        <v>1</v>
      </c>
      <c r="AB219" s="5">
        <v>1</v>
      </c>
      <c r="AC219" s="5">
        <v>1</v>
      </c>
      <c r="AD219" s="5">
        <v>1</v>
      </c>
      <c r="AE219" s="5">
        <v>0</v>
      </c>
      <c r="AF219" s="5">
        <v>1</v>
      </c>
      <c r="AG219" s="5">
        <v>1</v>
      </c>
      <c r="AH219" s="5">
        <v>1</v>
      </c>
      <c r="AI219" s="5">
        <v>0</v>
      </c>
      <c r="AJ219" s="5">
        <v>0</v>
      </c>
      <c r="AK219" s="5">
        <v>1</v>
      </c>
      <c r="AL219" s="5">
        <v>1</v>
      </c>
      <c r="AM219" s="5">
        <v>1</v>
      </c>
      <c r="AN219" s="5">
        <v>1</v>
      </c>
      <c r="AO219" s="5">
        <v>0</v>
      </c>
      <c r="AP219" s="5">
        <v>0</v>
      </c>
      <c r="AQ219" s="5">
        <v>1</v>
      </c>
      <c r="AR219" s="5">
        <v>1</v>
      </c>
      <c r="AS219" s="7">
        <f t="shared" si="40"/>
        <v>13</v>
      </c>
      <c r="AT219" s="8">
        <f t="shared" si="41"/>
        <v>0.72222222222222232</v>
      </c>
      <c r="AU219" s="14" t="str">
        <f t="shared" si="42"/>
        <v>ADEQUADA</v>
      </c>
      <c r="AV219" s="7">
        <f t="shared" si="43"/>
        <v>31</v>
      </c>
      <c r="AW219" s="8">
        <f t="shared" si="44"/>
        <v>0.86111111111111116</v>
      </c>
    </row>
    <row r="220" spans="1:49" ht="15.75" customHeight="1" x14ac:dyDescent="0.25">
      <c r="A220" s="5" t="s">
        <v>11</v>
      </c>
      <c r="B220" s="7" t="s">
        <v>1241</v>
      </c>
      <c r="C220" s="7" t="s">
        <v>1220</v>
      </c>
      <c r="D220" s="7" t="s">
        <v>1097</v>
      </c>
      <c r="E220" s="5" t="s">
        <v>1242</v>
      </c>
      <c r="F220" s="5">
        <v>0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v>1</v>
      </c>
      <c r="Q220" s="5">
        <v>1</v>
      </c>
      <c r="R220" s="5">
        <v>1</v>
      </c>
      <c r="S220" s="5">
        <v>1</v>
      </c>
      <c r="T220" s="5">
        <v>1</v>
      </c>
      <c r="U220" s="5">
        <v>1</v>
      </c>
      <c r="V220" s="5">
        <v>1</v>
      </c>
      <c r="W220" s="5">
        <v>1</v>
      </c>
      <c r="X220" s="7">
        <f t="shared" si="37"/>
        <v>17</v>
      </c>
      <c r="Y220" s="8">
        <f t="shared" si="38"/>
        <v>0.94444444444444442</v>
      </c>
      <c r="Z220" s="14" t="str">
        <f t="shared" si="39"/>
        <v>ADEQUADA</v>
      </c>
      <c r="AA220" s="5">
        <v>1</v>
      </c>
      <c r="AB220" s="5">
        <v>1</v>
      </c>
      <c r="AC220" s="5">
        <v>0</v>
      </c>
      <c r="AD220" s="5">
        <v>1</v>
      </c>
      <c r="AE220" s="5">
        <v>0</v>
      </c>
      <c r="AF220" s="5">
        <v>0</v>
      </c>
      <c r="AG220" s="5">
        <v>1</v>
      </c>
      <c r="AH220" s="5">
        <v>0</v>
      </c>
      <c r="AI220" s="5">
        <v>0</v>
      </c>
      <c r="AJ220" s="5">
        <v>0</v>
      </c>
      <c r="AK220" s="5">
        <v>1</v>
      </c>
      <c r="AL220" s="5">
        <v>1</v>
      </c>
      <c r="AM220" s="5">
        <v>1</v>
      </c>
      <c r="AN220" s="5">
        <v>1</v>
      </c>
      <c r="AO220" s="5">
        <v>1</v>
      </c>
      <c r="AP220" s="5">
        <v>0</v>
      </c>
      <c r="AQ220" s="5">
        <v>1</v>
      </c>
      <c r="AR220" s="5">
        <v>1</v>
      </c>
      <c r="AS220" s="7">
        <f t="shared" si="40"/>
        <v>11</v>
      </c>
      <c r="AT220" s="8">
        <f t="shared" si="41"/>
        <v>0.61111111111111116</v>
      </c>
      <c r="AU220" s="14" t="str">
        <f t="shared" si="42"/>
        <v>INTERMEDIÁRIO</v>
      </c>
      <c r="AV220" s="7">
        <f t="shared" si="43"/>
        <v>28</v>
      </c>
      <c r="AW220" s="8">
        <f t="shared" si="44"/>
        <v>0.77777777777777768</v>
      </c>
    </row>
    <row r="221" spans="1:49" ht="15.75" customHeight="1" x14ac:dyDescent="0.25">
      <c r="A221" s="5" t="s">
        <v>11</v>
      </c>
      <c r="B221" s="7" t="s">
        <v>903</v>
      </c>
      <c r="C221" s="7" t="s">
        <v>1162</v>
      </c>
      <c r="D221" s="7" t="s">
        <v>1097</v>
      </c>
      <c r="E221" s="5" t="s">
        <v>916</v>
      </c>
      <c r="F221" s="5">
        <v>1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5">
        <v>1</v>
      </c>
      <c r="Q221" s="5">
        <v>1</v>
      </c>
      <c r="R221" s="5">
        <v>1</v>
      </c>
      <c r="S221" s="5">
        <v>1</v>
      </c>
      <c r="T221" s="5">
        <v>1</v>
      </c>
      <c r="U221" s="5">
        <v>1</v>
      </c>
      <c r="V221" s="5">
        <v>1</v>
      </c>
      <c r="W221" s="5">
        <v>1</v>
      </c>
      <c r="X221" s="7">
        <f t="shared" si="37"/>
        <v>18</v>
      </c>
      <c r="Y221" s="8">
        <f t="shared" si="38"/>
        <v>1</v>
      </c>
      <c r="Z221" s="14" t="str">
        <f t="shared" si="39"/>
        <v>ADEQUADA</v>
      </c>
      <c r="AA221" s="5">
        <v>1</v>
      </c>
      <c r="AB221" s="5">
        <v>1</v>
      </c>
      <c r="AC221" s="5">
        <v>1</v>
      </c>
      <c r="AD221" s="5">
        <v>1</v>
      </c>
      <c r="AE221" s="5">
        <v>0</v>
      </c>
      <c r="AF221" s="5">
        <v>1</v>
      </c>
      <c r="AG221" s="5">
        <v>1</v>
      </c>
      <c r="AH221" s="5">
        <v>1</v>
      </c>
      <c r="AI221" s="5">
        <v>0</v>
      </c>
      <c r="AJ221" s="5">
        <v>1</v>
      </c>
      <c r="AK221" s="5">
        <v>1</v>
      </c>
      <c r="AL221" s="5">
        <v>0</v>
      </c>
      <c r="AM221" s="5">
        <v>1</v>
      </c>
      <c r="AN221" s="5">
        <v>1</v>
      </c>
      <c r="AO221" s="5">
        <v>0</v>
      </c>
      <c r="AP221" s="5">
        <v>0</v>
      </c>
      <c r="AQ221" s="5">
        <v>1</v>
      </c>
      <c r="AR221" s="5">
        <v>1</v>
      </c>
      <c r="AS221" s="7">
        <f t="shared" si="40"/>
        <v>13</v>
      </c>
      <c r="AT221" s="8">
        <f t="shared" si="41"/>
        <v>0.72222222222222232</v>
      </c>
      <c r="AU221" s="14" t="str">
        <f t="shared" si="42"/>
        <v>ADEQUADA</v>
      </c>
      <c r="AV221" s="7">
        <f t="shared" si="43"/>
        <v>31</v>
      </c>
      <c r="AW221" s="8">
        <f t="shared" si="44"/>
        <v>0.86111111111111116</v>
      </c>
    </row>
    <row r="222" spans="1:49" ht="15.75" customHeight="1" x14ac:dyDescent="0.25">
      <c r="A222" s="5" t="s">
        <v>11</v>
      </c>
      <c r="B222" s="7" t="s">
        <v>903</v>
      </c>
      <c r="C222" s="7" t="s">
        <v>1104</v>
      </c>
      <c r="D222" s="7" t="s">
        <v>1097</v>
      </c>
      <c r="E222" s="5" t="s">
        <v>917</v>
      </c>
      <c r="F222" s="5">
        <v>1</v>
      </c>
      <c r="G222" s="5">
        <v>0</v>
      </c>
      <c r="H222" s="5">
        <v>0</v>
      </c>
      <c r="I222" s="5">
        <v>1</v>
      </c>
      <c r="J222" s="5">
        <v>1</v>
      </c>
      <c r="K222" s="5">
        <v>1</v>
      </c>
      <c r="L222" s="5">
        <v>1</v>
      </c>
      <c r="M222" s="5">
        <v>0</v>
      </c>
      <c r="N222" s="5">
        <v>1</v>
      </c>
      <c r="O222" s="5">
        <v>0</v>
      </c>
      <c r="P222" s="5">
        <v>1</v>
      </c>
      <c r="Q222" s="5">
        <v>0</v>
      </c>
      <c r="R222" s="5">
        <v>0</v>
      </c>
      <c r="S222" s="5">
        <v>1</v>
      </c>
      <c r="T222" s="5">
        <v>1</v>
      </c>
      <c r="U222" s="5">
        <v>1</v>
      </c>
      <c r="V222" s="5">
        <v>0</v>
      </c>
      <c r="W222" s="5">
        <v>1</v>
      </c>
      <c r="X222" s="7">
        <f t="shared" si="37"/>
        <v>11</v>
      </c>
      <c r="Y222" s="8">
        <f t="shared" si="38"/>
        <v>0.61111111111111116</v>
      </c>
      <c r="Z222" s="14" t="str">
        <f t="shared" si="39"/>
        <v>INTERMEDIÁRIO</v>
      </c>
      <c r="AA222" s="5">
        <v>1</v>
      </c>
      <c r="AB222" s="5">
        <v>1</v>
      </c>
      <c r="AC222" s="5">
        <v>1</v>
      </c>
      <c r="AD222" s="5">
        <v>1</v>
      </c>
      <c r="AE222" s="5">
        <v>0</v>
      </c>
      <c r="AF222" s="5">
        <v>0</v>
      </c>
      <c r="AG222" s="5">
        <v>1</v>
      </c>
      <c r="AH222" s="5">
        <v>1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1</v>
      </c>
      <c r="AO222" s="5">
        <v>0</v>
      </c>
      <c r="AP222" s="5">
        <v>0</v>
      </c>
      <c r="AQ222" s="5">
        <v>1</v>
      </c>
      <c r="AR222" s="5">
        <v>1</v>
      </c>
      <c r="AS222" s="7">
        <f t="shared" si="40"/>
        <v>9</v>
      </c>
      <c r="AT222" s="8">
        <f t="shared" si="41"/>
        <v>0.5</v>
      </c>
      <c r="AU222" s="14" t="str">
        <f t="shared" si="42"/>
        <v>INTERMEDIÁRIO</v>
      </c>
      <c r="AV222" s="7">
        <f t="shared" si="43"/>
        <v>20</v>
      </c>
      <c r="AW222" s="8">
        <f t="shared" si="44"/>
        <v>0.55555555555555558</v>
      </c>
    </row>
    <row r="223" spans="1:49" ht="15.75" customHeight="1" x14ac:dyDescent="0.25">
      <c r="A223" s="5" t="s">
        <v>11</v>
      </c>
      <c r="B223" s="7" t="s">
        <v>903</v>
      </c>
      <c r="C223" s="7" t="s">
        <v>1162</v>
      </c>
      <c r="D223" s="7" t="s">
        <v>1097</v>
      </c>
      <c r="E223" s="5" t="s">
        <v>918</v>
      </c>
      <c r="F223" s="5">
        <v>1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v>1</v>
      </c>
      <c r="Q223" s="5">
        <v>1</v>
      </c>
      <c r="R223" s="5">
        <v>1</v>
      </c>
      <c r="S223" s="5">
        <v>1</v>
      </c>
      <c r="T223" s="5">
        <v>1</v>
      </c>
      <c r="U223" s="5">
        <v>1</v>
      </c>
      <c r="V223" s="5">
        <v>1</v>
      </c>
      <c r="W223" s="5">
        <v>1</v>
      </c>
      <c r="X223" s="7">
        <f t="shared" si="37"/>
        <v>18</v>
      </c>
      <c r="Y223" s="8">
        <f t="shared" si="38"/>
        <v>1</v>
      </c>
      <c r="Z223" s="14" t="str">
        <f t="shared" si="39"/>
        <v>ADEQUADA</v>
      </c>
      <c r="AA223" s="5">
        <v>1</v>
      </c>
      <c r="AB223" s="5">
        <v>1</v>
      </c>
      <c r="AC223" s="5">
        <v>1</v>
      </c>
      <c r="AD223" s="5">
        <v>0</v>
      </c>
      <c r="AE223" s="5">
        <v>0</v>
      </c>
      <c r="AF223" s="5">
        <v>1</v>
      </c>
      <c r="AG223" s="5">
        <v>1</v>
      </c>
      <c r="AH223" s="5">
        <v>1</v>
      </c>
      <c r="AI223" s="5">
        <v>0</v>
      </c>
      <c r="AJ223" s="5">
        <v>1</v>
      </c>
      <c r="AK223" s="5">
        <v>1</v>
      </c>
      <c r="AL223" s="5">
        <v>0</v>
      </c>
      <c r="AM223" s="5">
        <v>1</v>
      </c>
      <c r="AN223" s="5">
        <v>1</v>
      </c>
      <c r="AO223" s="5">
        <v>1</v>
      </c>
      <c r="AP223" s="5">
        <v>0</v>
      </c>
      <c r="AQ223" s="5">
        <v>1</v>
      </c>
      <c r="AR223" s="5">
        <v>1</v>
      </c>
      <c r="AS223" s="7">
        <f t="shared" si="40"/>
        <v>13</v>
      </c>
      <c r="AT223" s="8">
        <f t="shared" si="41"/>
        <v>0.72222222222222232</v>
      </c>
      <c r="AU223" s="14" t="str">
        <f t="shared" si="42"/>
        <v>ADEQUADA</v>
      </c>
      <c r="AV223" s="7">
        <f t="shared" si="43"/>
        <v>31</v>
      </c>
      <c r="AW223" s="8">
        <f t="shared" si="44"/>
        <v>0.86111111111111116</v>
      </c>
    </row>
    <row r="224" spans="1:49" ht="15.75" customHeight="1" x14ac:dyDescent="0.25">
      <c r="A224" s="5" t="s">
        <v>11</v>
      </c>
      <c r="B224" s="7" t="s">
        <v>903</v>
      </c>
      <c r="C224" s="7" t="s">
        <v>1162</v>
      </c>
      <c r="D224" s="7" t="s">
        <v>1097</v>
      </c>
      <c r="E224" s="5" t="s">
        <v>919</v>
      </c>
      <c r="F224" s="5">
        <v>1</v>
      </c>
      <c r="G224" s="5">
        <v>1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0</v>
      </c>
      <c r="P224" s="5">
        <v>1</v>
      </c>
      <c r="Q224" s="5">
        <v>0</v>
      </c>
      <c r="R224" s="5">
        <v>1</v>
      </c>
      <c r="S224" s="5">
        <v>1</v>
      </c>
      <c r="T224" s="5">
        <v>1</v>
      </c>
      <c r="U224" s="5">
        <v>1</v>
      </c>
      <c r="V224" s="5">
        <v>1</v>
      </c>
      <c r="W224" s="5">
        <v>1</v>
      </c>
      <c r="X224" s="7">
        <f t="shared" si="37"/>
        <v>16</v>
      </c>
      <c r="Y224" s="8">
        <f t="shared" si="38"/>
        <v>0.88888888888888884</v>
      </c>
      <c r="Z224" s="14" t="str">
        <f t="shared" si="39"/>
        <v>ADEQUADA</v>
      </c>
      <c r="AA224" s="5">
        <v>1</v>
      </c>
      <c r="AB224" s="5">
        <v>1</v>
      </c>
      <c r="AC224" s="5">
        <v>0</v>
      </c>
      <c r="AD224" s="5">
        <v>1</v>
      </c>
      <c r="AE224" s="5">
        <v>0</v>
      </c>
      <c r="AF224" s="5">
        <v>0</v>
      </c>
      <c r="AG224" s="5">
        <v>1</v>
      </c>
      <c r="AH224" s="5">
        <v>1</v>
      </c>
      <c r="AI224" s="5">
        <v>0</v>
      </c>
      <c r="AJ224" s="5">
        <v>0</v>
      </c>
      <c r="AK224" s="5">
        <v>1</v>
      </c>
      <c r="AL224" s="5">
        <v>0</v>
      </c>
      <c r="AM224" s="5">
        <v>1</v>
      </c>
      <c r="AN224" s="5">
        <v>0</v>
      </c>
      <c r="AO224" s="5">
        <v>0</v>
      </c>
      <c r="AP224" s="5">
        <v>0</v>
      </c>
      <c r="AQ224" s="5">
        <v>1</v>
      </c>
      <c r="AR224" s="5">
        <v>1</v>
      </c>
      <c r="AS224" s="7">
        <f t="shared" si="40"/>
        <v>9</v>
      </c>
      <c r="AT224" s="8">
        <f t="shared" si="41"/>
        <v>0.5</v>
      </c>
      <c r="AU224" s="14" t="str">
        <f t="shared" si="42"/>
        <v>INTERMEDIÁRIO</v>
      </c>
      <c r="AV224" s="7">
        <f t="shared" si="43"/>
        <v>25</v>
      </c>
      <c r="AW224" s="8">
        <f t="shared" si="44"/>
        <v>0.69444444444444442</v>
      </c>
    </row>
    <row r="225" spans="1:49" ht="15.75" customHeight="1" x14ac:dyDescent="0.25">
      <c r="A225" s="5" t="s">
        <v>11</v>
      </c>
      <c r="B225" s="7" t="s">
        <v>903</v>
      </c>
      <c r="C225" s="7" t="s">
        <v>1162</v>
      </c>
      <c r="D225" s="7" t="s">
        <v>1097</v>
      </c>
      <c r="E225" s="5" t="s">
        <v>920</v>
      </c>
      <c r="F225" s="5">
        <v>1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v>1</v>
      </c>
      <c r="Q225" s="5">
        <v>1</v>
      </c>
      <c r="R225" s="5">
        <v>1</v>
      </c>
      <c r="S225" s="5">
        <v>1</v>
      </c>
      <c r="T225" s="5">
        <v>1</v>
      </c>
      <c r="U225" s="5">
        <v>1</v>
      </c>
      <c r="V225" s="5">
        <v>1</v>
      </c>
      <c r="W225" s="5">
        <v>1</v>
      </c>
      <c r="X225" s="7">
        <f t="shared" si="37"/>
        <v>18</v>
      </c>
      <c r="Y225" s="8">
        <f t="shared" si="38"/>
        <v>1</v>
      </c>
      <c r="Z225" s="14" t="str">
        <f t="shared" si="39"/>
        <v>ADEQUADA</v>
      </c>
      <c r="AA225" s="5">
        <v>1</v>
      </c>
      <c r="AB225" s="5">
        <v>1</v>
      </c>
      <c r="AC225" s="5">
        <v>1</v>
      </c>
      <c r="AD225" s="5">
        <v>1</v>
      </c>
      <c r="AE225" s="5">
        <v>0</v>
      </c>
      <c r="AF225" s="5">
        <v>0</v>
      </c>
      <c r="AG225" s="5">
        <v>1</v>
      </c>
      <c r="AH225" s="5">
        <v>0</v>
      </c>
      <c r="AI225" s="5">
        <v>0</v>
      </c>
      <c r="AJ225" s="5">
        <v>1</v>
      </c>
      <c r="AK225" s="5">
        <v>1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1</v>
      </c>
      <c r="AR225" s="5">
        <v>1</v>
      </c>
      <c r="AS225" s="7">
        <f t="shared" si="40"/>
        <v>9</v>
      </c>
      <c r="AT225" s="8">
        <f t="shared" si="41"/>
        <v>0.5</v>
      </c>
      <c r="AU225" s="14" t="str">
        <f t="shared" si="42"/>
        <v>INTERMEDIÁRIO</v>
      </c>
      <c r="AV225" s="7">
        <f t="shared" si="43"/>
        <v>27</v>
      </c>
      <c r="AW225" s="8">
        <f t="shared" si="44"/>
        <v>0.75</v>
      </c>
    </row>
    <row r="226" spans="1:49" ht="15.75" customHeight="1" x14ac:dyDescent="0.25">
      <c r="A226" s="5" t="s">
        <v>11</v>
      </c>
      <c r="B226" s="7" t="s">
        <v>903</v>
      </c>
      <c r="C226" s="7" t="s">
        <v>1162</v>
      </c>
      <c r="D226" s="7" t="s">
        <v>1097</v>
      </c>
      <c r="E226" s="5" t="s">
        <v>921</v>
      </c>
      <c r="F226" s="5">
        <v>1</v>
      </c>
      <c r="G226" s="5">
        <v>1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1</v>
      </c>
      <c r="P226" s="5">
        <v>1</v>
      </c>
      <c r="Q226" s="5">
        <v>1</v>
      </c>
      <c r="R226" s="5">
        <v>1</v>
      </c>
      <c r="S226" s="5">
        <v>1</v>
      </c>
      <c r="T226" s="5">
        <v>1</v>
      </c>
      <c r="U226" s="5">
        <v>1</v>
      </c>
      <c r="V226" s="5">
        <v>1</v>
      </c>
      <c r="W226" s="5">
        <v>1</v>
      </c>
      <c r="X226" s="7">
        <f t="shared" si="37"/>
        <v>18</v>
      </c>
      <c r="Y226" s="8">
        <f t="shared" si="38"/>
        <v>1</v>
      </c>
      <c r="Z226" s="14" t="str">
        <f t="shared" si="39"/>
        <v>ADEQUADA</v>
      </c>
      <c r="AA226" s="5">
        <v>1</v>
      </c>
      <c r="AB226" s="5">
        <v>1</v>
      </c>
      <c r="AC226" s="5">
        <v>1</v>
      </c>
      <c r="AD226" s="5">
        <v>0</v>
      </c>
      <c r="AE226" s="5">
        <v>0</v>
      </c>
      <c r="AF226" s="5">
        <v>1</v>
      </c>
      <c r="AG226" s="5">
        <v>1</v>
      </c>
      <c r="AH226" s="5">
        <v>1</v>
      </c>
      <c r="AI226" s="5">
        <v>0</v>
      </c>
      <c r="AJ226" s="5">
        <v>0</v>
      </c>
      <c r="AK226" s="5">
        <v>1</v>
      </c>
      <c r="AL226" s="5">
        <v>1</v>
      </c>
      <c r="AM226" s="5">
        <v>0</v>
      </c>
      <c r="AN226" s="5">
        <v>1</v>
      </c>
      <c r="AO226" s="5">
        <v>0</v>
      </c>
      <c r="AP226" s="5">
        <v>0</v>
      </c>
      <c r="AQ226" s="5">
        <v>0</v>
      </c>
      <c r="AR226" s="5">
        <v>1</v>
      </c>
      <c r="AS226" s="7">
        <f t="shared" si="40"/>
        <v>10</v>
      </c>
      <c r="AT226" s="8">
        <f t="shared" si="41"/>
        <v>0.55555555555555558</v>
      </c>
      <c r="AU226" s="14" t="str">
        <f t="shared" si="42"/>
        <v>INTERMEDIÁRIO</v>
      </c>
      <c r="AV226" s="7">
        <f t="shared" si="43"/>
        <v>28</v>
      </c>
      <c r="AW226" s="8">
        <f t="shared" si="44"/>
        <v>0.77777777777777768</v>
      </c>
    </row>
    <row r="227" spans="1:49" ht="15.75" customHeight="1" x14ac:dyDescent="0.25">
      <c r="A227" s="5" t="s">
        <v>11</v>
      </c>
      <c r="B227" s="7" t="s">
        <v>903</v>
      </c>
      <c r="C227" s="7" t="s">
        <v>1162</v>
      </c>
      <c r="D227" s="7" t="s">
        <v>1097</v>
      </c>
      <c r="E227" s="5" t="s">
        <v>922</v>
      </c>
      <c r="F227" s="5">
        <v>1</v>
      </c>
      <c r="G227" s="5">
        <v>1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5">
        <v>1</v>
      </c>
      <c r="Q227" s="5">
        <v>1</v>
      </c>
      <c r="R227" s="5">
        <v>1</v>
      </c>
      <c r="S227" s="5">
        <v>1</v>
      </c>
      <c r="T227" s="5">
        <v>1</v>
      </c>
      <c r="U227" s="5">
        <v>1</v>
      </c>
      <c r="V227" s="5">
        <v>1</v>
      </c>
      <c r="W227" s="5">
        <v>1</v>
      </c>
      <c r="X227" s="7">
        <f t="shared" si="37"/>
        <v>18</v>
      </c>
      <c r="Y227" s="8">
        <f t="shared" si="38"/>
        <v>1</v>
      </c>
      <c r="Z227" s="14" t="str">
        <f t="shared" si="39"/>
        <v>ADEQUADA</v>
      </c>
      <c r="AA227" s="5">
        <v>1</v>
      </c>
      <c r="AB227" s="5">
        <v>1</v>
      </c>
      <c r="AC227" s="5">
        <v>1</v>
      </c>
      <c r="AD227" s="5">
        <v>1</v>
      </c>
      <c r="AE227" s="5">
        <v>0</v>
      </c>
      <c r="AF227" s="5">
        <v>1</v>
      </c>
      <c r="AG227" s="5">
        <v>1</v>
      </c>
      <c r="AH227" s="5">
        <v>1</v>
      </c>
      <c r="AI227" s="5">
        <v>0</v>
      </c>
      <c r="AJ227" s="5">
        <v>0</v>
      </c>
      <c r="AK227" s="5">
        <v>1</v>
      </c>
      <c r="AL227" s="5">
        <v>1</v>
      </c>
      <c r="AM227" s="5">
        <v>1</v>
      </c>
      <c r="AN227" s="5">
        <v>1</v>
      </c>
      <c r="AO227" s="5">
        <v>0</v>
      </c>
      <c r="AP227" s="5">
        <v>0</v>
      </c>
      <c r="AQ227" s="5">
        <v>1</v>
      </c>
      <c r="AR227" s="5">
        <v>1</v>
      </c>
      <c r="AS227" s="7">
        <f t="shared" si="40"/>
        <v>13</v>
      </c>
      <c r="AT227" s="8">
        <f t="shared" si="41"/>
        <v>0.72222222222222232</v>
      </c>
      <c r="AU227" s="14" t="str">
        <f t="shared" si="42"/>
        <v>ADEQUADA</v>
      </c>
      <c r="AV227" s="7">
        <f t="shared" si="43"/>
        <v>31</v>
      </c>
      <c r="AW227" s="8">
        <f t="shared" si="44"/>
        <v>0.86111111111111116</v>
      </c>
    </row>
    <row r="228" spans="1:49" ht="15.75" customHeight="1" x14ac:dyDescent="0.25">
      <c r="A228" s="5" t="s">
        <v>11</v>
      </c>
      <c r="B228" s="7" t="s">
        <v>903</v>
      </c>
      <c r="C228" s="7" t="s">
        <v>1162</v>
      </c>
      <c r="D228" s="7" t="s">
        <v>1097</v>
      </c>
      <c r="E228" s="5" t="s">
        <v>923</v>
      </c>
      <c r="F228" s="5">
        <v>1</v>
      </c>
      <c r="G228" s="5">
        <v>1</v>
      </c>
      <c r="H228" s="5">
        <v>1</v>
      </c>
      <c r="I228" s="5">
        <v>1</v>
      </c>
      <c r="J228" s="5">
        <v>1</v>
      </c>
      <c r="K228" s="5">
        <v>1</v>
      </c>
      <c r="L228" s="5">
        <v>0</v>
      </c>
      <c r="M228" s="5">
        <v>1</v>
      </c>
      <c r="N228" s="5">
        <v>1</v>
      </c>
      <c r="O228" s="5">
        <v>1</v>
      </c>
      <c r="P228" s="5">
        <v>1</v>
      </c>
      <c r="Q228" s="5">
        <v>1</v>
      </c>
      <c r="R228" s="5">
        <v>1</v>
      </c>
      <c r="S228" s="5">
        <v>1</v>
      </c>
      <c r="T228" s="5">
        <v>1</v>
      </c>
      <c r="U228" s="5">
        <v>1</v>
      </c>
      <c r="V228" s="5">
        <v>0</v>
      </c>
      <c r="W228" s="5">
        <v>1</v>
      </c>
      <c r="X228" s="7">
        <f t="shared" si="37"/>
        <v>16</v>
      </c>
      <c r="Y228" s="8">
        <f t="shared" si="38"/>
        <v>0.88888888888888884</v>
      </c>
      <c r="Z228" s="14" t="str">
        <f t="shared" si="39"/>
        <v>ADEQUADA</v>
      </c>
      <c r="AA228" s="5">
        <v>1</v>
      </c>
      <c r="AB228" s="5">
        <v>1</v>
      </c>
      <c r="AC228" s="5">
        <v>1</v>
      </c>
      <c r="AD228" s="5">
        <v>0</v>
      </c>
      <c r="AE228" s="5">
        <v>1</v>
      </c>
      <c r="AF228" s="5">
        <v>1</v>
      </c>
      <c r="AG228" s="5">
        <v>1</v>
      </c>
      <c r="AH228" s="5">
        <v>1</v>
      </c>
      <c r="AI228" s="5">
        <v>0</v>
      </c>
      <c r="AJ228" s="5">
        <v>1</v>
      </c>
      <c r="AK228" s="5">
        <v>1</v>
      </c>
      <c r="AL228" s="5">
        <v>0</v>
      </c>
      <c r="AM228" s="5">
        <v>1</v>
      </c>
      <c r="AN228" s="5">
        <v>1</v>
      </c>
      <c r="AO228" s="5">
        <v>1</v>
      </c>
      <c r="AP228" s="5">
        <v>0</v>
      </c>
      <c r="AQ228" s="5">
        <v>1</v>
      </c>
      <c r="AR228" s="5">
        <v>1</v>
      </c>
      <c r="AS228" s="7">
        <f t="shared" si="40"/>
        <v>14</v>
      </c>
      <c r="AT228" s="8">
        <f t="shared" si="41"/>
        <v>0.77777777777777768</v>
      </c>
      <c r="AU228" s="14" t="str">
        <f t="shared" si="42"/>
        <v>ADEQUADA</v>
      </c>
      <c r="AV228" s="7">
        <f t="shared" si="43"/>
        <v>30</v>
      </c>
      <c r="AW228" s="8">
        <f t="shared" si="44"/>
        <v>0.83333333333333326</v>
      </c>
    </row>
    <row r="229" spans="1:49" ht="15.75" customHeight="1" x14ac:dyDescent="0.25">
      <c r="A229" s="5" t="s">
        <v>11</v>
      </c>
      <c r="B229" s="7" t="s">
        <v>903</v>
      </c>
      <c r="C229" s="7" t="s">
        <v>1162</v>
      </c>
      <c r="D229" s="7" t="s">
        <v>1097</v>
      </c>
      <c r="E229" s="5" t="s">
        <v>924</v>
      </c>
      <c r="F229" s="5">
        <v>1</v>
      </c>
      <c r="G229" s="5">
        <v>1</v>
      </c>
      <c r="H229" s="5">
        <v>1</v>
      </c>
      <c r="I229" s="5">
        <v>1</v>
      </c>
      <c r="J229" s="5">
        <v>1</v>
      </c>
      <c r="K229" s="5">
        <v>1</v>
      </c>
      <c r="L229" s="5">
        <v>1</v>
      </c>
      <c r="M229" s="5">
        <v>1</v>
      </c>
      <c r="N229" s="5">
        <v>1</v>
      </c>
      <c r="O229" s="5">
        <v>1</v>
      </c>
      <c r="P229" s="5">
        <v>1</v>
      </c>
      <c r="Q229" s="5">
        <v>1</v>
      </c>
      <c r="R229" s="5">
        <v>1</v>
      </c>
      <c r="S229" s="5">
        <v>1</v>
      </c>
      <c r="T229" s="5">
        <v>1</v>
      </c>
      <c r="U229" s="5">
        <v>1</v>
      </c>
      <c r="V229" s="5">
        <v>1</v>
      </c>
      <c r="W229" s="5">
        <v>1</v>
      </c>
      <c r="X229" s="7">
        <f t="shared" si="37"/>
        <v>18</v>
      </c>
      <c r="Y229" s="8">
        <f t="shared" si="38"/>
        <v>1</v>
      </c>
      <c r="Z229" s="14" t="str">
        <f t="shared" si="39"/>
        <v>ADEQUADA</v>
      </c>
      <c r="AA229" s="5">
        <v>1</v>
      </c>
      <c r="AB229" s="5">
        <v>1</v>
      </c>
      <c r="AC229" s="5">
        <v>1</v>
      </c>
      <c r="AD229" s="5">
        <v>1</v>
      </c>
      <c r="AE229" s="5">
        <v>1</v>
      </c>
      <c r="AF229" s="5">
        <v>1</v>
      </c>
      <c r="AG229" s="5">
        <v>1</v>
      </c>
      <c r="AH229" s="5">
        <v>1</v>
      </c>
      <c r="AI229" s="5">
        <v>0</v>
      </c>
      <c r="AJ229" s="5">
        <v>1</v>
      </c>
      <c r="AK229" s="5">
        <v>1</v>
      </c>
      <c r="AL229" s="5">
        <v>1</v>
      </c>
      <c r="AM229" s="5">
        <v>1</v>
      </c>
      <c r="AN229" s="5">
        <v>0</v>
      </c>
      <c r="AO229" s="5">
        <v>1</v>
      </c>
      <c r="AP229" s="5">
        <v>0</v>
      </c>
      <c r="AQ229" s="5">
        <v>1</v>
      </c>
      <c r="AR229" s="5">
        <v>1</v>
      </c>
      <c r="AS229" s="7">
        <f t="shared" si="40"/>
        <v>15</v>
      </c>
      <c r="AT229" s="8">
        <f t="shared" si="41"/>
        <v>0.83333333333333326</v>
      </c>
      <c r="AU229" s="14" t="str">
        <f t="shared" si="42"/>
        <v>ADEQUADA</v>
      </c>
      <c r="AV229" s="7">
        <f t="shared" si="43"/>
        <v>33</v>
      </c>
      <c r="AW229" s="8">
        <f t="shared" si="44"/>
        <v>0.91666666666666674</v>
      </c>
    </row>
    <row r="230" spans="1:49" ht="15.75" customHeight="1" x14ac:dyDescent="0.25">
      <c r="A230" s="5" t="s">
        <v>11</v>
      </c>
      <c r="B230" s="7" t="s">
        <v>903</v>
      </c>
      <c r="C230" s="7" t="s">
        <v>1162</v>
      </c>
      <c r="D230" s="7" t="s">
        <v>1097</v>
      </c>
      <c r="E230" s="5" t="s">
        <v>925</v>
      </c>
      <c r="F230" s="5">
        <v>1</v>
      </c>
      <c r="G230" s="5">
        <v>1</v>
      </c>
      <c r="H230" s="5">
        <v>1</v>
      </c>
      <c r="I230" s="5">
        <v>1</v>
      </c>
      <c r="J230" s="5">
        <v>1</v>
      </c>
      <c r="K230" s="5">
        <v>1</v>
      </c>
      <c r="L230" s="5">
        <v>1</v>
      </c>
      <c r="M230" s="5">
        <v>1</v>
      </c>
      <c r="N230" s="5">
        <v>1</v>
      </c>
      <c r="O230" s="5">
        <v>1</v>
      </c>
      <c r="P230" s="5">
        <v>1</v>
      </c>
      <c r="Q230" s="5">
        <v>1</v>
      </c>
      <c r="R230" s="5">
        <v>1</v>
      </c>
      <c r="S230" s="5">
        <v>1</v>
      </c>
      <c r="T230" s="5">
        <v>1</v>
      </c>
      <c r="U230" s="5">
        <v>1</v>
      </c>
      <c r="V230" s="5">
        <v>1</v>
      </c>
      <c r="W230" s="5">
        <v>1</v>
      </c>
      <c r="X230" s="7">
        <f t="shared" si="37"/>
        <v>18</v>
      </c>
      <c r="Y230" s="8">
        <f t="shared" si="38"/>
        <v>1</v>
      </c>
      <c r="Z230" s="14" t="str">
        <f t="shared" si="39"/>
        <v>ADEQUADA</v>
      </c>
      <c r="AA230" s="5">
        <v>1</v>
      </c>
      <c r="AB230" s="5">
        <v>1</v>
      </c>
      <c r="AC230" s="5">
        <v>1</v>
      </c>
      <c r="AD230" s="5">
        <v>1</v>
      </c>
      <c r="AE230" s="5">
        <v>1</v>
      </c>
      <c r="AF230" s="5">
        <v>0</v>
      </c>
      <c r="AG230" s="5">
        <v>1</v>
      </c>
      <c r="AH230" s="5">
        <v>1</v>
      </c>
      <c r="AI230" s="5">
        <v>0</v>
      </c>
      <c r="AJ230" s="5">
        <v>1</v>
      </c>
      <c r="AK230" s="5">
        <v>1</v>
      </c>
      <c r="AL230" s="5">
        <v>0</v>
      </c>
      <c r="AM230" s="5">
        <v>1</v>
      </c>
      <c r="AN230" s="5">
        <v>1</v>
      </c>
      <c r="AO230" s="5">
        <v>0</v>
      </c>
      <c r="AP230" s="5">
        <v>1</v>
      </c>
      <c r="AQ230" s="5">
        <v>1</v>
      </c>
      <c r="AR230" s="5">
        <v>1</v>
      </c>
      <c r="AS230" s="7">
        <f t="shared" si="40"/>
        <v>14</v>
      </c>
      <c r="AT230" s="8">
        <f t="shared" si="41"/>
        <v>0.77777777777777768</v>
      </c>
      <c r="AU230" s="14" t="str">
        <f t="shared" si="42"/>
        <v>ADEQUADA</v>
      </c>
      <c r="AV230" s="7">
        <f t="shared" si="43"/>
        <v>32</v>
      </c>
      <c r="AW230" s="8">
        <f t="shared" si="44"/>
        <v>0.88888888888888884</v>
      </c>
    </row>
    <row r="231" spans="1:49" ht="15.75" customHeight="1" x14ac:dyDescent="0.25">
      <c r="A231" s="5" t="s">
        <v>11</v>
      </c>
      <c r="B231" s="7" t="s">
        <v>903</v>
      </c>
      <c r="C231" s="7" t="s">
        <v>1162</v>
      </c>
      <c r="D231" s="7" t="s">
        <v>1097</v>
      </c>
      <c r="E231" s="5" t="s">
        <v>926</v>
      </c>
      <c r="F231" s="5">
        <v>1</v>
      </c>
      <c r="G231" s="5">
        <v>0</v>
      </c>
      <c r="H231" s="5">
        <v>0</v>
      </c>
      <c r="I231" s="5">
        <v>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1</v>
      </c>
      <c r="T231" s="5">
        <v>0</v>
      </c>
      <c r="U231" s="5">
        <v>1</v>
      </c>
      <c r="V231" s="5">
        <v>0</v>
      </c>
      <c r="W231" s="5">
        <v>1</v>
      </c>
      <c r="X231" s="7">
        <f t="shared" si="37"/>
        <v>5</v>
      </c>
      <c r="Y231" s="8">
        <f t="shared" si="38"/>
        <v>0.27777777777777779</v>
      </c>
      <c r="Z231" s="14" t="str">
        <f t="shared" si="39"/>
        <v>DEFASAGEM</v>
      </c>
      <c r="AA231" s="5">
        <v>1</v>
      </c>
      <c r="AB231" s="5">
        <v>0</v>
      </c>
      <c r="AC231" s="5">
        <v>1</v>
      </c>
      <c r="AD231" s="5">
        <v>0</v>
      </c>
      <c r="AE231" s="5">
        <v>0</v>
      </c>
      <c r="AF231" s="5">
        <v>1</v>
      </c>
      <c r="AG231" s="5">
        <v>1</v>
      </c>
      <c r="AH231" s="5">
        <v>0</v>
      </c>
      <c r="AI231" s="5">
        <v>1</v>
      </c>
      <c r="AJ231" s="5">
        <v>0</v>
      </c>
      <c r="AK231" s="5">
        <v>1</v>
      </c>
      <c r="AL231" s="5">
        <v>1</v>
      </c>
      <c r="AM231" s="5">
        <v>0</v>
      </c>
      <c r="AN231" s="5">
        <v>0</v>
      </c>
      <c r="AO231" s="5">
        <v>1</v>
      </c>
      <c r="AP231" s="5">
        <v>0</v>
      </c>
      <c r="AQ231" s="5">
        <v>1</v>
      </c>
      <c r="AR231" s="5">
        <v>0</v>
      </c>
      <c r="AS231" s="7">
        <f t="shared" si="40"/>
        <v>9</v>
      </c>
      <c r="AT231" s="8">
        <f t="shared" si="41"/>
        <v>0.5</v>
      </c>
      <c r="AU231" s="14" t="str">
        <f t="shared" si="42"/>
        <v>INTERMEDIÁRIO</v>
      </c>
      <c r="AV231" s="7">
        <f t="shared" si="43"/>
        <v>14</v>
      </c>
      <c r="AW231" s="8">
        <f t="shared" si="44"/>
        <v>0.38888888888888884</v>
      </c>
    </row>
    <row r="232" spans="1:49" ht="15.75" customHeight="1" x14ac:dyDescent="0.25">
      <c r="A232" s="5" t="s">
        <v>11</v>
      </c>
      <c r="B232" s="7" t="s">
        <v>903</v>
      </c>
      <c r="C232" s="7" t="s">
        <v>1162</v>
      </c>
      <c r="D232" s="7" t="s">
        <v>1097</v>
      </c>
      <c r="E232" s="5" t="s">
        <v>927</v>
      </c>
      <c r="F232" s="5">
        <v>1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0</v>
      </c>
      <c r="N232" s="5">
        <v>1</v>
      </c>
      <c r="O232" s="5">
        <v>1</v>
      </c>
      <c r="P232" s="5">
        <v>1</v>
      </c>
      <c r="Q232" s="5">
        <v>0</v>
      </c>
      <c r="R232" s="5">
        <v>1</v>
      </c>
      <c r="S232" s="5">
        <v>1</v>
      </c>
      <c r="T232" s="5">
        <v>1</v>
      </c>
      <c r="U232" s="5">
        <v>1</v>
      </c>
      <c r="V232" s="5">
        <v>1</v>
      </c>
      <c r="W232" s="5">
        <v>1</v>
      </c>
      <c r="X232" s="7">
        <f t="shared" si="37"/>
        <v>16</v>
      </c>
      <c r="Y232" s="8">
        <f t="shared" si="38"/>
        <v>0.88888888888888884</v>
      </c>
      <c r="Z232" s="14" t="str">
        <f t="shared" si="39"/>
        <v>ADEQUADA</v>
      </c>
      <c r="AA232" s="5">
        <v>1</v>
      </c>
      <c r="AB232" s="5">
        <v>1</v>
      </c>
      <c r="AC232" s="5">
        <v>1</v>
      </c>
      <c r="AD232" s="5">
        <v>1</v>
      </c>
      <c r="AE232" s="5">
        <v>0</v>
      </c>
      <c r="AF232" s="5">
        <v>1</v>
      </c>
      <c r="AG232" s="5">
        <v>1</v>
      </c>
      <c r="AH232" s="5">
        <v>1</v>
      </c>
      <c r="AI232" s="5">
        <v>0</v>
      </c>
      <c r="AJ232" s="5">
        <v>1</v>
      </c>
      <c r="AK232" s="5">
        <v>1</v>
      </c>
      <c r="AL232" s="5">
        <v>1</v>
      </c>
      <c r="AM232" s="5">
        <v>1</v>
      </c>
      <c r="AN232" s="5">
        <v>1</v>
      </c>
      <c r="AO232" s="5">
        <v>1</v>
      </c>
      <c r="AP232" s="5">
        <v>0</v>
      </c>
      <c r="AQ232" s="5">
        <v>1</v>
      </c>
      <c r="AR232" s="5">
        <v>1</v>
      </c>
      <c r="AS232" s="7">
        <f t="shared" si="40"/>
        <v>15</v>
      </c>
      <c r="AT232" s="8">
        <f t="shared" si="41"/>
        <v>0.83333333333333326</v>
      </c>
      <c r="AU232" s="14" t="str">
        <f t="shared" si="42"/>
        <v>ADEQUADA</v>
      </c>
      <c r="AV232" s="7">
        <f t="shared" si="43"/>
        <v>31</v>
      </c>
      <c r="AW232" s="8">
        <f t="shared" si="44"/>
        <v>0.86111111111111116</v>
      </c>
    </row>
    <row r="233" spans="1:49" ht="15.75" customHeight="1" x14ac:dyDescent="0.25">
      <c r="A233" s="5" t="s">
        <v>11</v>
      </c>
      <c r="B233" s="7" t="s">
        <v>903</v>
      </c>
      <c r="C233" s="7" t="s">
        <v>1162</v>
      </c>
      <c r="D233" s="7" t="s">
        <v>1097</v>
      </c>
      <c r="E233" s="5" t="s">
        <v>928</v>
      </c>
      <c r="F233" s="5">
        <v>0</v>
      </c>
      <c r="G233" s="5">
        <v>1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  <c r="P233" s="5">
        <v>1</v>
      </c>
      <c r="Q233" s="5">
        <v>1</v>
      </c>
      <c r="R233" s="5">
        <v>1</v>
      </c>
      <c r="S233" s="5">
        <v>1</v>
      </c>
      <c r="T233" s="5">
        <v>1</v>
      </c>
      <c r="U233" s="5">
        <v>1</v>
      </c>
      <c r="V233" s="5">
        <v>1</v>
      </c>
      <c r="W233" s="5">
        <v>1</v>
      </c>
      <c r="X233" s="7">
        <f t="shared" si="37"/>
        <v>17</v>
      </c>
      <c r="Y233" s="8">
        <f t="shared" si="38"/>
        <v>0.94444444444444442</v>
      </c>
      <c r="Z233" s="14" t="str">
        <f t="shared" si="39"/>
        <v>ADEQUADA</v>
      </c>
      <c r="AA233" s="5">
        <v>1</v>
      </c>
      <c r="AB233" s="5">
        <v>1</v>
      </c>
      <c r="AC233" s="5">
        <v>1</v>
      </c>
      <c r="AD233" s="5">
        <v>0</v>
      </c>
      <c r="AE233" s="5">
        <v>1</v>
      </c>
      <c r="AF233" s="5">
        <v>1</v>
      </c>
      <c r="AG233" s="5">
        <v>1</v>
      </c>
      <c r="AH233" s="5">
        <v>1</v>
      </c>
      <c r="AI233" s="5">
        <v>1</v>
      </c>
      <c r="AJ233" s="5">
        <v>0</v>
      </c>
      <c r="AK233" s="5">
        <v>1</v>
      </c>
      <c r="AL233" s="5">
        <v>1</v>
      </c>
      <c r="AM233" s="5">
        <v>1</v>
      </c>
      <c r="AN233" s="5">
        <v>1</v>
      </c>
      <c r="AO233" s="5">
        <v>1</v>
      </c>
      <c r="AP233" s="5">
        <v>0</v>
      </c>
      <c r="AQ233" s="5">
        <v>1</v>
      </c>
      <c r="AR233" s="5">
        <v>1</v>
      </c>
      <c r="AS233" s="7">
        <f t="shared" si="40"/>
        <v>15</v>
      </c>
      <c r="AT233" s="8">
        <f t="shared" si="41"/>
        <v>0.83333333333333326</v>
      </c>
      <c r="AU233" s="14" t="str">
        <f t="shared" si="42"/>
        <v>ADEQUADA</v>
      </c>
      <c r="AV233" s="7">
        <f t="shared" si="43"/>
        <v>32</v>
      </c>
      <c r="AW233" s="8">
        <f t="shared" si="44"/>
        <v>0.88888888888888884</v>
      </c>
    </row>
    <row r="234" spans="1:49" ht="15.75" customHeight="1" x14ac:dyDescent="0.25">
      <c r="A234" s="5" t="s">
        <v>12</v>
      </c>
      <c r="B234" s="7" t="s">
        <v>1070</v>
      </c>
      <c r="C234" s="7" t="s">
        <v>1104</v>
      </c>
      <c r="D234" s="7" t="s">
        <v>1097</v>
      </c>
      <c r="E234" s="5" t="s">
        <v>929</v>
      </c>
      <c r="F234" s="5">
        <v>0</v>
      </c>
      <c r="G234" s="5">
        <v>0</v>
      </c>
      <c r="H234" s="5">
        <v>1</v>
      </c>
      <c r="I234" s="5">
        <v>1</v>
      </c>
      <c r="J234" s="5">
        <v>1</v>
      </c>
      <c r="K234" s="5">
        <v>1</v>
      </c>
      <c r="L234" s="5">
        <v>0</v>
      </c>
      <c r="M234" s="5">
        <v>1</v>
      </c>
      <c r="N234" s="5">
        <v>1</v>
      </c>
      <c r="O234" s="5">
        <v>1</v>
      </c>
      <c r="P234" s="5">
        <v>1</v>
      </c>
      <c r="Q234" s="5">
        <v>1</v>
      </c>
      <c r="R234" s="5">
        <v>1</v>
      </c>
      <c r="S234" s="5">
        <v>1</v>
      </c>
      <c r="T234" s="5">
        <v>1</v>
      </c>
      <c r="U234" s="5">
        <v>1</v>
      </c>
      <c r="V234" s="5">
        <v>1</v>
      </c>
      <c r="W234" s="5">
        <v>1</v>
      </c>
      <c r="X234" s="7">
        <f t="shared" si="37"/>
        <v>15</v>
      </c>
      <c r="Y234" s="8">
        <f t="shared" si="38"/>
        <v>0.83333333333333326</v>
      </c>
      <c r="Z234" s="14" t="str">
        <f t="shared" si="39"/>
        <v>ADEQUADA</v>
      </c>
      <c r="AA234" s="5">
        <v>1</v>
      </c>
      <c r="AB234" s="5">
        <v>1</v>
      </c>
      <c r="AC234" s="5">
        <v>1</v>
      </c>
      <c r="AD234" s="5">
        <v>1</v>
      </c>
      <c r="AE234" s="5">
        <v>0</v>
      </c>
      <c r="AF234" s="5">
        <v>0</v>
      </c>
      <c r="AG234" s="5">
        <v>0</v>
      </c>
      <c r="AH234" s="5">
        <v>1</v>
      </c>
      <c r="AI234" s="5">
        <v>1</v>
      </c>
      <c r="AJ234" s="5">
        <v>0</v>
      </c>
      <c r="AK234" s="5">
        <v>1</v>
      </c>
      <c r="AL234" s="5">
        <v>1</v>
      </c>
      <c r="AM234" s="5">
        <v>0</v>
      </c>
      <c r="AN234" s="5">
        <v>1</v>
      </c>
      <c r="AO234" s="5">
        <v>1</v>
      </c>
      <c r="AP234" s="5">
        <v>0</v>
      </c>
      <c r="AQ234" s="5">
        <v>0</v>
      </c>
      <c r="AR234" s="5">
        <v>1</v>
      </c>
      <c r="AS234" s="7">
        <v>12</v>
      </c>
      <c r="AT234" s="8">
        <f t="shared" si="41"/>
        <v>0.66666666666666674</v>
      </c>
      <c r="AU234" s="14" t="str">
        <f t="shared" si="42"/>
        <v>INTERMEDIÁRIO</v>
      </c>
      <c r="AV234" s="7">
        <f t="shared" si="43"/>
        <v>26</v>
      </c>
      <c r="AW234" s="8">
        <f t="shared" si="44"/>
        <v>0.72222222222222232</v>
      </c>
    </row>
    <row r="235" spans="1:49" ht="15.75" customHeight="1" x14ac:dyDescent="0.25">
      <c r="A235" s="5" t="s">
        <v>12</v>
      </c>
      <c r="B235" s="7" t="s">
        <v>1070</v>
      </c>
      <c r="C235" s="7" t="s">
        <v>1104</v>
      </c>
      <c r="D235" s="7" t="s">
        <v>1097</v>
      </c>
      <c r="E235" s="5" t="s">
        <v>930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1</v>
      </c>
      <c r="L235" s="5">
        <v>0</v>
      </c>
      <c r="M235" s="5">
        <v>0</v>
      </c>
      <c r="N235" s="5">
        <v>0</v>
      </c>
      <c r="O235" s="5">
        <v>0</v>
      </c>
      <c r="P235" s="5">
        <v>1</v>
      </c>
      <c r="Q235" s="5">
        <v>1</v>
      </c>
      <c r="R235" s="5">
        <v>1</v>
      </c>
      <c r="S235" s="5">
        <v>1</v>
      </c>
      <c r="T235" s="5">
        <v>0</v>
      </c>
      <c r="U235" s="5">
        <v>0</v>
      </c>
      <c r="V235" s="5">
        <v>0</v>
      </c>
      <c r="W235" s="5">
        <v>0</v>
      </c>
      <c r="X235" s="7">
        <f t="shared" si="37"/>
        <v>5</v>
      </c>
      <c r="Y235" s="8">
        <f t="shared" si="38"/>
        <v>0.27777777777777779</v>
      </c>
      <c r="Z235" s="14" t="str">
        <f t="shared" si="39"/>
        <v>DEFASAGEM</v>
      </c>
      <c r="AA235" s="5">
        <v>1</v>
      </c>
      <c r="AB235" s="5">
        <v>1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1</v>
      </c>
      <c r="AI235" s="5">
        <v>0</v>
      </c>
      <c r="AJ235" s="5">
        <v>1</v>
      </c>
      <c r="AK235" s="5">
        <v>0</v>
      </c>
      <c r="AL235" s="5">
        <v>0</v>
      </c>
      <c r="AM235" s="5">
        <v>0</v>
      </c>
      <c r="AN235" s="5">
        <v>0</v>
      </c>
      <c r="AO235" s="5">
        <v>1</v>
      </c>
      <c r="AP235" s="5">
        <v>0</v>
      </c>
      <c r="AQ235" s="5">
        <v>0</v>
      </c>
      <c r="AR235" s="5">
        <v>0</v>
      </c>
      <c r="AS235" s="7">
        <f t="shared" ref="AS235:AS241" si="45">SUM(AA235:AR235)</f>
        <v>5</v>
      </c>
      <c r="AT235" s="8">
        <f t="shared" si="41"/>
        <v>0.27777777777777779</v>
      </c>
      <c r="AU235" s="14" t="str">
        <f t="shared" si="42"/>
        <v>DEFASAGEM</v>
      </c>
      <c r="AV235" s="7">
        <f t="shared" si="43"/>
        <v>10</v>
      </c>
      <c r="AW235" s="8">
        <f t="shared" si="44"/>
        <v>0.27777777777777779</v>
      </c>
    </row>
    <row r="236" spans="1:49" ht="15.75" customHeight="1" x14ac:dyDescent="0.25">
      <c r="A236" s="5" t="s">
        <v>12</v>
      </c>
      <c r="B236" s="7" t="s">
        <v>1070</v>
      </c>
      <c r="C236" s="7" t="s">
        <v>1220</v>
      </c>
      <c r="D236" s="7" t="s">
        <v>1097</v>
      </c>
      <c r="E236" s="5" t="s">
        <v>931</v>
      </c>
      <c r="F236" s="5">
        <v>0</v>
      </c>
      <c r="G236" s="5">
        <v>0</v>
      </c>
      <c r="H236" s="5">
        <v>0</v>
      </c>
      <c r="I236" s="5">
        <v>0</v>
      </c>
      <c r="J236" s="5">
        <v>1</v>
      </c>
      <c r="K236" s="5">
        <v>1</v>
      </c>
      <c r="L236" s="5">
        <v>1</v>
      </c>
      <c r="M236" s="5">
        <v>0</v>
      </c>
      <c r="N236" s="5">
        <v>0</v>
      </c>
      <c r="O236" s="5">
        <v>0</v>
      </c>
      <c r="P236" s="5">
        <v>1</v>
      </c>
      <c r="Q236" s="5">
        <v>0</v>
      </c>
      <c r="R236" s="5">
        <v>0</v>
      </c>
      <c r="S236" s="5">
        <v>1</v>
      </c>
      <c r="T236" s="5">
        <v>0</v>
      </c>
      <c r="U236" s="5">
        <v>1</v>
      </c>
      <c r="V236" s="5">
        <v>0</v>
      </c>
      <c r="W236" s="5">
        <v>1</v>
      </c>
      <c r="X236" s="7">
        <f t="shared" si="37"/>
        <v>7</v>
      </c>
      <c r="Y236" s="8">
        <f t="shared" si="38"/>
        <v>0.38888888888888884</v>
      </c>
      <c r="Z236" s="14" t="str">
        <f t="shared" si="39"/>
        <v>DEFASAGEM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1</v>
      </c>
      <c r="AH236" s="5">
        <v>1</v>
      </c>
      <c r="AI236" s="5">
        <v>0</v>
      </c>
      <c r="AJ236" s="5">
        <v>0</v>
      </c>
      <c r="AK236" s="5">
        <v>0</v>
      </c>
      <c r="AL236" s="5">
        <v>0</v>
      </c>
      <c r="AM236" s="5">
        <v>1</v>
      </c>
      <c r="AN236" s="5">
        <v>0</v>
      </c>
      <c r="AO236" s="5">
        <v>1</v>
      </c>
      <c r="AP236" s="5">
        <v>0</v>
      </c>
      <c r="AQ236" s="5">
        <v>0</v>
      </c>
      <c r="AR236" s="5">
        <v>0</v>
      </c>
      <c r="AS236" s="7">
        <f t="shared" si="45"/>
        <v>4</v>
      </c>
      <c r="AT236" s="8">
        <f t="shared" si="41"/>
        <v>0.22222222222222221</v>
      </c>
      <c r="AU236" s="14" t="str">
        <f t="shared" si="42"/>
        <v>DEFASAGEM</v>
      </c>
      <c r="AV236" s="7">
        <f t="shared" si="43"/>
        <v>11</v>
      </c>
      <c r="AW236" s="8">
        <f t="shared" si="44"/>
        <v>0.30555555555555558</v>
      </c>
    </row>
    <row r="237" spans="1:49" ht="15.75" customHeight="1" x14ac:dyDescent="0.25">
      <c r="A237" s="5" t="s">
        <v>12</v>
      </c>
      <c r="B237" s="7" t="s">
        <v>1243</v>
      </c>
      <c r="C237" s="7" t="s">
        <v>1104</v>
      </c>
      <c r="D237" s="7" t="s">
        <v>1097</v>
      </c>
      <c r="E237" s="5" t="s">
        <v>1244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0</v>
      </c>
      <c r="N237" s="5">
        <v>1</v>
      </c>
      <c r="O237" s="5">
        <v>0</v>
      </c>
      <c r="P237" s="5">
        <v>1</v>
      </c>
      <c r="Q237" s="5">
        <v>1</v>
      </c>
      <c r="R237" s="5">
        <v>1</v>
      </c>
      <c r="S237" s="5">
        <v>1</v>
      </c>
      <c r="T237" s="5">
        <v>0</v>
      </c>
      <c r="U237" s="5">
        <v>1</v>
      </c>
      <c r="V237" s="5">
        <v>0</v>
      </c>
      <c r="W237" s="5">
        <v>1</v>
      </c>
      <c r="X237" s="7">
        <f t="shared" si="37"/>
        <v>14</v>
      </c>
      <c r="Y237" s="8">
        <f t="shared" si="38"/>
        <v>0.77777777777777768</v>
      </c>
      <c r="Z237" s="14" t="str">
        <f t="shared" si="39"/>
        <v>ADEQUADA</v>
      </c>
      <c r="AA237" s="5">
        <v>1</v>
      </c>
      <c r="AB237" s="5">
        <v>1</v>
      </c>
      <c r="AC237" s="5">
        <v>1</v>
      </c>
      <c r="AD237" s="5">
        <v>1</v>
      </c>
      <c r="AE237" s="5">
        <v>0</v>
      </c>
      <c r="AF237" s="5">
        <v>0</v>
      </c>
      <c r="AG237" s="5">
        <v>1</v>
      </c>
      <c r="AH237" s="5">
        <v>1</v>
      </c>
      <c r="AI237" s="5">
        <v>0</v>
      </c>
      <c r="AJ237" s="5">
        <v>1</v>
      </c>
      <c r="AK237" s="5">
        <v>1</v>
      </c>
      <c r="AL237" s="5">
        <v>1</v>
      </c>
      <c r="AM237" s="5">
        <v>0</v>
      </c>
      <c r="AN237" s="5">
        <v>1</v>
      </c>
      <c r="AO237" s="5">
        <v>0</v>
      </c>
      <c r="AP237" s="5">
        <v>0</v>
      </c>
      <c r="AQ237" s="5">
        <v>0</v>
      </c>
      <c r="AR237" s="5">
        <v>1</v>
      </c>
      <c r="AS237" s="7">
        <f t="shared" si="45"/>
        <v>11</v>
      </c>
      <c r="AT237" s="8">
        <f t="shared" si="41"/>
        <v>0.61111111111111116</v>
      </c>
      <c r="AU237" s="14" t="str">
        <f t="shared" si="42"/>
        <v>INTERMEDIÁRIO</v>
      </c>
      <c r="AV237" s="7">
        <f t="shared" si="43"/>
        <v>25</v>
      </c>
      <c r="AW237" s="8">
        <f t="shared" si="44"/>
        <v>0.69444444444444442</v>
      </c>
    </row>
    <row r="238" spans="1:49" ht="15.75" customHeight="1" x14ac:dyDescent="0.25">
      <c r="A238" s="5" t="s">
        <v>12</v>
      </c>
      <c r="B238" s="7" t="s">
        <v>1070</v>
      </c>
      <c r="C238" s="7" t="s">
        <v>1104</v>
      </c>
      <c r="D238" s="7" t="s">
        <v>1097</v>
      </c>
      <c r="E238" s="5" t="s">
        <v>932</v>
      </c>
      <c r="F238" s="5">
        <v>0</v>
      </c>
      <c r="G238" s="5">
        <v>0</v>
      </c>
      <c r="H238" s="5">
        <v>0</v>
      </c>
      <c r="I238" s="5">
        <v>0</v>
      </c>
      <c r="J238" s="5">
        <v>1</v>
      </c>
      <c r="K238" s="5">
        <v>1</v>
      </c>
      <c r="L238" s="5">
        <v>1</v>
      </c>
      <c r="M238" s="5">
        <v>1</v>
      </c>
      <c r="N238" s="5">
        <v>0</v>
      </c>
      <c r="O238" s="5">
        <v>0</v>
      </c>
      <c r="P238" s="5">
        <v>0</v>
      </c>
      <c r="Q238" s="5">
        <v>1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1</v>
      </c>
      <c r="X238" s="7">
        <f t="shared" si="37"/>
        <v>6</v>
      </c>
      <c r="Y238" s="8">
        <f t="shared" si="38"/>
        <v>0.33333333333333337</v>
      </c>
      <c r="Z238" s="14" t="str">
        <f t="shared" si="39"/>
        <v>DEFASAGEM</v>
      </c>
      <c r="AA238" s="5">
        <v>1</v>
      </c>
      <c r="AB238" s="5">
        <v>1</v>
      </c>
      <c r="AC238" s="5">
        <v>0</v>
      </c>
      <c r="AD238" s="5">
        <v>1</v>
      </c>
      <c r="AE238" s="5">
        <v>0</v>
      </c>
      <c r="AF238" s="5">
        <v>0</v>
      </c>
      <c r="AG238" s="5">
        <v>1</v>
      </c>
      <c r="AH238" s="5">
        <v>1</v>
      </c>
      <c r="AI238" s="5">
        <v>0</v>
      </c>
      <c r="AJ238" s="5">
        <v>0</v>
      </c>
      <c r="AK238" s="5">
        <v>1</v>
      </c>
      <c r="AL238" s="5">
        <v>1</v>
      </c>
      <c r="AM238" s="5">
        <v>0</v>
      </c>
      <c r="AN238" s="5">
        <v>1</v>
      </c>
      <c r="AO238" s="5">
        <v>0</v>
      </c>
      <c r="AP238" s="5">
        <v>0</v>
      </c>
      <c r="AQ238" s="5">
        <v>0</v>
      </c>
      <c r="AR238" s="5">
        <v>0</v>
      </c>
      <c r="AS238" s="7">
        <f t="shared" si="45"/>
        <v>8</v>
      </c>
      <c r="AT238" s="8">
        <f t="shared" si="41"/>
        <v>0.44444444444444442</v>
      </c>
      <c r="AU238" s="14" t="str">
        <f t="shared" si="42"/>
        <v>INTERMEDIÁRIO</v>
      </c>
      <c r="AV238" s="7">
        <f t="shared" si="43"/>
        <v>14</v>
      </c>
      <c r="AW238" s="8">
        <f t="shared" si="44"/>
        <v>0.38888888888888884</v>
      </c>
    </row>
    <row r="239" spans="1:49" ht="15.75" customHeight="1" x14ac:dyDescent="0.25">
      <c r="A239" s="5" t="s">
        <v>12</v>
      </c>
      <c r="B239" s="7" t="s">
        <v>1070</v>
      </c>
      <c r="C239" s="7" t="s">
        <v>1162</v>
      </c>
      <c r="D239" s="7" t="s">
        <v>1097</v>
      </c>
      <c r="E239" s="5" t="s">
        <v>933</v>
      </c>
      <c r="F239" s="5">
        <v>1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1</v>
      </c>
      <c r="N239" s="5">
        <v>1</v>
      </c>
      <c r="O239" s="5">
        <v>0</v>
      </c>
      <c r="P239" s="5">
        <v>1</v>
      </c>
      <c r="Q239" s="5">
        <v>0</v>
      </c>
      <c r="R239" s="5">
        <v>1</v>
      </c>
      <c r="S239" s="5">
        <v>1</v>
      </c>
      <c r="T239" s="5">
        <v>1</v>
      </c>
      <c r="U239" s="5">
        <v>1</v>
      </c>
      <c r="V239" s="5">
        <v>0</v>
      </c>
      <c r="W239" s="5">
        <v>1</v>
      </c>
      <c r="X239" s="7">
        <f t="shared" si="37"/>
        <v>15</v>
      </c>
      <c r="Y239" s="8">
        <f t="shared" si="38"/>
        <v>0.83333333333333326</v>
      </c>
      <c r="Z239" s="14" t="str">
        <f t="shared" si="39"/>
        <v>ADEQUADA</v>
      </c>
      <c r="AA239" s="5">
        <v>1</v>
      </c>
      <c r="AB239" s="5">
        <v>1</v>
      </c>
      <c r="AC239" s="5">
        <v>1</v>
      </c>
      <c r="AD239" s="5">
        <v>1</v>
      </c>
      <c r="AE239" s="5">
        <v>0</v>
      </c>
      <c r="AF239" s="5">
        <v>0</v>
      </c>
      <c r="AG239" s="5">
        <v>1</v>
      </c>
      <c r="AH239" s="5">
        <v>1</v>
      </c>
      <c r="AI239" s="5"/>
      <c r="AJ239" s="5">
        <v>0</v>
      </c>
      <c r="AK239" s="5">
        <v>1</v>
      </c>
      <c r="AL239" s="5">
        <v>1</v>
      </c>
      <c r="AM239" s="5">
        <v>0</v>
      </c>
      <c r="AN239" s="5">
        <v>1</v>
      </c>
      <c r="AO239" s="5">
        <v>1</v>
      </c>
      <c r="AP239" s="5">
        <v>0</v>
      </c>
      <c r="AQ239" s="5">
        <v>1</v>
      </c>
      <c r="AR239" s="5">
        <v>1</v>
      </c>
      <c r="AS239" s="7">
        <f t="shared" si="45"/>
        <v>12</v>
      </c>
      <c r="AT239" s="8">
        <f t="shared" si="41"/>
        <v>0.66666666666666674</v>
      </c>
      <c r="AU239" s="14" t="str">
        <f t="shared" si="42"/>
        <v>INTERMEDIÁRIO</v>
      </c>
      <c r="AV239" s="7">
        <f t="shared" si="43"/>
        <v>27</v>
      </c>
      <c r="AW239" s="8">
        <f t="shared" si="44"/>
        <v>0.75</v>
      </c>
    </row>
    <row r="240" spans="1:49" ht="15.75" customHeight="1" x14ac:dyDescent="0.25">
      <c r="A240" s="5" t="s">
        <v>12</v>
      </c>
      <c r="B240" s="7" t="s">
        <v>1070</v>
      </c>
      <c r="C240" s="7" t="s">
        <v>1104</v>
      </c>
      <c r="D240" s="7" t="s">
        <v>1097</v>
      </c>
      <c r="E240" s="5" t="s">
        <v>934</v>
      </c>
      <c r="F240" s="5">
        <v>1</v>
      </c>
      <c r="G240" s="5">
        <v>1</v>
      </c>
      <c r="H240" s="5">
        <v>0</v>
      </c>
      <c r="I240" s="5">
        <v>1</v>
      </c>
      <c r="J240" s="5">
        <v>0</v>
      </c>
      <c r="K240" s="5">
        <v>0</v>
      </c>
      <c r="L240" s="5">
        <v>0</v>
      </c>
      <c r="M240" s="5">
        <v>1</v>
      </c>
      <c r="N240" s="5">
        <v>0</v>
      </c>
      <c r="O240" s="5">
        <v>1</v>
      </c>
      <c r="P240" s="5">
        <v>0</v>
      </c>
      <c r="Q240" s="5">
        <v>1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1</v>
      </c>
      <c r="X240" s="7">
        <f t="shared" si="37"/>
        <v>7</v>
      </c>
      <c r="Y240" s="8">
        <f t="shared" si="38"/>
        <v>0.38888888888888884</v>
      </c>
      <c r="Z240" s="14" t="str">
        <f t="shared" si="39"/>
        <v>DEFASAGEM</v>
      </c>
      <c r="AA240" s="5">
        <v>0</v>
      </c>
      <c r="AB240" s="5">
        <v>1</v>
      </c>
      <c r="AC240" s="5">
        <v>0</v>
      </c>
      <c r="AD240" s="5">
        <v>0</v>
      </c>
      <c r="AE240" s="5">
        <v>0</v>
      </c>
      <c r="AF240" s="5">
        <v>1</v>
      </c>
      <c r="AG240" s="5">
        <v>0</v>
      </c>
      <c r="AH240" s="5">
        <v>0</v>
      </c>
      <c r="AI240" s="5">
        <v>0</v>
      </c>
      <c r="AJ240" s="5">
        <v>1</v>
      </c>
      <c r="AK240" s="5">
        <v>0</v>
      </c>
      <c r="AL240" s="5">
        <v>0</v>
      </c>
      <c r="AM240" s="5">
        <v>0</v>
      </c>
      <c r="AN240" s="5">
        <v>0</v>
      </c>
      <c r="AO240" s="5">
        <v>1</v>
      </c>
      <c r="AP240" s="5">
        <v>1</v>
      </c>
      <c r="AQ240" s="5">
        <v>0</v>
      </c>
      <c r="AR240" s="5">
        <v>0</v>
      </c>
      <c r="AS240" s="7">
        <f t="shared" si="45"/>
        <v>5</v>
      </c>
      <c r="AT240" s="8">
        <f t="shared" si="41"/>
        <v>0.27777777777777779</v>
      </c>
      <c r="AU240" s="14" t="str">
        <f t="shared" si="42"/>
        <v>DEFASAGEM</v>
      </c>
      <c r="AV240" s="7">
        <f t="shared" si="43"/>
        <v>12</v>
      </c>
      <c r="AW240" s="8">
        <f t="shared" si="44"/>
        <v>0.33333333333333337</v>
      </c>
    </row>
    <row r="241" spans="1:49" ht="15.75" customHeight="1" x14ac:dyDescent="0.25">
      <c r="A241" s="5" t="s">
        <v>12</v>
      </c>
      <c r="B241" s="7" t="s">
        <v>1070</v>
      </c>
      <c r="C241" s="26" t="s">
        <v>1104</v>
      </c>
      <c r="D241" s="7" t="s">
        <v>1097</v>
      </c>
      <c r="E241" s="5" t="s">
        <v>935</v>
      </c>
      <c r="F241" s="5">
        <v>1</v>
      </c>
      <c r="G241" s="5">
        <v>0</v>
      </c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5">
        <v>1</v>
      </c>
      <c r="N241" s="5">
        <v>0</v>
      </c>
      <c r="O241" s="5">
        <v>1</v>
      </c>
      <c r="P241" s="5">
        <v>1</v>
      </c>
      <c r="Q241" s="5">
        <v>0</v>
      </c>
      <c r="R241" s="5">
        <v>1</v>
      </c>
      <c r="S241" s="5">
        <v>1</v>
      </c>
      <c r="T241" s="5">
        <v>1</v>
      </c>
      <c r="U241" s="5">
        <v>1</v>
      </c>
      <c r="V241" s="5">
        <v>1</v>
      </c>
      <c r="W241" s="5">
        <v>1</v>
      </c>
      <c r="X241" s="7">
        <f t="shared" si="37"/>
        <v>15</v>
      </c>
      <c r="Y241" s="8">
        <f t="shared" si="38"/>
        <v>0.83333333333333326</v>
      </c>
      <c r="Z241" s="14" t="str">
        <f t="shared" si="39"/>
        <v>ADEQUADA</v>
      </c>
      <c r="AA241" s="5">
        <v>1</v>
      </c>
      <c r="AB241" s="5">
        <v>1</v>
      </c>
      <c r="AC241" s="5">
        <v>1</v>
      </c>
      <c r="AD241" s="5">
        <v>0</v>
      </c>
      <c r="AE241" s="5">
        <v>1</v>
      </c>
      <c r="AF241" s="5">
        <v>0</v>
      </c>
      <c r="AG241" s="5">
        <v>1</v>
      </c>
      <c r="AH241" s="5">
        <v>1</v>
      </c>
      <c r="AI241" s="5">
        <v>0</v>
      </c>
      <c r="AJ241" s="5">
        <v>1</v>
      </c>
      <c r="AK241" s="5">
        <v>1</v>
      </c>
      <c r="AL241" s="5">
        <v>1</v>
      </c>
      <c r="AM241" s="5">
        <v>0</v>
      </c>
      <c r="AN241" s="5">
        <v>1</v>
      </c>
      <c r="AO241" s="5">
        <v>0</v>
      </c>
      <c r="AP241" s="5">
        <v>0</v>
      </c>
      <c r="AQ241" s="5">
        <v>1</v>
      </c>
      <c r="AR241" s="5">
        <v>1</v>
      </c>
      <c r="AS241" s="7">
        <f t="shared" si="45"/>
        <v>12</v>
      </c>
      <c r="AT241" s="8">
        <f t="shared" si="41"/>
        <v>0.66666666666666674</v>
      </c>
      <c r="AU241" s="14" t="str">
        <f t="shared" si="42"/>
        <v>INTERMEDIÁRIO</v>
      </c>
      <c r="AV241" s="7">
        <f t="shared" si="43"/>
        <v>27</v>
      </c>
      <c r="AW241" s="8">
        <f t="shared" si="44"/>
        <v>0.75</v>
      </c>
    </row>
    <row r="242" spans="1:49" ht="15.75" customHeight="1" x14ac:dyDescent="0.25">
      <c r="A242" s="5" t="s">
        <v>12</v>
      </c>
      <c r="B242" s="27" t="s">
        <v>1070</v>
      </c>
      <c r="C242" s="28" t="s">
        <v>1099</v>
      </c>
      <c r="D242" s="29" t="s">
        <v>1100</v>
      </c>
      <c r="E242" s="5" t="s">
        <v>936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7">
        <v>0</v>
      </c>
      <c r="Y242" s="8">
        <f t="shared" si="38"/>
        <v>0</v>
      </c>
      <c r="Z242" s="14" t="str">
        <f t="shared" si="39"/>
        <v>DEFASAGEM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7">
        <v>0</v>
      </c>
      <c r="AT242" s="8">
        <f t="shared" si="41"/>
        <v>0</v>
      </c>
      <c r="AU242" s="14" t="str">
        <f t="shared" si="42"/>
        <v>DEFASAGEM</v>
      </c>
      <c r="AV242" s="7">
        <f t="shared" si="43"/>
        <v>0</v>
      </c>
      <c r="AW242" s="8">
        <f t="shared" si="44"/>
        <v>0</v>
      </c>
    </row>
    <row r="243" spans="1:49" ht="15.75" customHeight="1" x14ac:dyDescent="0.25">
      <c r="A243" s="5" t="s">
        <v>12</v>
      </c>
      <c r="B243" s="7" t="s">
        <v>1070</v>
      </c>
      <c r="C243" s="30" t="s">
        <v>1104</v>
      </c>
      <c r="D243" s="7" t="s">
        <v>1097</v>
      </c>
      <c r="E243" s="5" t="s">
        <v>937</v>
      </c>
      <c r="F243" s="5">
        <v>1</v>
      </c>
      <c r="G243" s="5">
        <v>1</v>
      </c>
      <c r="H243" s="5">
        <v>1</v>
      </c>
      <c r="I243" s="5">
        <v>1</v>
      </c>
      <c r="J243" s="5">
        <v>1</v>
      </c>
      <c r="K243" s="5">
        <v>1</v>
      </c>
      <c r="L243" s="5">
        <v>1</v>
      </c>
      <c r="M243" s="5">
        <v>0</v>
      </c>
      <c r="N243" s="5">
        <v>1</v>
      </c>
      <c r="O243" s="5">
        <v>1</v>
      </c>
      <c r="P243" s="5">
        <v>1</v>
      </c>
      <c r="Q243" s="5">
        <v>1</v>
      </c>
      <c r="R243" s="5">
        <v>1</v>
      </c>
      <c r="S243" s="5">
        <v>1</v>
      </c>
      <c r="T243" s="5">
        <v>0</v>
      </c>
      <c r="U243" s="5">
        <v>1</v>
      </c>
      <c r="V243" s="5">
        <v>1</v>
      </c>
      <c r="W243" s="5">
        <v>1</v>
      </c>
      <c r="X243" s="7">
        <f t="shared" ref="X243:X263" si="46">SUM(F243:W243)</f>
        <v>16</v>
      </c>
      <c r="Y243" s="8">
        <f t="shared" si="38"/>
        <v>0.88888888888888884</v>
      </c>
      <c r="Z243" s="14" t="str">
        <f t="shared" si="39"/>
        <v>ADEQUADA</v>
      </c>
      <c r="AA243" s="5">
        <v>1</v>
      </c>
      <c r="AB243" s="5">
        <v>1</v>
      </c>
      <c r="AC243" s="5">
        <v>0</v>
      </c>
      <c r="AD243" s="5">
        <v>1</v>
      </c>
      <c r="AE243" s="5">
        <v>1</v>
      </c>
      <c r="AF243" s="5">
        <v>0</v>
      </c>
      <c r="AG243" s="5">
        <v>1</v>
      </c>
      <c r="AH243" s="5">
        <v>1</v>
      </c>
      <c r="AI243" s="5">
        <v>0</v>
      </c>
      <c r="AJ243" s="5">
        <v>1</v>
      </c>
      <c r="AK243" s="5">
        <v>1</v>
      </c>
      <c r="AL243" s="5">
        <v>0</v>
      </c>
      <c r="AM243" s="5">
        <v>1</v>
      </c>
      <c r="AN243" s="5">
        <v>1</v>
      </c>
      <c r="AO243" s="5">
        <v>0</v>
      </c>
      <c r="AP243" s="5">
        <v>0</v>
      </c>
      <c r="AQ243" s="5">
        <v>1</v>
      </c>
      <c r="AR243" s="5">
        <v>1</v>
      </c>
      <c r="AS243" s="7">
        <f t="shared" ref="AS243:AS263" si="47">SUM(AA243:AR243)</f>
        <v>12</v>
      </c>
      <c r="AT243" s="8">
        <f t="shared" si="41"/>
        <v>0.66666666666666674</v>
      </c>
      <c r="AU243" s="14" t="str">
        <f t="shared" si="42"/>
        <v>INTERMEDIÁRIO</v>
      </c>
      <c r="AV243" s="7">
        <f t="shared" si="43"/>
        <v>28</v>
      </c>
      <c r="AW243" s="8">
        <f t="shared" si="44"/>
        <v>0.77777777777777768</v>
      </c>
    </row>
    <row r="244" spans="1:49" ht="15.75" customHeight="1" x14ac:dyDescent="0.25">
      <c r="A244" s="5" t="s">
        <v>12</v>
      </c>
      <c r="B244" s="7" t="s">
        <v>1070</v>
      </c>
      <c r="C244" s="7" t="s">
        <v>1104</v>
      </c>
      <c r="D244" s="7" t="s">
        <v>1097</v>
      </c>
      <c r="E244" s="5" t="s">
        <v>938</v>
      </c>
      <c r="F244" s="5">
        <v>1</v>
      </c>
      <c r="G244" s="5">
        <v>0</v>
      </c>
      <c r="H244" s="5">
        <v>1</v>
      </c>
      <c r="I244" s="5">
        <v>1</v>
      </c>
      <c r="J244" s="5">
        <v>1</v>
      </c>
      <c r="K244" s="5">
        <v>0</v>
      </c>
      <c r="L244" s="5">
        <v>1</v>
      </c>
      <c r="M244" s="5">
        <v>0</v>
      </c>
      <c r="N244" s="5">
        <v>1</v>
      </c>
      <c r="O244" s="5">
        <v>0</v>
      </c>
      <c r="P244" s="5">
        <v>1</v>
      </c>
      <c r="Q244" s="5">
        <v>0</v>
      </c>
      <c r="R244" s="5">
        <v>1</v>
      </c>
      <c r="S244" s="5">
        <v>1</v>
      </c>
      <c r="T244" s="5">
        <v>0</v>
      </c>
      <c r="U244" s="5">
        <v>1</v>
      </c>
      <c r="V244" s="5">
        <v>0</v>
      </c>
      <c r="W244" s="5">
        <v>1</v>
      </c>
      <c r="X244" s="7">
        <f t="shared" si="46"/>
        <v>11</v>
      </c>
      <c r="Y244" s="8">
        <f t="shared" si="38"/>
        <v>0.61111111111111116</v>
      </c>
      <c r="Z244" s="14" t="str">
        <f t="shared" si="39"/>
        <v>INTERMEDIÁRIO</v>
      </c>
      <c r="AA244" s="5">
        <v>0</v>
      </c>
      <c r="AB244" s="5">
        <v>1</v>
      </c>
      <c r="AC244" s="5">
        <v>0</v>
      </c>
      <c r="AD244" s="5">
        <v>1</v>
      </c>
      <c r="AE244" s="5">
        <v>1</v>
      </c>
      <c r="AF244" s="5">
        <v>0</v>
      </c>
      <c r="AG244" s="5">
        <v>0</v>
      </c>
      <c r="AH244" s="5">
        <v>0</v>
      </c>
      <c r="AI244" s="5">
        <v>0</v>
      </c>
      <c r="AJ244" s="5">
        <v>1</v>
      </c>
      <c r="AK244" s="5">
        <v>1</v>
      </c>
      <c r="AL244" s="5">
        <v>1</v>
      </c>
      <c r="AM244" s="5">
        <v>0</v>
      </c>
      <c r="AN244" s="5">
        <v>0</v>
      </c>
      <c r="AO244" s="5">
        <v>0</v>
      </c>
      <c r="AP244" s="5">
        <v>0</v>
      </c>
      <c r="AQ244" s="5">
        <v>1</v>
      </c>
      <c r="AR244" s="5">
        <v>1</v>
      </c>
      <c r="AS244" s="7">
        <f t="shared" si="47"/>
        <v>8</v>
      </c>
      <c r="AT244" s="8">
        <f t="shared" si="41"/>
        <v>0.44444444444444442</v>
      </c>
      <c r="AU244" s="14" t="str">
        <f t="shared" si="42"/>
        <v>INTERMEDIÁRIO</v>
      </c>
      <c r="AV244" s="7">
        <f t="shared" si="43"/>
        <v>19</v>
      </c>
      <c r="AW244" s="8">
        <f t="shared" si="44"/>
        <v>0.52777777777777779</v>
      </c>
    </row>
    <row r="245" spans="1:49" ht="15.75" customHeight="1" x14ac:dyDescent="0.25">
      <c r="A245" s="5" t="s">
        <v>12</v>
      </c>
      <c r="B245" s="7" t="s">
        <v>1070</v>
      </c>
      <c r="C245" s="7" t="s">
        <v>1223</v>
      </c>
      <c r="D245" s="7" t="s">
        <v>1097</v>
      </c>
      <c r="E245" s="5" t="s">
        <v>939</v>
      </c>
      <c r="F245" s="5">
        <v>0</v>
      </c>
      <c r="G245" s="5">
        <v>0</v>
      </c>
      <c r="H245" s="5">
        <v>1</v>
      </c>
      <c r="I245" s="5">
        <v>0</v>
      </c>
      <c r="J245" s="5">
        <v>0</v>
      </c>
      <c r="K245" s="5">
        <v>0</v>
      </c>
      <c r="L245" s="5">
        <v>1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1</v>
      </c>
      <c r="T245" s="5">
        <v>0</v>
      </c>
      <c r="U245" s="5">
        <v>0</v>
      </c>
      <c r="V245" s="5">
        <v>0</v>
      </c>
      <c r="W245" s="5">
        <v>0</v>
      </c>
      <c r="X245" s="7">
        <f t="shared" si="46"/>
        <v>3</v>
      </c>
      <c r="Y245" s="8">
        <f t="shared" si="38"/>
        <v>0.16666666666666669</v>
      </c>
      <c r="Z245" s="14" t="str">
        <f t="shared" si="39"/>
        <v>DEFASAGEM</v>
      </c>
      <c r="AA245" s="5">
        <v>1</v>
      </c>
      <c r="AB245" s="5">
        <v>0</v>
      </c>
      <c r="AC245" s="5">
        <v>0</v>
      </c>
      <c r="AD245" s="5">
        <v>1</v>
      </c>
      <c r="AE245" s="5">
        <v>0</v>
      </c>
      <c r="AF245" s="5">
        <v>0</v>
      </c>
      <c r="AG245" s="5">
        <v>1</v>
      </c>
      <c r="AH245" s="5">
        <v>0</v>
      </c>
      <c r="AI245" s="5">
        <v>0</v>
      </c>
      <c r="AJ245" s="5">
        <v>0</v>
      </c>
      <c r="AK245" s="5">
        <v>1</v>
      </c>
      <c r="AL245" s="5">
        <v>1</v>
      </c>
      <c r="AM245" s="5">
        <v>0</v>
      </c>
      <c r="AN245" s="5">
        <v>0</v>
      </c>
      <c r="AO245" s="5">
        <v>1</v>
      </c>
      <c r="AP245" s="5">
        <v>0</v>
      </c>
      <c r="AQ245" s="5">
        <v>1</v>
      </c>
      <c r="AR245" s="5">
        <v>0</v>
      </c>
      <c r="AS245" s="7">
        <f t="shared" si="47"/>
        <v>7</v>
      </c>
      <c r="AT245" s="8">
        <f t="shared" si="41"/>
        <v>0.38888888888888884</v>
      </c>
      <c r="AU245" s="14" t="str">
        <f t="shared" si="42"/>
        <v>DEFASAGEM</v>
      </c>
      <c r="AV245" s="7">
        <f t="shared" si="43"/>
        <v>10</v>
      </c>
      <c r="AW245" s="8">
        <f t="shared" si="44"/>
        <v>0.27777777777777779</v>
      </c>
    </row>
    <row r="246" spans="1:49" ht="15.75" customHeight="1" x14ac:dyDescent="0.25">
      <c r="A246" s="5" t="s">
        <v>13</v>
      </c>
      <c r="B246" s="7" t="s">
        <v>710</v>
      </c>
      <c r="C246" s="7" t="s">
        <v>1104</v>
      </c>
      <c r="D246" s="7" t="s">
        <v>1097</v>
      </c>
      <c r="E246" s="5" t="s">
        <v>940</v>
      </c>
      <c r="F246" s="5">
        <v>1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v>1</v>
      </c>
      <c r="Q246" s="5">
        <v>1</v>
      </c>
      <c r="R246" s="5">
        <v>1</v>
      </c>
      <c r="S246" s="5">
        <v>1</v>
      </c>
      <c r="T246" s="5">
        <v>1</v>
      </c>
      <c r="U246" s="5">
        <v>1</v>
      </c>
      <c r="V246" s="5">
        <v>0</v>
      </c>
      <c r="W246" s="5">
        <v>1</v>
      </c>
      <c r="X246" s="7">
        <f t="shared" si="46"/>
        <v>17</v>
      </c>
      <c r="Y246" s="8">
        <f t="shared" si="38"/>
        <v>0.94444444444444442</v>
      </c>
      <c r="Z246" s="14" t="str">
        <f t="shared" si="39"/>
        <v>ADEQUADA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0</v>
      </c>
      <c r="AJ246" s="5">
        <v>1</v>
      </c>
      <c r="AK246" s="5">
        <v>1</v>
      </c>
      <c r="AL246" s="5">
        <v>0</v>
      </c>
      <c r="AM246" s="5">
        <v>1</v>
      </c>
      <c r="AN246" s="5">
        <v>1</v>
      </c>
      <c r="AO246" s="5">
        <v>1</v>
      </c>
      <c r="AP246" s="5">
        <v>0</v>
      </c>
      <c r="AQ246" s="5">
        <v>1</v>
      </c>
      <c r="AR246" s="5">
        <v>1</v>
      </c>
      <c r="AS246" s="7">
        <f t="shared" si="47"/>
        <v>15</v>
      </c>
      <c r="AT246" s="8">
        <f t="shared" si="41"/>
        <v>0.83333333333333326</v>
      </c>
      <c r="AU246" s="14" t="str">
        <f t="shared" si="42"/>
        <v>ADEQUADA</v>
      </c>
      <c r="AV246" s="7">
        <f t="shared" si="43"/>
        <v>32</v>
      </c>
      <c r="AW246" s="8">
        <f t="shared" si="44"/>
        <v>0.88888888888888884</v>
      </c>
    </row>
    <row r="247" spans="1:49" ht="15.75" customHeight="1" x14ac:dyDescent="0.25">
      <c r="A247" s="5" t="s">
        <v>13</v>
      </c>
      <c r="B247" s="7" t="s">
        <v>710</v>
      </c>
      <c r="C247" s="7" t="s">
        <v>1105</v>
      </c>
      <c r="D247" s="7" t="s">
        <v>1097</v>
      </c>
      <c r="E247" s="5" t="s">
        <v>941</v>
      </c>
      <c r="F247" s="5">
        <v>0</v>
      </c>
      <c r="G247" s="5">
        <v>0</v>
      </c>
      <c r="H247" s="5">
        <v>1</v>
      </c>
      <c r="I247" s="5">
        <v>0</v>
      </c>
      <c r="J247" s="5">
        <v>1</v>
      </c>
      <c r="K247" s="5">
        <v>1</v>
      </c>
      <c r="L247" s="5">
        <v>0</v>
      </c>
      <c r="M247" s="5">
        <v>1</v>
      </c>
      <c r="N247" s="5">
        <v>0</v>
      </c>
      <c r="O247" s="5">
        <v>1</v>
      </c>
      <c r="P247" s="5">
        <v>1</v>
      </c>
      <c r="Q247" s="5">
        <v>0</v>
      </c>
      <c r="R247" s="5">
        <v>0</v>
      </c>
      <c r="S247" s="5">
        <v>0</v>
      </c>
      <c r="T247" s="5">
        <v>1</v>
      </c>
      <c r="U247" s="5">
        <v>1</v>
      </c>
      <c r="V247" s="5">
        <v>0</v>
      </c>
      <c r="W247" s="5">
        <v>1</v>
      </c>
      <c r="X247" s="7">
        <f t="shared" si="46"/>
        <v>9</v>
      </c>
      <c r="Y247" s="8">
        <f t="shared" si="38"/>
        <v>0.5</v>
      </c>
      <c r="Z247" s="14" t="str">
        <f t="shared" si="39"/>
        <v>INTERMEDIÁRIO</v>
      </c>
      <c r="AA247" s="5">
        <v>0</v>
      </c>
      <c r="AB247" s="5">
        <v>1</v>
      </c>
      <c r="AC247" s="5">
        <v>0</v>
      </c>
      <c r="AD247" s="5">
        <v>1</v>
      </c>
      <c r="AE247" s="5">
        <v>0</v>
      </c>
      <c r="AF247" s="5">
        <v>0</v>
      </c>
      <c r="AG247" s="5">
        <v>1</v>
      </c>
      <c r="AH247" s="5">
        <v>0</v>
      </c>
      <c r="AI247" s="5">
        <v>1</v>
      </c>
      <c r="AJ247" s="5">
        <v>0</v>
      </c>
      <c r="AK247" s="5">
        <v>0</v>
      </c>
      <c r="AL247" s="5">
        <v>0</v>
      </c>
      <c r="AM247" s="5">
        <v>0</v>
      </c>
      <c r="AN247" s="5">
        <v>1</v>
      </c>
      <c r="AO247" s="5">
        <v>1</v>
      </c>
      <c r="AP247" s="5">
        <v>0</v>
      </c>
      <c r="AQ247" s="5">
        <v>1</v>
      </c>
      <c r="AR247" s="5">
        <v>0</v>
      </c>
      <c r="AS247" s="7">
        <f t="shared" si="47"/>
        <v>7</v>
      </c>
      <c r="AT247" s="8">
        <f t="shared" si="41"/>
        <v>0.38888888888888884</v>
      </c>
      <c r="AU247" s="14" t="str">
        <f t="shared" si="42"/>
        <v>DEFASAGEM</v>
      </c>
      <c r="AV247" s="7">
        <f t="shared" si="43"/>
        <v>16</v>
      </c>
      <c r="AW247" s="8">
        <f t="shared" si="44"/>
        <v>0.44444444444444442</v>
      </c>
    </row>
    <row r="248" spans="1:49" ht="15.75" customHeight="1" x14ac:dyDescent="0.25">
      <c r="A248" s="5" t="s">
        <v>13</v>
      </c>
      <c r="B248" s="7" t="s">
        <v>710</v>
      </c>
      <c r="C248" s="7" t="s">
        <v>1162</v>
      </c>
      <c r="D248" s="7" t="s">
        <v>1097</v>
      </c>
      <c r="E248" s="5" t="s">
        <v>942</v>
      </c>
      <c r="F248" s="5">
        <v>1</v>
      </c>
      <c r="G248" s="5">
        <v>1</v>
      </c>
      <c r="H248" s="5">
        <v>1</v>
      </c>
      <c r="I248" s="5">
        <v>0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0</v>
      </c>
      <c r="P248" s="5">
        <v>0</v>
      </c>
      <c r="Q248" s="5">
        <v>0</v>
      </c>
      <c r="R248" s="5">
        <v>1</v>
      </c>
      <c r="S248" s="5">
        <v>0</v>
      </c>
      <c r="T248" s="5">
        <v>1</v>
      </c>
      <c r="U248" s="5">
        <v>1</v>
      </c>
      <c r="V248" s="5">
        <v>0</v>
      </c>
      <c r="W248" s="5">
        <v>1</v>
      </c>
      <c r="X248" s="7">
        <f t="shared" si="46"/>
        <v>12</v>
      </c>
      <c r="Y248" s="8">
        <f t="shared" si="38"/>
        <v>0.66666666666666674</v>
      </c>
      <c r="Z248" s="14" t="str">
        <f t="shared" si="39"/>
        <v>INTERMEDIÁRIO</v>
      </c>
      <c r="AA248" s="5">
        <v>1</v>
      </c>
      <c r="AB248" s="5">
        <v>1</v>
      </c>
      <c r="AC248" s="5">
        <v>1</v>
      </c>
      <c r="AD248" s="5">
        <v>1</v>
      </c>
      <c r="AE248" s="5">
        <v>0</v>
      </c>
      <c r="AF248" s="5">
        <v>1</v>
      </c>
      <c r="AG248" s="5">
        <v>0</v>
      </c>
      <c r="AH248" s="5">
        <v>1</v>
      </c>
      <c r="AI248" s="5">
        <v>1</v>
      </c>
      <c r="AJ248" s="5">
        <v>0</v>
      </c>
      <c r="AK248" s="5">
        <v>0</v>
      </c>
      <c r="AL248" s="5">
        <v>1</v>
      </c>
      <c r="AM248" s="5">
        <v>0</v>
      </c>
      <c r="AN248" s="5">
        <v>0</v>
      </c>
      <c r="AO248" s="5">
        <v>0</v>
      </c>
      <c r="AP248" s="5">
        <v>0</v>
      </c>
      <c r="AQ248" s="5">
        <v>1</v>
      </c>
      <c r="AR248" s="5">
        <v>1</v>
      </c>
      <c r="AS248" s="7">
        <f t="shared" si="47"/>
        <v>10</v>
      </c>
      <c r="AT248" s="8">
        <f t="shared" si="41"/>
        <v>0.55555555555555558</v>
      </c>
      <c r="AU248" s="14" t="str">
        <f t="shared" si="42"/>
        <v>INTERMEDIÁRIO</v>
      </c>
      <c r="AV248" s="7">
        <f t="shared" si="43"/>
        <v>22</v>
      </c>
      <c r="AW248" s="8">
        <f t="shared" si="44"/>
        <v>0.61111111111111116</v>
      </c>
    </row>
    <row r="249" spans="1:49" ht="15.75" customHeight="1" x14ac:dyDescent="0.25">
      <c r="A249" s="5" t="s">
        <v>13</v>
      </c>
      <c r="B249" s="7" t="s">
        <v>710</v>
      </c>
      <c r="C249" s="7" t="s">
        <v>1104</v>
      </c>
      <c r="D249" s="7" t="s">
        <v>1097</v>
      </c>
      <c r="E249" s="5" t="s">
        <v>943</v>
      </c>
      <c r="F249" s="5">
        <v>1</v>
      </c>
      <c r="G249" s="5">
        <v>1</v>
      </c>
      <c r="H249" s="5">
        <v>0</v>
      </c>
      <c r="I249" s="5">
        <v>0</v>
      </c>
      <c r="J249" s="5">
        <v>1</v>
      </c>
      <c r="K249" s="5">
        <v>0</v>
      </c>
      <c r="L249" s="5">
        <v>0</v>
      </c>
      <c r="M249" s="5">
        <v>0</v>
      </c>
      <c r="N249" s="5">
        <v>1</v>
      </c>
      <c r="O249" s="5">
        <v>1</v>
      </c>
      <c r="P249" s="5">
        <v>0</v>
      </c>
      <c r="Q249" s="5">
        <v>0</v>
      </c>
      <c r="R249" s="5">
        <v>1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7">
        <f t="shared" si="46"/>
        <v>6</v>
      </c>
      <c r="Y249" s="8">
        <f t="shared" si="38"/>
        <v>0.33333333333333337</v>
      </c>
      <c r="Z249" s="14" t="str">
        <f t="shared" si="39"/>
        <v>DEFASAGEM</v>
      </c>
      <c r="AA249" s="5">
        <v>1</v>
      </c>
      <c r="AB249" s="5">
        <v>1</v>
      </c>
      <c r="AC249" s="9">
        <v>1</v>
      </c>
      <c r="AD249" s="9">
        <v>1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1</v>
      </c>
      <c r="AK249" s="9">
        <v>1</v>
      </c>
      <c r="AL249" s="5">
        <v>1</v>
      </c>
      <c r="AM249" s="5">
        <v>0</v>
      </c>
      <c r="AN249" s="5">
        <v>1</v>
      </c>
      <c r="AO249" s="5">
        <v>0</v>
      </c>
      <c r="AP249" s="5">
        <v>0</v>
      </c>
      <c r="AQ249" s="5">
        <v>0</v>
      </c>
      <c r="AR249" s="5">
        <v>0</v>
      </c>
      <c r="AS249" s="7">
        <f t="shared" si="47"/>
        <v>8</v>
      </c>
      <c r="AT249" s="8">
        <f t="shared" si="41"/>
        <v>0.44444444444444442</v>
      </c>
      <c r="AU249" s="14" t="str">
        <f t="shared" si="42"/>
        <v>INTERMEDIÁRIO</v>
      </c>
      <c r="AV249" s="7">
        <f t="shared" si="43"/>
        <v>14</v>
      </c>
      <c r="AW249" s="8">
        <f t="shared" si="44"/>
        <v>0.38888888888888884</v>
      </c>
    </row>
    <row r="250" spans="1:49" ht="15.75" customHeight="1" x14ac:dyDescent="0.25">
      <c r="A250" s="5" t="s">
        <v>13</v>
      </c>
      <c r="B250" s="7" t="s">
        <v>710</v>
      </c>
      <c r="C250" s="7" t="s">
        <v>1220</v>
      </c>
      <c r="D250" s="7" t="s">
        <v>1097</v>
      </c>
      <c r="E250" s="5" t="s">
        <v>944</v>
      </c>
      <c r="F250" s="5">
        <v>1</v>
      </c>
      <c r="G250" s="5">
        <v>0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0</v>
      </c>
      <c r="N250" s="5">
        <v>1</v>
      </c>
      <c r="O250" s="5">
        <v>0</v>
      </c>
      <c r="P250" s="5">
        <v>1</v>
      </c>
      <c r="Q250" s="5">
        <v>0</v>
      </c>
      <c r="R250" s="9">
        <v>1</v>
      </c>
      <c r="S250" s="9">
        <v>1</v>
      </c>
      <c r="T250" s="9">
        <v>1</v>
      </c>
      <c r="U250" s="9">
        <v>1</v>
      </c>
      <c r="V250" s="9">
        <v>0</v>
      </c>
      <c r="W250" s="9">
        <v>0</v>
      </c>
      <c r="X250" s="7">
        <f t="shared" si="46"/>
        <v>12</v>
      </c>
      <c r="Y250" s="8">
        <f t="shared" si="38"/>
        <v>0.66666666666666674</v>
      </c>
      <c r="Z250" s="14" t="str">
        <f t="shared" si="39"/>
        <v>INTERMEDIÁRIO</v>
      </c>
      <c r="AA250" s="9">
        <v>1</v>
      </c>
      <c r="AB250" s="9">
        <v>1</v>
      </c>
      <c r="AC250" s="9">
        <v>1</v>
      </c>
      <c r="AD250" s="9">
        <v>1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5">
        <v>1</v>
      </c>
      <c r="AM250" s="5">
        <v>0</v>
      </c>
      <c r="AN250" s="5">
        <v>1</v>
      </c>
      <c r="AO250" s="5">
        <v>0</v>
      </c>
      <c r="AP250" s="5">
        <v>0</v>
      </c>
      <c r="AQ250" s="5">
        <v>1</v>
      </c>
      <c r="AR250" s="5">
        <v>1</v>
      </c>
      <c r="AS250" s="7">
        <f t="shared" si="47"/>
        <v>8</v>
      </c>
      <c r="AT250" s="8">
        <f t="shared" si="41"/>
        <v>0.44444444444444442</v>
      </c>
      <c r="AU250" s="14" t="str">
        <f t="shared" si="42"/>
        <v>INTERMEDIÁRIO</v>
      </c>
      <c r="AV250" s="7">
        <f t="shared" si="43"/>
        <v>20</v>
      </c>
      <c r="AW250" s="8">
        <f t="shared" si="44"/>
        <v>0.55555555555555558</v>
      </c>
    </row>
    <row r="251" spans="1:49" ht="15.75" customHeight="1" x14ac:dyDescent="0.25">
      <c r="A251" s="5" t="s">
        <v>13</v>
      </c>
      <c r="B251" s="7" t="s">
        <v>710</v>
      </c>
      <c r="C251" s="7" t="s">
        <v>1103</v>
      </c>
      <c r="D251" s="7" t="s">
        <v>1097</v>
      </c>
      <c r="E251" s="5" t="s">
        <v>945</v>
      </c>
      <c r="F251" s="5">
        <v>1</v>
      </c>
      <c r="G251" s="5">
        <v>0</v>
      </c>
      <c r="H251" s="5">
        <v>1</v>
      </c>
      <c r="I251" s="5">
        <v>0</v>
      </c>
      <c r="J251" s="5">
        <v>1</v>
      </c>
      <c r="K251" s="5">
        <v>1</v>
      </c>
      <c r="L251" s="5">
        <v>1</v>
      </c>
      <c r="M251" s="5">
        <v>1</v>
      </c>
      <c r="N251" s="5">
        <v>1</v>
      </c>
      <c r="O251" s="5">
        <v>0</v>
      </c>
      <c r="P251" s="5">
        <v>1</v>
      </c>
      <c r="Q251" s="5">
        <v>1</v>
      </c>
      <c r="R251" s="9">
        <v>0</v>
      </c>
      <c r="S251" s="9">
        <v>1</v>
      </c>
      <c r="T251" s="9">
        <v>1</v>
      </c>
      <c r="U251" s="9">
        <v>1</v>
      </c>
      <c r="V251" s="9">
        <v>1</v>
      </c>
      <c r="W251" s="9">
        <v>1</v>
      </c>
      <c r="X251" s="7">
        <f t="shared" si="46"/>
        <v>14</v>
      </c>
      <c r="Y251" s="8">
        <f t="shared" si="38"/>
        <v>0.77777777777777768</v>
      </c>
      <c r="Z251" s="14" t="str">
        <f t="shared" si="39"/>
        <v>ADEQUADA</v>
      </c>
      <c r="AA251" s="9">
        <v>1</v>
      </c>
      <c r="AB251" s="9">
        <v>1</v>
      </c>
      <c r="AC251" s="9">
        <v>1</v>
      </c>
      <c r="AD251" s="9">
        <v>1</v>
      </c>
      <c r="AE251" s="9">
        <v>0</v>
      </c>
      <c r="AF251" s="9">
        <v>1</v>
      </c>
      <c r="AG251" s="9">
        <v>0</v>
      </c>
      <c r="AH251" s="9">
        <v>1</v>
      </c>
      <c r="AI251" s="9">
        <v>1</v>
      </c>
      <c r="AJ251" s="9">
        <v>1</v>
      </c>
      <c r="AK251" s="9">
        <v>0</v>
      </c>
      <c r="AL251" s="5">
        <v>1</v>
      </c>
      <c r="AM251" s="5">
        <v>1</v>
      </c>
      <c r="AN251" s="5">
        <v>0</v>
      </c>
      <c r="AO251" s="5">
        <v>1</v>
      </c>
      <c r="AP251" s="5">
        <v>1</v>
      </c>
      <c r="AQ251" s="5">
        <v>1</v>
      </c>
      <c r="AR251" s="5">
        <v>1</v>
      </c>
      <c r="AS251" s="7">
        <f t="shared" si="47"/>
        <v>14</v>
      </c>
      <c r="AT251" s="8">
        <f t="shared" si="41"/>
        <v>0.77777777777777768</v>
      </c>
      <c r="AU251" s="14" t="str">
        <f t="shared" si="42"/>
        <v>ADEQUADA</v>
      </c>
      <c r="AV251" s="7">
        <f t="shared" si="43"/>
        <v>28</v>
      </c>
      <c r="AW251" s="8">
        <f t="shared" si="44"/>
        <v>0.77777777777777768</v>
      </c>
    </row>
    <row r="252" spans="1:49" ht="15.75" customHeight="1" x14ac:dyDescent="0.25">
      <c r="A252" s="5" t="s">
        <v>13</v>
      </c>
      <c r="B252" s="7" t="s">
        <v>710</v>
      </c>
      <c r="C252" s="7" t="s">
        <v>1162</v>
      </c>
      <c r="D252" s="7" t="s">
        <v>1097</v>
      </c>
      <c r="E252" s="5" t="s">
        <v>946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1</v>
      </c>
      <c r="L252" s="5">
        <v>1</v>
      </c>
      <c r="M252" s="5">
        <v>0</v>
      </c>
      <c r="N252" s="5">
        <v>1</v>
      </c>
      <c r="O252" s="5">
        <v>0</v>
      </c>
      <c r="P252" s="5">
        <v>0</v>
      </c>
      <c r="Q252" s="5">
        <v>1</v>
      </c>
      <c r="R252" s="9">
        <v>0</v>
      </c>
      <c r="S252" s="9">
        <v>1</v>
      </c>
      <c r="T252" s="9">
        <v>0</v>
      </c>
      <c r="U252" s="9">
        <v>1</v>
      </c>
      <c r="V252" s="9">
        <v>0</v>
      </c>
      <c r="W252" s="9">
        <v>0</v>
      </c>
      <c r="X252" s="7">
        <f t="shared" si="46"/>
        <v>6</v>
      </c>
      <c r="Y252" s="8">
        <f t="shared" si="38"/>
        <v>0.33333333333333337</v>
      </c>
      <c r="Z252" s="14" t="str">
        <f t="shared" si="39"/>
        <v>DEFASAGEM</v>
      </c>
      <c r="AA252" s="9">
        <v>1</v>
      </c>
      <c r="AB252" s="9">
        <v>1</v>
      </c>
      <c r="AC252" s="9">
        <v>1</v>
      </c>
      <c r="AD252" s="9">
        <v>1</v>
      </c>
      <c r="AE252" s="9">
        <v>1</v>
      </c>
      <c r="AF252" s="9">
        <v>1</v>
      </c>
      <c r="AG252" s="9">
        <v>0</v>
      </c>
      <c r="AH252" s="9">
        <v>0</v>
      </c>
      <c r="AI252" s="9">
        <v>1</v>
      </c>
      <c r="AJ252" s="9">
        <v>0</v>
      </c>
      <c r="AK252" s="9">
        <v>0</v>
      </c>
      <c r="AL252" s="5">
        <v>1</v>
      </c>
      <c r="AM252" s="5">
        <v>0</v>
      </c>
      <c r="AN252" s="5">
        <v>0</v>
      </c>
      <c r="AO252" s="5">
        <v>1</v>
      </c>
      <c r="AP252" s="5">
        <v>0</v>
      </c>
      <c r="AQ252" s="5">
        <v>1</v>
      </c>
      <c r="AR252" s="5">
        <v>0</v>
      </c>
      <c r="AS252" s="7">
        <f t="shared" si="47"/>
        <v>10</v>
      </c>
      <c r="AT252" s="8">
        <f t="shared" si="41"/>
        <v>0.55555555555555558</v>
      </c>
      <c r="AU252" s="14" t="str">
        <f t="shared" si="42"/>
        <v>INTERMEDIÁRIO</v>
      </c>
      <c r="AV252" s="7">
        <f t="shared" si="43"/>
        <v>16</v>
      </c>
      <c r="AW252" s="8">
        <f t="shared" si="44"/>
        <v>0.44444444444444442</v>
      </c>
    </row>
    <row r="253" spans="1:49" ht="15.75" customHeight="1" x14ac:dyDescent="0.25">
      <c r="A253" s="5" t="s">
        <v>13</v>
      </c>
      <c r="B253" s="7" t="s">
        <v>710</v>
      </c>
      <c r="C253" s="7" t="s">
        <v>1104</v>
      </c>
      <c r="D253" s="7" t="s">
        <v>1097</v>
      </c>
      <c r="E253" s="5" t="s">
        <v>947</v>
      </c>
      <c r="F253" s="5">
        <v>0</v>
      </c>
      <c r="G253" s="5">
        <v>0</v>
      </c>
      <c r="H253" s="5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1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7">
        <f t="shared" si="46"/>
        <v>1</v>
      </c>
      <c r="Y253" s="8">
        <f t="shared" si="38"/>
        <v>5.5555555555555552E-2</v>
      </c>
      <c r="Z253" s="14" t="str">
        <f t="shared" si="39"/>
        <v>DEFASAGEM</v>
      </c>
      <c r="AA253" s="9">
        <v>1</v>
      </c>
      <c r="AB253" s="9">
        <v>0</v>
      </c>
      <c r="AC253" s="9">
        <v>1</v>
      </c>
      <c r="AD253" s="9">
        <v>0</v>
      </c>
      <c r="AE253" s="9">
        <v>0</v>
      </c>
      <c r="AF253" s="9">
        <v>0</v>
      </c>
      <c r="AG253" s="9">
        <v>1</v>
      </c>
      <c r="AH253" s="9">
        <v>0</v>
      </c>
      <c r="AI253" s="9">
        <v>0</v>
      </c>
      <c r="AJ253" s="9">
        <v>0</v>
      </c>
      <c r="AK253" s="9">
        <v>0</v>
      </c>
      <c r="AL253" s="5">
        <v>0</v>
      </c>
      <c r="AM253" s="5">
        <v>0</v>
      </c>
      <c r="AN253" s="5">
        <v>1</v>
      </c>
      <c r="AO253" s="5">
        <v>0</v>
      </c>
      <c r="AP253" s="5">
        <v>1</v>
      </c>
      <c r="AQ253" s="5">
        <v>0</v>
      </c>
      <c r="AR253" s="5">
        <v>1</v>
      </c>
      <c r="AS253" s="7">
        <f t="shared" si="47"/>
        <v>6</v>
      </c>
      <c r="AT253" s="8">
        <f t="shared" si="41"/>
        <v>0.33333333333333337</v>
      </c>
      <c r="AU253" s="14" t="str">
        <f t="shared" si="42"/>
        <v>DEFASAGEM</v>
      </c>
      <c r="AV253" s="7">
        <f t="shared" si="43"/>
        <v>7</v>
      </c>
      <c r="AW253" s="8">
        <f t="shared" si="44"/>
        <v>0.19444444444444442</v>
      </c>
    </row>
    <row r="254" spans="1:49" ht="15.75" customHeight="1" x14ac:dyDescent="0.25">
      <c r="A254" s="5" t="s">
        <v>13</v>
      </c>
      <c r="B254" s="7" t="s">
        <v>710</v>
      </c>
      <c r="C254" s="7" t="s">
        <v>1162</v>
      </c>
      <c r="D254" s="7" t="s">
        <v>1097</v>
      </c>
      <c r="E254" s="5" t="s">
        <v>948</v>
      </c>
      <c r="F254" s="5">
        <v>0</v>
      </c>
      <c r="G254" s="5">
        <v>1</v>
      </c>
      <c r="H254" s="5">
        <v>1</v>
      </c>
      <c r="I254" s="9">
        <v>1</v>
      </c>
      <c r="J254" s="9">
        <v>1</v>
      </c>
      <c r="K254" s="9">
        <v>1</v>
      </c>
      <c r="L254" s="9">
        <v>1</v>
      </c>
      <c r="M254" s="9">
        <v>1</v>
      </c>
      <c r="N254" s="9">
        <v>1</v>
      </c>
      <c r="O254" s="9">
        <v>1</v>
      </c>
      <c r="P254" s="9">
        <v>1</v>
      </c>
      <c r="Q254" s="9">
        <v>1</v>
      </c>
      <c r="R254" s="9">
        <v>1</v>
      </c>
      <c r="S254" s="9">
        <v>1</v>
      </c>
      <c r="T254" s="9">
        <v>1</v>
      </c>
      <c r="U254" s="9">
        <v>1</v>
      </c>
      <c r="V254" s="9">
        <v>1</v>
      </c>
      <c r="W254" s="9">
        <v>1</v>
      </c>
      <c r="X254" s="7">
        <f t="shared" si="46"/>
        <v>17</v>
      </c>
      <c r="Y254" s="8">
        <f t="shared" si="38"/>
        <v>0.94444444444444442</v>
      </c>
      <c r="Z254" s="14" t="str">
        <f t="shared" si="39"/>
        <v>ADEQUADA</v>
      </c>
      <c r="AA254" s="9">
        <v>1</v>
      </c>
      <c r="AB254" s="9">
        <v>1</v>
      </c>
      <c r="AC254" s="9">
        <v>1</v>
      </c>
      <c r="AD254" s="9">
        <v>1</v>
      </c>
      <c r="AE254" s="9">
        <v>1</v>
      </c>
      <c r="AF254" s="9">
        <v>1</v>
      </c>
      <c r="AG254" s="9">
        <v>1</v>
      </c>
      <c r="AH254" s="9">
        <v>1</v>
      </c>
      <c r="AI254" s="9">
        <v>0</v>
      </c>
      <c r="AJ254" s="9">
        <v>0</v>
      </c>
      <c r="AK254" s="9">
        <v>1</v>
      </c>
      <c r="AL254" s="5">
        <v>0</v>
      </c>
      <c r="AM254" s="5">
        <v>0</v>
      </c>
      <c r="AN254" s="5">
        <v>1</v>
      </c>
      <c r="AO254" s="5">
        <v>1</v>
      </c>
      <c r="AP254" s="5">
        <v>0</v>
      </c>
      <c r="AQ254" s="5">
        <v>1</v>
      </c>
      <c r="AR254" s="5">
        <v>1</v>
      </c>
      <c r="AS254" s="7">
        <f t="shared" si="47"/>
        <v>13</v>
      </c>
      <c r="AT254" s="8">
        <f t="shared" si="41"/>
        <v>0.72222222222222232</v>
      </c>
      <c r="AU254" s="14" t="str">
        <f t="shared" si="42"/>
        <v>ADEQUADA</v>
      </c>
      <c r="AV254" s="7">
        <f t="shared" si="43"/>
        <v>30</v>
      </c>
      <c r="AW254" s="8">
        <f t="shared" si="44"/>
        <v>0.83333333333333326</v>
      </c>
    </row>
    <row r="255" spans="1:49" ht="15.75" customHeight="1" x14ac:dyDescent="0.25">
      <c r="A255" s="5" t="s">
        <v>13</v>
      </c>
      <c r="B255" s="7" t="s">
        <v>710</v>
      </c>
      <c r="C255" s="7" t="s">
        <v>1220</v>
      </c>
      <c r="D255" s="7" t="s">
        <v>1097</v>
      </c>
      <c r="E255" s="5" t="s">
        <v>949</v>
      </c>
      <c r="F255" s="5">
        <v>0</v>
      </c>
      <c r="G255" s="5">
        <v>1</v>
      </c>
      <c r="H255" s="5">
        <v>1</v>
      </c>
      <c r="I255" s="9">
        <v>1</v>
      </c>
      <c r="J255" s="9">
        <v>1</v>
      </c>
      <c r="K255" s="9">
        <v>1</v>
      </c>
      <c r="L255" s="9">
        <v>1</v>
      </c>
      <c r="M255" s="9">
        <v>1</v>
      </c>
      <c r="N255" s="9">
        <v>1</v>
      </c>
      <c r="O255" s="9">
        <v>1</v>
      </c>
      <c r="P255" s="9">
        <v>1</v>
      </c>
      <c r="Q255" s="9">
        <v>1</v>
      </c>
      <c r="R255" s="5">
        <v>1</v>
      </c>
      <c r="S255" s="5">
        <v>1</v>
      </c>
      <c r="T255" s="5">
        <v>1</v>
      </c>
      <c r="U255" s="5">
        <v>1</v>
      </c>
      <c r="V255" s="5">
        <v>1</v>
      </c>
      <c r="W255" s="5">
        <v>1</v>
      </c>
      <c r="X255" s="7">
        <f t="shared" si="46"/>
        <v>17</v>
      </c>
      <c r="Y255" s="8">
        <f t="shared" si="38"/>
        <v>0.94444444444444442</v>
      </c>
      <c r="Z255" s="14" t="str">
        <f t="shared" si="39"/>
        <v>ADEQUADA</v>
      </c>
      <c r="AA255" s="5">
        <v>1</v>
      </c>
      <c r="AB255" s="5">
        <v>1</v>
      </c>
      <c r="AC255" s="5">
        <v>1</v>
      </c>
      <c r="AD255" s="5">
        <v>1</v>
      </c>
      <c r="AE255" s="5">
        <v>1</v>
      </c>
      <c r="AF255" s="5">
        <v>1</v>
      </c>
      <c r="AG255" s="5">
        <v>1</v>
      </c>
      <c r="AH255" s="5">
        <v>1</v>
      </c>
      <c r="AI255" s="5">
        <v>0</v>
      </c>
      <c r="AJ255" s="5">
        <v>0</v>
      </c>
      <c r="AK255" s="5">
        <v>1</v>
      </c>
      <c r="AL255" s="5">
        <v>1</v>
      </c>
      <c r="AM255" s="5">
        <v>1</v>
      </c>
      <c r="AN255" s="5">
        <v>1</v>
      </c>
      <c r="AO255" s="5">
        <v>1</v>
      </c>
      <c r="AP255" s="5">
        <v>0</v>
      </c>
      <c r="AQ255" s="5">
        <v>1</v>
      </c>
      <c r="AR255" s="5">
        <v>1</v>
      </c>
      <c r="AS255" s="7">
        <f t="shared" si="47"/>
        <v>15</v>
      </c>
      <c r="AT255" s="8">
        <f t="shared" si="41"/>
        <v>0.83333333333333326</v>
      </c>
      <c r="AU255" s="14" t="str">
        <f t="shared" si="42"/>
        <v>ADEQUADA</v>
      </c>
      <c r="AV255" s="7">
        <f t="shared" si="43"/>
        <v>32</v>
      </c>
      <c r="AW255" s="8">
        <f t="shared" si="44"/>
        <v>0.88888888888888884</v>
      </c>
    </row>
    <row r="256" spans="1:49" ht="15.75" customHeight="1" x14ac:dyDescent="0.25">
      <c r="A256" s="5" t="s">
        <v>13</v>
      </c>
      <c r="B256" s="7" t="s">
        <v>710</v>
      </c>
      <c r="C256" s="7" t="s">
        <v>1162</v>
      </c>
      <c r="D256" s="7" t="s">
        <v>1097</v>
      </c>
      <c r="E256" s="5" t="s">
        <v>950</v>
      </c>
      <c r="F256" s="5">
        <v>1</v>
      </c>
      <c r="G256" s="5">
        <v>1</v>
      </c>
      <c r="H256" s="5">
        <v>1</v>
      </c>
      <c r="I256" s="9">
        <v>0</v>
      </c>
      <c r="J256" s="9">
        <v>1</v>
      </c>
      <c r="K256" s="9">
        <v>1</v>
      </c>
      <c r="L256" s="9">
        <v>0</v>
      </c>
      <c r="M256" s="9">
        <v>1</v>
      </c>
      <c r="N256" s="9">
        <v>1</v>
      </c>
      <c r="O256" s="9">
        <v>0</v>
      </c>
      <c r="P256" s="9">
        <v>1</v>
      </c>
      <c r="Q256" s="9">
        <v>0</v>
      </c>
      <c r="R256" s="5">
        <v>0</v>
      </c>
      <c r="S256" s="5">
        <v>1</v>
      </c>
      <c r="T256" s="5">
        <v>1</v>
      </c>
      <c r="U256" s="5">
        <v>1</v>
      </c>
      <c r="V256" s="5">
        <v>1</v>
      </c>
      <c r="W256" s="5">
        <v>1</v>
      </c>
      <c r="X256" s="7">
        <f t="shared" si="46"/>
        <v>13</v>
      </c>
      <c r="Y256" s="8">
        <f t="shared" si="38"/>
        <v>0.72222222222222232</v>
      </c>
      <c r="Z256" s="14" t="str">
        <f t="shared" si="39"/>
        <v>ADEQUADA</v>
      </c>
      <c r="AA256" s="5">
        <v>1</v>
      </c>
      <c r="AB256" s="5">
        <v>1</v>
      </c>
      <c r="AC256" s="5">
        <v>1</v>
      </c>
      <c r="AD256" s="5">
        <v>1</v>
      </c>
      <c r="AE256" s="5">
        <v>0</v>
      </c>
      <c r="AF256" s="5">
        <v>1</v>
      </c>
      <c r="AG256" s="5">
        <v>1</v>
      </c>
      <c r="AH256" s="5">
        <v>1</v>
      </c>
      <c r="AI256" s="5">
        <v>1</v>
      </c>
      <c r="AJ256" s="5">
        <v>0</v>
      </c>
      <c r="AK256" s="5">
        <v>1</v>
      </c>
      <c r="AL256" s="5">
        <v>1</v>
      </c>
      <c r="AM256" s="5">
        <v>0</v>
      </c>
      <c r="AN256" s="5">
        <v>1</v>
      </c>
      <c r="AO256" s="5">
        <v>1</v>
      </c>
      <c r="AP256" s="5">
        <v>0</v>
      </c>
      <c r="AQ256" s="5">
        <v>1</v>
      </c>
      <c r="AR256" s="5">
        <v>1</v>
      </c>
      <c r="AS256" s="7">
        <f t="shared" si="47"/>
        <v>14</v>
      </c>
      <c r="AT256" s="8">
        <f t="shared" si="41"/>
        <v>0.77777777777777768</v>
      </c>
      <c r="AU256" s="14" t="str">
        <f t="shared" si="42"/>
        <v>ADEQUADA</v>
      </c>
      <c r="AV256" s="7">
        <f t="shared" si="43"/>
        <v>27</v>
      </c>
      <c r="AW256" s="8">
        <f t="shared" si="44"/>
        <v>0.75</v>
      </c>
    </row>
    <row r="257" spans="1:49" ht="15.75" customHeight="1" x14ac:dyDescent="0.25">
      <c r="A257" s="5" t="s">
        <v>13</v>
      </c>
      <c r="B257" s="7" t="s">
        <v>710</v>
      </c>
      <c r="C257" s="7" t="s">
        <v>1105</v>
      </c>
      <c r="D257" s="7" t="s">
        <v>1097</v>
      </c>
      <c r="E257" s="5" t="s">
        <v>951</v>
      </c>
      <c r="F257" s="5">
        <v>1</v>
      </c>
      <c r="G257" s="5">
        <v>0</v>
      </c>
      <c r="H257" s="5">
        <v>0</v>
      </c>
      <c r="I257" s="9">
        <v>1</v>
      </c>
      <c r="J257" s="9">
        <v>1</v>
      </c>
      <c r="K257" s="9">
        <v>1</v>
      </c>
      <c r="L257" s="9">
        <v>0</v>
      </c>
      <c r="M257" s="9">
        <v>0</v>
      </c>
      <c r="N257" s="9">
        <v>0</v>
      </c>
      <c r="O257" s="9">
        <v>1</v>
      </c>
      <c r="P257" s="9">
        <v>1</v>
      </c>
      <c r="Q257" s="9">
        <v>1</v>
      </c>
      <c r="R257" s="5">
        <v>1</v>
      </c>
      <c r="S257" s="5">
        <v>0</v>
      </c>
      <c r="T257" s="5">
        <v>1</v>
      </c>
      <c r="U257" s="5">
        <v>0</v>
      </c>
      <c r="V257" s="5">
        <v>0</v>
      </c>
      <c r="W257" s="5">
        <v>1</v>
      </c>
      <c r="X257" s="7">
        <f t="shared" si="46"/>
        <v>10</v>
      </c>
      <c r="Y257" s="8">
        <f t="shared" si="38"/>
        <v>0.55555555555555558</v>
      </c>
      <c r="Z257" s="14" t="str">
        <f t="shared" si="39"/>
        <v>INTERMEDIÁRIO</v>
      </c>
      <c r="AA257" s="5">
        <v>1</v>
      </c>
      <c r="AB257" s="5">
        <v>1</v>
      </c>
      <c r="AC257" s="5">
        <v>0</v>
      </c>
      <c r="AD257" s="5">
        <v>1</v>
      </c>
      <c r="AE257" s="5">
        <v>0</v>
      </c>
      <c r="AF257" s="5">
        <v>1</v>
      </c>
      <c r="AG257" s="5">
        <v>1</v>
      </c>
      <c r="AH257" s="5">
        <v>1</v>
      </c>
      <c r="AI257" s="5">
        <v>0</v>
      </c>
      <c r="AJ257" s="5">
        <v>0</v>
      </c>
      <c r="AK257" s="5">
        <v>0</v>
      </c>
      <c r="AL257" s="5">
        <v>1</v>
      </c>
      <c r="AM257" s="5">
        <v>0</v>
      </c>
      <c r="AN257" s="5">
        <v>0</v>
      </c>
      <c r="AO257" s="5">
        <v>0</v>
      </c>
      <c r="AP257" s="5">
        <v>0</v>
      </c>
      <c r="AQ257" s="5">
        <v>1</v>
      </c>
      <c r="AR257" s="5">
        <v>1</v>
      </c>
      <c r="AS257" s="7">
        <f t="shared" si="47"/>
        <v>9</v>
      </c>
      <c r="AT257" s="8">
        <f t="shared" si="41"/>
        <v>0.5</v>
      </c>
      <c r="AU257" s="14" t="str">
        <f t="shared" si="42"/>
        <v>INTERMEDIÁRIO</v>
      </c>
      <c r="AV257" s="7">
        <f t="shared" si="43"/>
        <v>19</v>
      </c>
      <c r="AW257" s="8">
        <f t="shared" si="44"/>
        <v>0.52777777777777779</v>
      </c>
    </row>
    <row r="258" spans="1:49" ht="15.75" customHeight="1" x14ac:dyDescent="0.25">
      <c r="A258" s="5" t="s">
        <v>13</v>
      </c>
      <c r="B258" s="7" t="s">
        <v>1230</v>
      </c>
      <c r="C258" s="7" t="s">
        <v>1162</v>
      </c>
      <c r="D258" s="7" t="s">
        <v>1097</v>
      </c>
      <c r="E258" s="5" t="s">
        <v>1245</v>
      </c>
      <c r="F258" s="5">
        <v>1</v>
      </c>
      <c r="G258" s="5">
        <v>1</v>
      </c>
      <c r="H258" s="5">
        <v>1</v>
      </c>
      <c r="I258" s="9">
        <v>1</v>
      </c>
      <c r="J258" s="9">
        <v>1</v>
      </c>
      <c r="K258" s="9">
        <v>1</v>
      </c>
      <c r="L258" s="9">
        <v>0</v>
      </c>
      <c r="M258" s="9">
        <v>0</v>
      </c>
      <c r="N258" s="9">
        <v>1</v>
      </c>
      <c r="O258" s="9">
        <v>0</v>
      </c>
      <c r="P258" s="9">
        <v>1</v>
      </c>
      <c r="Q258" s="9">
        <v>1</v>
      </c>
      <c r="R258" s="5">
        <v>1</v>
      </c>
      <c r="S258" s="5">
        <v>0</v>
      </c>
      <c r="T258" s="5">
        <v>0</v>
      </c>
      <c r="U258" s="5">
        <v>1</v>
      </c>
      <c r="V258" s="5">
        <v>1</v>
      </c>
      <c r="W258" s="5">
        <v>1</v>
      </c>
      <c r="X258" s="7">
        <f t="shared" si="46"/>
        <v>13</v>
      </c>
      <c r="Y258" s="8">
        <f t="shared" si="38"/>
        <v>0.72222222222222232</v>
      </c>
      <c r="Z258" s="14" t="str">
        <f t="shared" si="39"/>
        <v>ADEQUADA</v>
      </c>
      <c r="AA258" s="5">
        <v>1</v>
      </c>
      <c r="AB258" s="5">
        <v>1</v>
      </c>
      <c r="AC258" s="5">
        <v>0</v>
      </c>
      <c r="AD258" s="5">
        <v>1</v>
      </c>
      <c r="AE258" s="5">
        <v>0</v>
      </c>
      <c r="AF258" s="5">
        <v>0</v>
      </c>
      <c r="AG258" s="5">
        <v>1</v>
      </c>
      <c r="AH258" s="5">
        <v>0</v>
      </c>
      <c r="AI258" s="5">
        <v>0</v>
      </c>
      <c r="AJ258" s="5">
        <v>0</v>
      </c>
      <c r="AK258" s="5">
        <v>1</v>
      </c>
      <c r="AL258" s="5">
        <v>1</v>
      </c>
      <c r="AM258" s="5">
        <v>0</v>
      </c>
      <c r="AN258" s="5">
        <v>0</v>
      </c>
      <c r="AO258" s="5">
        <v>1</v>
      </c>
      <c r="AP258" s="5">
        <v>0</v>
      </c>
      <c r="AQ258" s="5">
        <v>0</v>
      </c>
      <c r="AR258" s="5">
        <v>1</v>
      </c>
      <c r="AS258" s="7">
        <f t="shared" si="47"/>
        <v>8</v>
      </c>
      <c r="AT258" s="8">
        <f t="shared" si="41"/>
        <v>0.44444444444444442</v>
      </c>
      <c r="AU258" s="14" t="str">
        <f t="shared" si="42"/>
        <v>INTERMEDIÁRIO</v>
      </c>
      <c r="AV258" s="7">
        <f t="shared" si="43"/>
        <v>21</v>
      </c>
      <c r="AW258" s="8">
        <f t="shared" si="44"/>
        <v>0.58333333333333337</v>
      </c>
    </row>
    <row r="259" spans="1:49" ht="15.75" customHeight="1" x14ac:dyDescent="0.25">
      <c r="A259" s="5" t="s">
        <v>13</v>
      </c>
      <c r="B259" s="7" t="s">
        <v>710</v>
      </c>
      <c r="C259" s="7" t="s">
        <v>1162</v>
      </c>
      <c r="D259" s="7" t="s">
        <v>1097</v>
      </c>
      <c r="E259" s="5" t="s">
        <v>952</v>
      </c>
      <c r="F259" s="5">
        <v>1</v>
      </c>
      <c r="G259" s="5">
        <v>1</v>
      </c>
      <c r="H259" s="5">
        <v>1</v>
      </c>
      <c r="I259" s="5">
        <v>1</v>
      </c>
      <c r="J259" s="5">
        <v>1</v>
      </c>
      <c r="K259" s="5">
        <v>1</v>
      </c>
      <c r="L259" s="5">
        <v>1</v>
      </c>
      <c r="M259" s="5">
        <v>0</v>
      </c>
      <c r="N259" s="5">
        <v>1</v>
      </c>
      <c r="O259" s="5">
        <v>0</v>
      </c>
      <c r="P259" s="5">
        <v>1</v>
      </c>
      <c r="Q259" s="5">
        <v>0</v>
      </c>
      <c r="R259" s="5">
        <v>1</v>
      </c>
      <c r="S259" s="5">
        <v>0</v>
      </c>
      <c r="T259" s="5">
        <v>0</v>
      </c>
      <c r="U259" s="5">
        <v>1</v>
      </c>
      <c r="V259" s="5">
        <v>0</v>
      </c>
      <c r="W259" s="5">
        <v>1</v>
      </c>
      <c r="X259" s="7">
        <f t="shared" si="46"/>
        <v>12</v>
      </c>
      <c r="Y259" s="8">
        <f t="shared" si="38"/>
        <v>0.66666666666666674</v>
      </c>
      <c r="Z259" s="14" t="str">
        <f t="shared" si="39"/>
        <v>INTERMEDIÁRIO</v>
      </c>
      <c r="AA259" s="5">
        <v>1</v>
      </c>
      <c r="AB259" s="5">
        <v>1</v>
      </c>
      <c r="AC259" s="5">
        <v>0</v>
      </c>
      <c r="AD259" s="5">
        <v>0</v>
      </c>
      <c r="AE259" s="5">
        <v>0</v>
      </c>
      <c r="AF259" s="5">
        <v>1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1</v>
      </c>
      <c r="AM259" s="5">
        <v>0</v>
      </c>
      <c r="AN259" s="5">
        <v>0</v>
      </c>
      <c r="AO259" s="5">
        <v>0</v>
      </c>
      <c r="AP259" s="5">
        <v>0</v>
      </c>
      <c r="AQ259" s="5">
        <v>1</v>
      </c>
      <c r="AR259" s="5">
        <v>1</v>
      </c>
      <c r="AS259" s="7">
        <f t="shared" si="47"/>
        <v>6</v>
      </c>
      <c r="AT259" s="8">
        <f t="shared" si="41"/>
        <v>0.33333333333333337</v>
      </c>
      <c r="AU259" s="14" t="str">
        <f t="shared" si="42"/>
        <v>DEFASAGEM</v>
      </c>
      <c r="AV259" s="7">
        <f t="shared" si="43"/>
        <v>18</v>
      </c>
      <c r="AW259" s="8">
        <f t="shared" si="44"/>
        <v>0.5</v>
      </c>
    </row>
    <row r="260" spans="1:49" ht="15.75" customHeight="1" x14ac:dyDescent="0.25">
      <c r="A260" s="5" t="s">
        <v>13</v>
      </c>
      <c r="B260" s="7" t="s">
        <v>710</v>
      </c>
      <c r="C260" s="7" t="s">
        <v>1104</v>
      </c>
      <c r="D260" s="7" t="s">
        <v>1097</v>
      </c>
      <c r="E260" s="5" t="s">
        <v>953</v>
      </c>
      <c r="F260" s="5">
        <v>0</v>
      </c>
      <c r="G260" s="5">
        <v>1</v>
      </c>
      <c r="H260" s="5">
        <v>1</v>
      </c>
      <c r="I260" s="5">
        <v>1</v>
      </c>
      <c r="J260" s="5">
        <v>1</v>
      </c>
      <c r="K260" s="5">
        <v>1</v>
      </c>
      <c r="L260" s="5">
        <v>0</v>
      </c>
      <c r="M260" s="5">
        <v>1</v>
      </c>
      <c r="N260" s="5">
        <v>1</v>
      </c>
      <c r="O260" s="5">
        <v>0</v>
      </c>
      <c r="P260" s="5">
        <v>1</v>
      </c>
      <c r="Q260" s="5">
        <v>1</v>
      </c>
      <c r="R260" s="5">
        <v>1</v>
      </c>
      <c r="S260" s="5">
        <v>1</v>
      </c>
      <c r="T260" s="5">
        <v>0</v>
      </c>
      <c r="U260" s="5">
        <v>1</v>
      </c>
      <c r="V260" s="5">
        <v>0</v>
      </c>
      <c r="W260" s="5">
        <v>1</v>
      </c>
      <c r="X260" s="7">
        <f t="shared" si="46"/>
        <v>13</v>
      </c>
      <c r="Y260" s="8">
        <f t="shared" si="38"/>
        <v>0.72222222222222232</v>
      </c>
      <c r="Z260" s="14" t="str">
        <f t="shared" si="39"/>
        <v>ADEQUADA</v>
      </c>
      <c r="AA260" s="5">
        <v>0</v>
      </c>
      <c r="AB260" s="5">
        <v>1</v>
      </c>
      <c r="AC260" s="5">
        <v>1</v>
      </c>
      <c r="AD260" s="5">
        <v>1</v>
      </c>
      <c r="AE260" s="5">
        <v>0</v>
      </c>
      <c r="AF260" s="5">
        <v>1</v>
      </c>
      <c r="AG260" s="5">
        <v>1</v>
      </c>
      <c r="AH260" s="5">
        <v>1</v>
      </c>
      <c r="AI260" s="5">
        <v>0</v>
      </c>
      <c r="AJ260" s="5">
        <v>0</v>
      </c>
      <c r="AK260" s="5">
        <v>0</v>
      </c>
      <c r="AL260" s="5">
        <v>0</v>
      </c>
      <c r="AM260" s="5">
        <v>1</v>
      </c>
      <c r="AN260" s="5">
        <v>0</v>
      </c>
      <c r="AO260" s="5">
        <v>0</v>
      </c>
      <c r="AP260" s="5">
        <v>1</v>
      </c>
      <c r="AQ260" s="5">
        <v>1</v>
      </c>
      <c r="AR260" s="5">
        <v>1</v>
      </c>
      <c r="AS260" s="7">
        <f t="shared" si="47"/>
        <v>10</v>
      </c>
      <c r="AT260" s="8">
        <f t="shared" si="41"/>
        <v>0.55555555555555558</v>
      </c>
      <c r="AU260" s="14" t="str">
        <f t="shared" si="42"/>
        <v>INTERMEDIÁRIO</v>
      </c>
      <c r="AV260" s="7">
        <f t="shared" si="43"/>
        <v>23</v>
      </c>
      <c r="AW260" s="8">
        <f t="shared" si="44"/>
        <v>0.63888888888888884</v>
      </c>
    </row>
    <row r="261" spans="1:49" ht="15.75" customHeight="1" x14ac:dyDescent="0.25">
      <c r="A261" s="5" t="s">
        <v>13</v>
      </c>
      <c r="B261" s="7" t="s">
        <v>710</v>
      </c>
      <c r="C261" s="7" t="s">
        <v>1220</v>
      </c>
      <c r="D261" s="7" t="s">
        <v>1097</v>
      </c>
      <c r="E261" s="5" t="s">
        <v>954</v>
      </c>
      <c r="F261" s="5">
        <v>1</v>
      </c>
      <c r="G261" s="5">
        <v>0</v>
      </c>
      <c r="H261" s="5">
        <v>1</v>
      </c>
      <c r="I261" s="5">
        <v>1</v>
      </c>
      <c r="J261" s="5">
        <v>1</v>
      </c>
      <c r="K261" s="5">
        <v>1</v>
      </c>
      <c r="L261" s="5">
        <v>1</v>
      </c>
      <c r="M261" s="5">
        <v>0</v>
      </c>
      <c r="N261" s="5">
        <v>1</v>
      </c>
      <c r="O261" s="5">
        <v>1</v>
      </c>
      <c r="P261" s="5">
        <v>1</v>
      </c>
      <c r="Q261" s="5">
        <v>1</v>
      </c>
      <c r="R261" s="5">
        <v>1</v>
      </c>
      <c r="S261" s="5">
        <v>1</v>
      </c>
      <c r="T261" s="5">
        <v>0</v>
      </c>
      <c r="U261" s="5">
        <v>1</v>
      </c>
      <c r="V261" s="5">
        <v>1</v>
      </c>
      <c r="W261" s="5">
        <v>1</v>
      </c>
      <c r="X261" s="7">
        <f t="shared" si="46"/>
        <v>15</v>
      </c>
      <c r="Y261" s="8">
        <f t="shared" si="38"/>
        <v>0.83333333333333326</v>
      </c>
      <c r="Z261" s="14" t="str">
        <f t="shared" si="39"/>
        <v>ADEQUADA</v>
      </c>
      <c r="AA261" s="5">
        <v>1</v>
      </c>
      <c r="AB261" s="5">
        <v>1</v>
      </c>
      <c r="AC261" s="5">
        <v>1</v>
      </c>
      <c r="AD261" s="5">
        <v>0</v>
      </c>
      <c r="AE261" s="5">
        <v>0</v>
      </c>
      <c r="AF261" s="5">
        <v>0</v>
      </c>
      <c r="AG261" s="5">
        <v>1</v>
      </c>
      <c r="AH261" s="5">
        <v>1</v>
      </c>
      <c r="AI261" s="5">
        <v>0</v>
      </c>
      <c r="AJ261" s="5">
        <v>1</v>
      </c>
      <c r="AK261" s="5">
        <v>1</v>
      </c>
      <c r="AL261" s="5">
        <v>0</v>
      </c>
      <c r="AM261" s="5">
        <v>1</v>
      </c>
      <c r="AN261" s="5">
        <v>1</v>
      </c>
      <c r="AO261" s="5">
        <v>0</v>
      </c>
      <c r="AP261" s="5">
        <v>0</v>
      </c>
      <c r="AQ261" s="5">
        <v>1</v>
      </c>
      <c r="AR261" s="5">
        <v>1</v>
      </c>
      <c r="AS261" s="7">
        <f t="shared" si="47"/>
        <v>11</v>
      </c>
      <c r="AT261" s="8">
        <f t="shared" si="41"/>
        <v>0.61111111111111116</v>
      </c>
      <c r="AU261" s="14" t="str">
        <f t="shared" si="42"/>
        <v>INTERMEDIÁRIO</v>
      </c>
      <c r="AV261" s="7">
        <f t="shared" si="43"/>
        <v>26</v>
      </c>
      <c r="AW261" s="8">
        <f t="shared" si="44"/>
        <v>0.72222222222222232</v>
      </c>
    </row>
    <row r="262" spans="1:49" ht="15.75" customHeight="1" x14ac:dyDescent="0.25">
      <c r="A262" s="5" t="s">
        <v>13</v>
      </c>
      <c r="B262" s="7" t="s">
        <v>710</v>
      </c>
      <c r="C262" s="7" t="s">
        <v>1104</v>
      </c>
      <c r="D262" s="7" t="s">
        <v>1097</v>
      </c>
      <c r="E262" s="5" t="s">
        <v>955</v>
      </c>
      <c r="F262" s="5">
        <v>1</v>
      </c>
      <c r="G262" s="5">
        <v>0</v>
      </c>
      <c r="H262" s="5">
        <v>1</v>
      </c>
      <c r="I262" s="5">
        <v>1</v>
      </c>
      <c r="J262" s="5">
        <v>1</v>
      </c>
      <c r="K262" s="5">
        <v>0</v>
      </c>
      <c r="L262" s="5">
        <v>1</v>
      </c>
      <c r="M262" s="5">
        <v>1</v>
      </c>
      <c r="N262" s="5">
        <v>1</v>
      </c>
      <c r="O262" s="5">
        <v>0</v>
      </c>
      <c r="P262" s="5">
        <v>0</v>
      </c>
      <c r="Q262" s="5">
        <v>0</v>
      </c>
      <c r="R262" s="5">
        <v>1</v>
      </c>
      <c r="S262" s="5">
        <v>0</v>
      </c>
      <c r="T262" s="5">
        <v>0</v>
      </c>
      <c r="U262" s="5">
        <v>1</v>
      </c>
      <c r="V262" s="5">
        <v>1</v>
      </c>
      <c r="W262" s="5">
        <v>1</v>
      </c>
      <c r="X262" s="7">
        <f t="shared" si="46"/>
        <v>11</v>
      </c>
      <c r="Y262" s="8">
        <f t="shared" si="38"/>
        <v>0.61111111111111116</v>
      </c>
      <c r="Z262" s="14" t="str">
        <f t="shared" si="39"/>
        <v>INTERMEDIÁRIO</v>
      </c>
      <c r="AA262" s="5">
        <v>1</v>
      </c>
      <c r="AB262" s="5">
        <v>1</v>
      </c>
      <c r="AC262" s="5">
        <v>0</v>
      </c>
      <c r="AD262" s="5">
        <v>1</v>
      </c>
      <c r="AE262" s="5">
        <v>0</v>
      </c>
      <c r="AF262" s="5">
        <v>1</v>
      </c>
      <c r="AG262" s="5">
        <v>1</v>
      </c>
      <c r="AH262" s="5">
        <v>0</v>
      </c>
      <c r="AI262" s="5">
        <v>0</v>
      </c>
      <c r="AJ262" s="5">
        <v>1</v>
      </c>
      <c r="AK262" s="5">
        <v>1</v>
      </c>
      <c r="AL262" s="5">
        <v>0</v>
      </c>
      <c r="AM262" s="5">
        <v>1</v>
      </c>
      <c r="AN262" s="5">
        <v>1</v>
      </c>
      <c r="AO262" s="5">
        <v>1</v>
      </c>
      <c r="AP262" s="5">
        <v>0</v>
      </c>
      <c r="AQ262" s="5">
        <v>1</v>
      </c>
      <c r="AR262" s="5">
        <v>1</v>
      </c>
      <c r="AS262" s="7">
        <f t="shared" si="47"/>
        <v>12</v>
      </c>
      <c r="AT262" s="8">
        <f t="shared" si="41"/>
        <v>0.66666666666666674</v>
      </c>
      <c r="AU262" s="14" t="str">
        <f t="shared" si="42"/>
        <v>INTERMEDIÁRIO</v>
      </c>
      <c r="AV262" s="7">
        <f t="shared" si="43"/>
        <v>23</v>
      </c>
      <c r="AW262" s="8">
        <f t="shared" si="44"/>
        <v>0.63888888888888884</v>
      </c>
    </row>
    <row r="263" spans="1:49" ht="15.75" customHeight="1" x14ac:dyDescent="0.25">
      <c r="A263" s="5" t="s">
        <v>13</v>
      </c>
      <c r="B263" s="7" t="s">
        <v>710</v>
      </c>
      <c r="C263" s="26" t="s">
        <v>1162</v>
      </c>
      <c r="D263" s="7" t="s">
        <v>1097</v>
      </c>
      <c r="E263" s="5" t="s">
        <v>956</v>
      </c>
      <c r="F263" s="5">
        <v>0</v>
      </c>
      <c r="G263" s="5">
        <v>0</v>
      </c>
      <c r="H263" s="5">
        <v>0</v>
      </c>
      <c r="I263" s="5">
        <v>0</v>
      </c>
      <c r="J263" s="5">
        <v>1</v>
      </c>
      <c r="K263" s="5">
        <v>1</v>
      </c>
      <c r="L263" s="5">
        <v>1</v>
      </c>
      <c r="M263" s="5">
        <v>0</v>
      </c>
      <c r="N263" s="5">
        <v>0</v>
      </c>
      <c r="O263" s="5">
        <v>1</v>
      </c>
      <c r="P263" s="5">
        <v>0</v>
      </c>
      <c r="Q263" s="5">
        <v>1</v>
      </c>
      <c r="R263" s="5">
        <v>1</v>
      </c>
      <c r="S263" s="5">
        <v>0</v>
      </c>
      <c r="T263" s="5">
        <v>0</v>
      </c>
      <c r="U263" s="5">
        <v>1</v>
      </c>
      <c r="V263" s="5">
        <v>0</v>
      </c>
      <c r="W263" s="5">
        <v>1</v>
      </c>
      <c r="X263" s="7">
        <f t="shared" si="46"/>
        <v>8</v>
      </c>
      <c r="Y263" s="8">
        <f t="shared" si="38"/>
        <v>0.44444444444444442</v>
      </c>
      <c r="Z263" s="14" t="str">
        <f t="shared" si="39"/>
        <v>INTERMEDIÁRIO</v>
      </c>
      <c r="AA263" s="5">
        <v>1</v>
      </c>
      <c r="AB263" s="5">
        <v>0</v>
      </c>
      <c r="AC263" s="5">
        <v>0</v>
      </c>
      <c r="AD263" s="5">
        <v>1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1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1</v>
      </c>
      <c r="AS263" s="7">
        <f t="shared" si="47"/>
        <v>4</v>
      </c>
      <c r="AT263" s="8">
        <f t="shared" si="41"/>
        <v>0.22222222222222221</v>
      </c>
      <c r="AU263" s="14" t="str">
        <f t="shared" si="42"/>
        <v>DEFASAGEM</v>
      </c>
      <c r="AV263" s="7">
        <f t="shared" si="43"/>
        <v>12</v>
      </c>
      <c r="AW263" s="8">
        <f t="shared" si="44"/>
        <v>0.33333333333333337</v>
      </c>
    </row>
    <row r="264" spans="1:49" ht="15.75" customHeight="1" x14ac:dyDescent="0.25">
      <c r="A264" s="5" t="s">
        <v>13</v>
      </c>
      <c r="B264" s="27" t="s">
        <v>710</v>
      </c>
      <c r="C264" s="28" t="s">
        <v>1099</v>
      </c>
      <c r="D264" s="29" t="s">
        <v>1100</v>
      </c>
      <c r="E264" s="5" t="s">
        <v>1246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7">
        <v>0</v>
      </c>
      <c r="Y264" s="8">
        <f t="shared" si="38"/>
        <v>0</v>
      </c>
      <c r="Z264" s="14" t="str">
        <f t="shared" si="39"/>
        <v>DEFASAGEM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7">
        <v>0</v>
      </c>
      <c r="AT264" s="8">
        <f t="shared" si="41"/>
        <v>0</v>
      </c>
      <c r="AU264" s="14" t="str">
        <f t="shared" si="42"/>
        <v>DEFASAGEM</v>
      </c>
      <c r="AV264" s="7">
        <f t="shared" si="43"/>
        <v>0</v>
      </c>
      <c r="AW264" s="8">
        <f t="shared" si="44"/>
        <v>0</v>
      </c>
    </row>
    <row r="265" spans="1:49" ht="15.75" customHeight="1" x14ac:dyDescent="0.25">
      <c r="A265" s="5" t="s">
        <v>13</v>
      </c>
      <c r="B265" s="7" t="s">
        <v>710</v>
      </c>
      <c r="C265" s="30" t="s">
        <v>1162</v>
      </c>
      <c r="D265" s="7" t="s">
        <v>1097</v>
      </c>
      <c r="E265" s="5" t="s">
        <v>957</v>
      </c>
      <c r="F265" s="5">
        <v>0</v>
      </c>
      <c r="G265" s="5">
        <v>0</v>
      </c>
      <c r="H265" s="5">
        <v>1</v>
      </c>
      <c r="I265" s="5">
        <v>0</v>
      </c>
      <c r="J265" s="5">
        <v>1</v>
      </c>
      <c r="K265" s="5">
        <v>1</v>
      </c>
      <c r="L265" s="5">
        <v>1</v>
      </c>
      <c r="M265" s="5">
        <v>0</v>
      </c>
      <c r="N265" s="5">
        <v>1</v>
      </c>
      <c r="O265" s="5">
        <v>0</v>
      </c>
      <c r="P265" s="5">
        <v>1</v>
      </c>
      <c r="Q265" s="5">
        <v>0</v>
      </c>
      <c r="R265" s="5">
        <v>0</v>
      </c>
      <c r="S265" s="5">
        <v>1</v>
      </c>
      <c r="T265" s="5">
        <v>1</v>
      </c>
      <c r="U265" s="5">
        <v>1</v>
      </c>
      <c r="V265" s="5">
        <v>0</v>
      </c>
      <c r="W265" s="5">
        <v>1</v>
      </c>
      <c r="X265" s="7">
        <f>SUM(F265:W265)</f>
        <v>10</v>
      </c>
      <c r="Y265" s="8">
        <f t="shared" si="38"/>
        <v>0.55555555555555558</v>
      </c>
      <c r="Z265" s="14" t="str">
        <f t="shared" si="39"/>
        <v>INTERMEDIÁRIO</v>
      </c>
      <c r="AA265" s="5">
        <v>1</v>
      </c>
      <c r="AB265" s="5">
        <v>1</v>
      </c>
      <c r="AC265" s="5">
        <v>1</v>
      </c>
      <c r="AD265" s="5">
        <v>0</v>
      </c>
      <c r="AE265" s="5">
        <v>1</v>
      </c>
      <c r="AF265" s="5">
        <v>1</v>
      </c>
      <c r="AG265" s="5">
        <v>1</v>
      </c>
      <c r="AH265" s="5">
        <v>1</v>
      </c>
      <c r="AI265" s="5">
        <v>1</v>
      </c>
      <c r="AJ265" s="5">
        <v>0</v>
      </c>
      <c r="AK265" s="5">
        <v>1</v>
      </c>
      <c r="AL265" s="5">
        <v>0</v>
      </c>
      <c r="AM265" s="5">
        <v>0</v>
      </c>
      <c r="AN265" s="5">
        <v>1</v>
      </c>
      <c r="AO265" s="5">
        <v>0</v>
      </c>
      <c r="AP265" s="5">
        <v>0</v>
      </c>
      <c r="AQ265" s="5">
        <v>1</v>
      </c>
      <c r="AR265" s="5">
        <v>0</v>
      </c>
      <c r="AS265" s="7">
        <f>SUM(AA265:AR265)</f>
        <v>11</v>
      </c>
      <c r="AT265" s="8">
        <f t="shared" si="41"/>
        <v>0.61111111111111116</v>
      </c>
      <c r="AU265" s="14" t="str">
        <f t="shared" si="42"/>
        <v>INTERMEDIÁRIO</v>
      </c>
      <c r="AV265" s="7">
        <f t="shared" si="43"/>
        <v>21</v>
      </c>
      <c r="AW265" s="8">
        <f t="shared" si="44"/>
        <v>0.58333333333333337</v>
      </c>
    </row>
    <row r="266" spans="1:49" ht="15.75" customHeight="1" x14ac:dyDescent="0.25">
      <c r="A266" s="5" t="s">
        <v>13</v>
      </c>
      <c r="B266" s="7" t="s">
        <v>710</v>
      </c>
      <c r="C266" s="26" t="s">
        <v>1220</v>
      </c>
      <c r="D266" s="7" t="s">
        <v>1097</v>
      </c>
      <c r="E266" s="5" t="s">
        <v>958</v>
      </c>
      <c r="F266" s="5">
        <v>0</v>
      </c>
      <c r="G266" s="5">
        <v>0</v>
      </c>
      <c r="H266" s="5">
        <v>1</v>
      </c>
      <c r="I266" s="5">
        <v>1</v>
      </c>
      <c r="J266" s="5">
        <v>0</v>
      </c>
      <c r="K266" s="5">
        <v>1</v>
      </c>
      <c r="L266" s="5">
        <v>1</v>
      </c>
      <c r="M266" s="5">
        <v>0</v>
      </c>
      <c r="N266" s="5">
        <v>0</v>
      </c>
      <c r="O266" s="5">
        <v>1</v>
      </c>
      <c r="P266" s="5">
        <v>1</v>
      </c>
      <c r="Q266" s="5">
        <v>0</v>
      </c>
      <c r="R266" s="5">
        <v>0</v>
      </c>
      <c r="S266" s="5">
        <v>0</v>
      </c>
      <c r="T266" s="5">
        <v>1</v>
      </c>
      <c r="U266" s="5">
        <v>1</v>
      </c>
      <c r="V266" s="5">
        <v>0</v>
      </c>
      <c r="W266" s="5">
        <v>1</v>
      </c>
      <c r="X266" s="7">
        <f>SUM(F266:W266)</f>
        <v>9</v>
      </c>
      <c r="Y266" s="8">
        <f t="shared" si="38"/>
        <v>0.5</v>
      </c>
      <c r="Z266" s="14" t="str">
        <f t="shared" si="39"/>
        <v>INTERMEDIÁRIO</v>
      </c>
      <c r="AA266" s="5">
        <v>1</v>
      </c>
      <c r="AB266" s="5">
        <v>1</v>
      </c>
      <c r="AC266" s="5">
        <v>1</v>
      </c>
      <c r="AD266" s="5">
        <v>0</v>
      </c>
      <c r="AE266" s="5">
        <v>1</v>
      </c>
      <c r="AF266" s="5">
        <v>1</v>
      </c>
      <c r="AG266" s="5">
        <v>1</v>
      </c>
      <c r="AH266" s="5">
        <v>0</v>
      </c>
      <c r="AI266" s="5">
        <v>0</v>
      </c>
      <c r="AJ266" s="5">
        <v>0</v>
      </c>
      <c r="AK266" s="5">
        <v>1</v>
      </c>
      <c r="AL266" s="5">
        <v>1</v>
      </c>
      <c r="AM266" s="5">
        <v>1</v>
      </c>
      <c r="AN266" s="5">
        <v>0</v>
      </c>
      <c r="AO266" s="5">
        <v>1</v>
      </c>
      <c r="AP266" s="5">
        <v>0</v>
      </c>
      <c r="AQ266" s="5">
        <v>1</v>
      </c>
      <c r="AR266" s="5">
        <v>1</v>
      </c>
      <c r="AS266" s="7">
        <f>SUM(AA266:AR266)</f>
        <v>12</v>
      </c>
      <c r="AT266" s="8">
        <f t="shared" si="41"/>
        <v>0.66666666666666674</v>
      </c>
      <c r="AU266" s="14" t="str">
        <f t="shared" si="42"/>
        <v>INTERMEDIÁRIO</v>
      </c>
      <c r="AV266" s="7">
        <f t="shared" si="43"/>
        <v>21</v>
      </c>
      <c r="AW266" s="8">
        <f t="shared" si="44"/>
        <v>0.58333333333333337</v>
      </c>
    </row>
    <row r="267" spans="1:49" ht="15.75" customHeight="1" x14ac:dyDescent="0.25">
      <c r="A267" s="5" t="s">
        <v>13</v>
      </c>
      <c r="B267" s="27" t="s">
        <v>1230</v>
      </c>
      <c r="C267" s="28" t="s">
        <v>1099</v>
      </c>
      <c r="D267" s="29" t="s">
        <v>1100</v>
      </c>
      <c r="E267" s="5" t="s">
        <v>1247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7">
        <v>0</v>
      </c>
      <c r="Y267" s="8">
        <f t="shared" si="38"/>
        <v>0</v>
      </c>
      <c r="Z267" s="14" t="str">
        <f t="shared" si="39"/>
        <v>DEFASAGEM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7">
        <v>0</v>
      </c>
      <c r="AT267" s="8">
        <f t="shared" si="41"/>
        <v>0</v>
      </c>
      <c r="AU267" s="14" t="str">
        <f t="shared" si="42"/>
        <v>DEFASAGEM</v>
      </c>
      <c r="AV267" s="7">
        <f t="shared" si="43"/>
        <v>0</v>
      </c>
      <c r="AW267" s="8">
        <f t="shared" si="44"/>
        <v>0</v>
      </c>
    </row>
    <row r="268" spans="1:49" ht="15.75" customHeight="1" x14ac:dyDescent="0.25">
      <c r="A268" s="5" t="s">
        <v>13</v>
      </c>
      <c r="B268" s="7" t="s">
        <v>710</v>
      </c>
      <c r="C268" s="30" t="s">
        <v>1162</v>
      </c>
      <c r="D268" s="7" t="s">
        <v>1097</v>
      </c>
      <c r="E268" s="5" t="s">
        <v>959</v>
      </c>
      <c r="F268" s="5">
        <v>1</v>
      </c>
      <c r="G268" s="5">
        <v>0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v>1</v>
      </c>
      <c r="Q268" s="5">
        <v>0</v>
      </c>
      <c r="R268" s="5">
        <v>1</v>
      </c>
      <c r="S268" s="5">
        <v>1</v>
      </c>
      <c r="T268" s="5">
        <v>0</v>
      </c>
      <c r="U268" s="5">
        <v>1</v>
      </c>
      <c r="V268" s="5">
        <v>1</v>
      </c>
      <c r="W268" s="5">
        <v>1</v>
      </c>
      <c r="X268" s="7">
        <f t="shared" ref="X268:X327" si="48">SUM(F268:W268)</f>
        <v>15</v>
      </c>
      <c r="Y268" s="8">
        <f t="shared" si="38"/>
        <v>0.83333333333333326</v>
      </c>
      <c r="Z268" s="14" t="str">
        <f t="shared" si="39"/>
        <v>ADEQUADA</v>
      </c>
      <c r="AA268" s="5">
        <v>1</v>
      </c>
      <c r="AB268" s="5">
        <v>1</v>
      </c>
      <c r="AC268" s="5">
        <v>1</v>
      </c>
      <c r="AD268" s="5">
        <v>0</v>
      </c>
      <c r="AE268" s="5">
        <v>0</v>
      </c>
      <c r="AF268" s="5">
        <v>1</v>
      </c>
      <c r="AG268" s="5">
        <v>1</v>
      </c>
      <c r="AH268" s="5">
        <v>1</v>
      </c>
      <c r="AI268" s="5">
        <v>0</v>
      </c>
      <c r="AJ268" s="5">
        <v>0</v>
      </c>
      <c r="AK268" s="5">
        <v>1</v>
      </c>
      <c r="AL268" s="5">
        <v>1</v>
      </c>
      <c r="AM268" s="5">
        <v>1</v>
      </c>
      <c r="AN268" s="5">
        <v>1</v>
      </c>
      <c r="AO268" s="5">
        <v>1</v>
      </c>
      <c r="AP268" s="5">
        <v>0</v>
      </c>
      <c r="AQ268" s="5">
        <v>1</v>
      </c>
      <c r="AR268" s="5">
        <v>1</v>
      </c>
      <c r="AS268" s="7">
        <f t="shared" ref="AS268:AS327" si="49">SUM(AA268:AR268)</f>
        <v>13</v>
      </c>
      <c r="AT268" s="8">
        <f t="shared" si="41"/>
        <v>0.72222222222222232</v>
      </c>
      <c r="AU268" s="14" t="str">
        <f t="shared" si="42"/>
        <v>ADEQUADA</v>
      </c>
      <c r="AV268" s="7">
        <f t="shared" si="43"/>
        <v>28</v>
      </c>
      <c r="AW268" s="8">
        <f t="shared" si="44"/>
        <v>0.77777777777777768</v>
      </c>
    </row>
    <row r="269" spans="1:49" ht="15.75" customHeight="1" x14ac:dyDescent="0.25">
      <c r="A269" s="5" t="s">
        <v>13</v>
      </c>
      <c r="B269" s="7" t="s">
        <v>710</v>
      </c>
      <c r="C269" s="7" t="s">
        <v>1220</v>
      </c>
      <c r="D269" s="7" t="s">
        <v>1097</v>
      </c>
      <c r="E269" s="5" t="s">
        <v>960</v>
      </c>
      <c r="F269" s="5">
        <v>1</v>
      </c>
      <c r="G269" s="5">
        <v>1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v>1</v>
      </c>
      <c r="Q269" s="5">
        <v>1</v>
      </c>
      <c r="R269" s="5">
        <v>1</v>
      </c>
      <c r="S269" s="5">
        <v>1</v>
      </c>
      <c r="T269" s="5">
        <v>1</v>
      </c>
      <c r="U269" s="5">
        <v>1</v>
      </c>
      <c r="V269" s="5">
        <v>1</v>
      </c>
      <c r="W269" s="5">
        <v>1</v>
      </c>
      <c r="X269" s="7">
        <f t="shared" si="48"/>
        <v>18</v>
      </c>
      <c r="Y269" s="8">
        <f t="shared" si="38"/>
        <v>1</v>
      </c>
      <c r="Z269" s="14" t="str">
        <f t="shared" si="39"/>
        <v>ADEQUADA</v>
      </c>
      <c r="AA269" s="5">
        <v>1</v>
      </c>
      <c r="AB269" s="5">
        <v>1</v>
      </c>
      <c r="AC269" s="5">
        <v>1</v>
      </c>
      <c r="AD269" s="5">
        <v>1</v>
      </c>
      <c r="AE269" s="5">
        <v>1</v>
      </c>
      <c r="AF269" s="5">
        <v>1</v>
      </c>
      <c r="AG269" s="5">
        <v>1</v>
      </c>
      <c r="AH269" s="5">
        <v>1</v>
      </c>
      <c r="AI269" s="5">
        <v>1</v>
      </c>
      <c r="AJ269" s="5">
        <v>1</v>
      </c>
      <c r="AK269" s="5">
        <v>1</v>
      </c>
      <c r="AL269" s="5">
        <v>1</v>
      </c>
      <c r="AM269" s="5">
        <v>1</v>
      </c>
      <c r="AN269" s="5">
        <v>1</v>
      </c>
      <c r="AO269" s="5">
        <v>0</v>
      </c>
      <c r="AP269" s="5">
        <v>0</v>
      </c>
      <c r="AQ269" s="5">
        <v>1</v>
      </c>
      <c r="AR269" s="5">
        <v>1</v>
      </c>
      <c r="AS269" s="7">
        <f t="shared" si="49"/>
        <v>16</v>
      </c>
      <c r="AT269" s="8">
        <f t="shared" si="41"/>
        <v>0.88888888888888884</v>
      </c>
      <c r="AU269" s="14" t="str">
        <f t="shared" si="42"/>
        <v>ADEQUADA</v>
      </c>
      <c r="AV269" s="7">
        <f t="shared" si="43"/>
        <v>34</v>
      </c>
      <c r="AW269" s="8">
        <f t="shared" si="44"/>
        <v>0.94444444444444442</v>
      </c>
    </row>
    <row r="270" spans="1:49" ht="15.75" customHeight="1" x14ac:dyDescent="0.25">
      <c r="A270" s="5" t="s">
        <v>14</v>
      </c>
      <c r="B270" s="7" t="s">
        <v>1070</v>
      </c>
      <c r="C270" s="7" t="s">
        <v>1103</v>
      </c>
      <c r="D270" s="7" t="s">
        <v>1097</v>
      </c>
      <c r="E270" s="5" t="s">
        <v>961</v>
      </c>
      <c r="F270" s="5">
        <v>1</v>
      </c>
      <c r="G270" s="5">
        <v>0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0</v>
      </c>
      <c r="N270" s="5">
        <v>1</v>
      </c>
      <c r="O270" s="5">
        <v>0</v>
      </c>
      <c r="P270" s="5">
        <v>0</v>
      </c>
      <c r="Q270" s="5">
        <v>0</v>
      </c>
      <c r="R270" s="5">
        <v>1</v>
      </c>
      <c r="S270" s="5">
        <v>1</v>
      </c>
      <c r="T270" s="5">
        <v>1</v>
      </c>
      <c r="U270" s="5">
        <v>1</v>
      </c>
      <c r="V270" s="5">
        <v>1</v>
      </c>
      <c r="W270" s="5">
        <v>1</v>
      </c>
      <c r="X270" s="7">
        <f t="shared" si="48"/>
        <v>13</v>
      </c>
      <c r="Y270" s="8">
        <f t="shared" si="38"/>
        <v>0.72222222222222232</v>
      </c>
      <c r="Z270" s="14" t="str">
        <f t="shared" si="39"/>
        <v>ADEQUADA</v>
      </c>
      <c r="AA270" s="5">
        <v>1</v>
      </c>
      <c r="AB270" s="5">
        <v>1</v>
      </c>
      <c r="AC270" s="5">
        <v>1</v>
      </c>
      <c r="AD270" s="5">
        <v>1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1</v>
      </c>
      <c r="AM270" s="5">
        <v>0</v>
      </c>
      <c r="AN270" s="5">
        <v>0</v>
      </c>
      <c r="AO270" s="5">
        <v>0</v>
      </c>
      <c r="AP270" s="5">
        <v>0</v>
      </c>
      <c r="AQ270" s="5">
        <v>1</v>
      </c>
      <c r="AR270" s="5">
        <v>1</v>
      </c>
      <c r="AS270" s="7">
        <f t="shared" si="49"/>
        <v>7</v>
      </c>
      <c r="AT270" s="8">
        <f t="shared" si="41"/>
        <v>0.38888888888888884</v>
      </c>
      <c r="AU270" s="14" t="str">
        <f t="shared" si="42"/>
        <v>DEFASAGEM</v>
      </c>
      <c r="AV270" s="7">
        <f t="shared" si="43"/>
        <v>20</v>
      </c>
      <c r="AW270" s="8">
        <f t="shared" si="44"/>
        <v>0.55555555555555558</v>
      </c>
    </row>
    <row r="271" spans="1:49" ht="15.75" customHeight="1" x14ac:dyDescent="0.25">
      <c r="A271" s="5" t="s">
        <v>14</v>
      </c>
      <c r="B271" s="7" t="s">
        <v>1070</v>
      </c>
      <c r="C271" s="7" t="s">
        <v>1104</v>
      </c>
      <c r="D271" s="7" t="s">
        <v>1097</v>
      </c>
      <c r="E271" s="5" t="s">
        <v>962</v>
      </c>
      <c r="F271" s="5">
        <v>0</v>
      </c>
      <c r="G271" s="5">
        <v>1</v>
      </c>
      <c r="H271" s="5">
        <v>1</v>
      </c>
      <c r="I271" s="5">
        <v>1</v>
      </c>
      <c r="J271" s="5">
        <v>1</v>
      </c>
      <c r="K271" s="5">
        <v>0</v>
      </c>
      <c r="L271" s="5">
        <v>1</v>
      </c>
      <c r="M271" s="5">
        <v>1</v>
      </c>
      <c r="N271" s="5">
        <v>0</v>
      </c>
      <c r="O271" s="5">
        <v>0</v>
      </c>
      <c r="P271" s="5">
        <v>1</v>
      </c>
      <c r="Q271" s="5">
        <v>0</v>
      </c>
      <c r="R271" s="5">
        <v>1</v>
      </c>
      <c r="S271" s="5">
        <v>1</v>
      </c>
      <c r="T271" s="5">
        <v>1</v>
      </c>
      <c r="U271" s="5">
        <v>1</v>
      </c>
      <c r="V271" s="5">
        <v>0</v>
      </c>
      <c r="W271" s="5">
        <v>1</v>
      </c>
      <c r="X271" s="7">
        <f t="shared" si="48"/>
        <v>12</v>
      </c>
      <c r="Y271" s="8">
        <f t="shared" si="38"/>
        <v>0.66666666666666674</v>
      </c>
      <c r="Z271" s="14" t="str">
        <f t="shared" si="39"/>
        <v>INTERMEDIÁRIO</v>
      </c>
      <c r="AA271" s="5">
        <v>0</v>
      </c>
      <c r="AB271" s="5">
        <v>1</v>
      </c>
      <c r="AC271" s="5">
        <v>1</v>
      </c>
      <c r="AD271" s="5">
        <v>1</v>
      </c>
      <c r="AE271" s="5">
        <v>0</v>
      </c>
      <c r="AF271" s="5">
        <v>1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1</v>
      </c>
      <c r="AM271" s="5">
        <v>0</v>
      </c>
      <c r="AN271" s="5">
        <v>1</v>
      </c>
      <c r="AO271" s="5">
        <v>0</v>
      </c>
      <c r="AP271" s="5">
        <v>0</v>
      </c>
      <c r="AQ271" s="5">
        <v>1</v>
      </c>
      <c r="AR271" s="5">
        <v>1</v>
      </c>
      <c r="AS271" s="7">
        <f t="shared" si="49"/>
        <v>8</v>
      </c>
      <c r="AT271" s="8">
        <f t="shared" si="41"/>
        <v>0.44444444444444442</v>
      </c>
      <c r="AU271" s="14" t="str">
        <f t="shared" si="42"/>
        <v>INTERMEDIÁRIO</v>
      </c>
      <c r="AV271" s="7">
        <f t="shared" si="43"/>
        <v>20</v>
      </c>
      <c r="AW271" s="8">
        <f t="shared" si="44"/>
        <v>0.55555555555555558</v>
      </c>
    </row>
    <row r="272" spans="1:49" ht="15.75" customHeight="1" x14ac:dyDescent="0.25">
      <c r="A272" s="5" t="s">
        <v>14</v>
      </c>
      <c r="B272" s="7" t="s">
        <v>1070</v>
      </c>
      <c r="C272" s="7" t="s">
        <v>1223</v>
      </c>
      <c r="D272" s="7" t="s">
        <v>1097</v>
      </c>
      <c r="E272" s="5" t="s">
        <v>963</v>
      </c>
      <c r="F272" s="5">
        <v>1</v>
      </c>
      <c r="G272" s="5">
        <v>1</v>
      </c>
      <c r="H272" s="5">
        <v>1</v>
      </c>
      <c r="I272" s="5">
        <v>1</v>
      </c>
      <c r="J272" s="5">
        <v>1</v>
      </c>
      <c r="K272" s="5">
        <v>1</v>
      </c>
      <c r="L272" s="5">
        <v>0</v>
      </c>
      <c r="M272" s="5">
        <v>1</v>
      </c>
      <c r="N272" s="5">
        <v>0</v>
      </c>
      <c r="O272" s="5">
        <v>1</v>
      </c>
      <c r="P272" s="5">
        <v>1</v>
      </c>
      <c r="Q272" s="5">
        <v>0</v>
      </c>
      <c r="R272" s="5">
        <v>1</v>
      </c>
      <c r="S272" s="5">
        <v>0</v>
      </c>
      <c r="T272" s="5">
        <v>0</v>
      </c>
      <c r="U272" s="5">
        <v>1</v>
      </c>
      <c r="V272" s="5">
        <v>0</v>
      </c>
      <c r="W272" s="5">
        <v>1</v>
      </c>
      <c r="X272" s="7">
        <f t="shared" si="48"/>
        <v>12</v>
      </c>
      <c r="Y272" s="8">
        <f t="shared" ref="Y272:Y335" si="50">((X272*100)/18)/100</f>
        <v>0.66666666666666674</v>
      </c>
      <c r="Z272" s="14" t="str">
        <f t="shared" ref="Z272:Z335" si="51">IF(Y272&lt;0.4,"DEFASAGEM",IF(Y272&lt;0.7,"INTERMEDIÁRIO","ADEQUADA"))</f>
        <v>INTERMEDIÁRIO</v>
      </c>
      <c r="AA272" s="5">
        <v>1</v>
      </c>
      <c r="AB272" s="5">
        <v>1</v>
      </c>
      <c r="AC272" s="5">
        <v>1</v>
      </c>
      <c r="AD272" s="5">
        <v>1</v>
      </c>
      <c r="AE272" s="5">
        <v>0</v>
      </c>
      <c r="AF272" s="5">
        <v>1</v>
      </c>
      <c r="AG272" s="5">
        <v>0</v>
      </c>
      <c r="AH272" s="5">
        <v>0</v>
      </c>
      <c r="AI272" s="5">
        <v>0</v>
      </c>
      <c r="AJ272" s="5">
        <v>0</v>
      </c>
      <c r="AK272" s="5">
        <v>1</v>
      </c>
      <c r="AL272" s="5">
        <v>1</v>
      </c>
      <c r="AM272" s="5">
        <v>0</v>
      </c>
      <c r="AN272" s="5">
        <v>0</v>
      </c>
      <c r="AO272" s="5">
        <v>0</v>
      </c>
      <c r="AP272" s="5">
        <v>1</v>
      </c>
      <c r="AQ272" s="5">
        <v>0</v>
      </c>
      <c r="AR272" s="5">
        <v>1</v>
      </c>
      <c r="AS272" s="7">
        <f t="shared" si="49"/>
        <v>9</v>
      </c>
      <c r="AT272" s="8">
        <f t="shared" ref="AT272:AT327" si="52">((AS272*100)/18)/100</f>
        <v>0.5</v>
      </c>
      <c r="AU272" s="14" t="str">
        <f t="shared" ref="AU272:AU335" si="53">IF(AT272&lt;0.4,"DEFASAGEM",IF(AT272&lt;0.7,"INTERMEDIÁRIO","ADEQUADA"))</f>
        <v>INTERMEDIÁRIO</v>
      </c>
      <c r="AV272" s="7">
        <f t="shared" ref="AV272:AV335" si="54">SUM(F272:W272)+(SUM(AA272:AR272))</f>
        <v>21</v>
      </c>
      <c r="AW272" s="8">
        <f t="shared" ref="AW272:AW335" si="55">((AV272*100)/36)/100</f>
        <v>0.58333333333333337</v>
      </c>
    </row>
    <row r="273" spans="1:49" ht="15.75" customHeight="1" x14ac:dyDescent="0.25">
      <c r="A273" s="5" t="s">
        <v>14</v>
      </c>
      <c r="B273" s="7" t="s">
        <v>1070</v>
      </c>
      <c r="C273" s="7" t="s">
        <v>1103</v>
      </c>
      <c r="D273" s="7" t="s">
        <v>1097</v>
      </c>
      <c r="E273" s="5" t="s">
        <v>964</v>
      </c>
      <c r="F273" s="5">
        <v>0</v>
      </c>
      <c r="G273" s="5">
        <v>1</v>
      </c>
      <c r="H273" s="5">
        <v>1</v>
      </c>
      <c r="I273" s="5">
        <v>1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0</v>
      </c>
      <c r="P273" s="5">
        <v>1</v>
      </c>
      <c r="Q273" s="5">
        <v>0</v>
      </c>
      <c r="R273" s="5">
        <v>1</v>
      </c>
      <c r="S273" s="5">
        <v>1</v>
      </c>
      <c r="T273" s="5">
        <v>1</v>
      </c>
      <c r="U273" s="5">
        <v>1</v>
      </c>
      <c r="V273" s="5">
        <v>1</v>
      </c>
      <c r="W273" s="5">
        <v>0</v>
      </c>
      <c r="X273" s="7">
        <f t="shared" si="48"/>
        <v>14</v>
      </c>
      <c r="Y273" s="8">
        <f t="shared" si="50"/>
        <v>0.77777777777777768</v>
      </c>
      <c r="Z273" s="14" t="str">
        <f t="shared" si="51"/>
        <v>ADEQUADA</v>
      </c>
      <c r="AA273" s="5">
        <v>1</v>
      </c>
      <c r="AB273" s="5">
        <v>1</v>
      </c>
      <c r="AC273" s="5">
        <v>1</v>
      </c>
      <c r="AD273" s="5">
        <v>1</v>
      </c>
      <c r="AE273" s="5">
        <v>1</v>
      </c>
      <c r="AF273" s="5">
        <v>1</v>
      </c>
      <c r="AG273" s="5">
        <v>0</v>
      </c>
      <c r="AH273" s="5">
        <v>1</v>
      </c>
      <c r="AI273" s="5">
        <v>0</v>
      </c>
      <c r="AJ273" s="5">
        <v>0</v>
      </c>
      <c r="AK273" s="5">
        <v>0</v>
      </c>
      <c r="AL273" s="5">
        <v>1</v>
      </c>
      <c r="AM273" s="5">
        <v>1</v>
      </c>
      <c r="AN273" s="5">
        <v>0</v>
      </c>
      <c r="AO273" s="5">
        <v>1</v>
      </c>
      <c r="AP273" s="5">
        <v>1</v>
      </c>
      <c r="AQ273" s="5">
        <v>1</v>
      </c>
      <c r="AR273" s="5">
        <v>1</v>
      </c>
      <c r="AS273" s="7">
        <f t="shared" si="49"/>
        <v>13</v>
      </c>
      <c r="AT273" s="8">
        <f t="shared" si="52"/>
        <v>0.72222222222222232</v>
      </c>
      <c r="AU273" s="14" t="str">
        <f t="shared" si="53"/>
        <v>ADEQUADA</v>
      </c>
      <c r="AV273" s="7">
        <f t="shared" si="54"/>
        <v>27</v>
      </c>
      <c r="AW273" s="8">
        <f t="shared" si="55"/>
        <v>0.75</v>
      </c>
    </row>
    <row r="274" spans="1:49" ht="15.75" customHeight="1" x14ac:dyDescent="0.25">
      <c r="A274" s="5" t="s">
        <v>14</v>
      </c>
      <c r="B274" s="7" t="s">
        <v>1248</v>
      </c>
      <c r="C274" s="7" t="s">
        <v>1105</v>
      </c>
      <c r="D274" s="7" t="s">
        <v>1097</v>
      </c>
      <c r="E274" s="5" t="s">
        <v>1249</v>
      </c>
      <c r="F274" s="5">
        <v>1</v>
      </c>
      <c r="G274" s="5">
        <v>0</v>
      </c>
      <c r="H274" s="5">
        <v>0</v>
      </c>
      <c r="I274" s="5">
        <v>0</v>
      </c>
      <c r="J274" s="5">
        <v>1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1</v>
      </c>
      <c r="R274" s="5">
        <v>0</v>
      </c>
      <c r="S274" s="5">
        <v>0</v>
      </c>
      <c r="T274" s="5">
        <v>0</v>
      </c>
      <c r="U274" s="5">
        <v>1</v>
      </c>
      <c r="V274" s="5">
        <v>1</v>
      </c>
      <c r="W274" s="5">
        <v>0</v>
      </c>
      <c r="X274" s="7">
        <f t="shared" si="48"/>
        <v>5</v>
      </c>
      <c r="Y274" s="8">
        <f t="shared" si="50"/>
        <v>0.27777777777777779</v>
      </c>
      <c r="Z274" s="14" t="str">
        <f t="shared" si="51"/>
        <v>DEFASAGEM</v>
      </c>
      <c r="AA274" s="5">
        <v>0</v>
      </c>
      <c r="AB274" s="5">
        <v>0</v>
      </c>
      <c r="AC274" s="5">
        <v>0</v>
      </c>
      <c r="AD274" s="5">
        <v>1</v>
      </c>
      <c r="AE274" s="5">
        <v>1</v>
      </c>
      <c r="AF274" s="5">
        <v>1</v>
      </c>
      <c r="AG274" s="5">
        <v>1</v>
      </c>
      <c r="AH274" s="5">
        <v>0</v>
      </c>
      <c r="AI274" s="5">
        <v>0</v>
      </c>
      <c r="AJ274" s="5">
        <v>0</v>
      </c>
      <c r="AK274" s="5">
        <v>1</v>
      </c>
      <c r="AL274" s="5">
        <v>0</v>
      </c>
      <c r="AM274" s="5">
        <v>0</v>
      </c>
      <c r="AN274" s="5">
        <v>0</v>
      </c>
      <c r="AO274" s="5">
        <v>1</v>
      </c>
      <c r="AP274" s="5">
        <v>0</v>
      </c>
      <c r="AQ274" s="5">
        <v>0</v>
      </c>
      <c r="AR274" s="5">
        <v>0</v>
      </c>
      <c r="AS274" s="7">
        <f t="shared" si="49"/>
        <v>6</v>
      </c>
      <c r="AT274" s="8">
        <f t="shared" si="52"/>
        <v>0.33333333333333337</v>
      </c>
      <c r="AU274" s="14" t="str">
        <f t="shared" si="53"/>
        <v>DEFASAGEM</v>
      </c>
      <c r="AV274" s="7">
        <f t="shared" si="54"/>
        <v>11</v>
      </c>
      <c r="AW274" s="8">
        <f t="shared" si="55"/>
        <v>0.30555555555555558</v>
      </c>
    </row>
    <row r="275" spans="1:49" ht="15.75" customHeight="1" x14ac:dyDescent="0.25">
      <c r="A275" s="5" t="s">
        <v>14</v>
      </c>
      <c r="B275" s="7" t="s">
        <v>1070</v>
      </c>
      <c r="C275" s="7" t="s">
        <v>1103</v>
      </c>
      <c r="D275" s="7" t="s">
        <v>1097</v>
      </c>
      <c r="E275" s="5" t="s">
        <v>965</v>
      </c>
      <c r="F275" s="5">
        <v>1</v>
      </c>
      <c r="G275" s="5">
        <v>0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  <c r="M275" s="5">
        <v>1</v>
      </c>
      <c r="N275" s="5">
        <v>1</v>
      </c>
      <c r="O275" s="5">
        <v>0</v>
      </c>
      <c r="P275" s="5">
        <v>1</v>
      </c>
      <c r="Q275" s="5">
        <v>1</v>
      </c>
      <c r="R275" s="5">
        <v>1</v>
      </c>
      <c r="S275" s="5">
        <v>0</v>
      </c>
      <c r="T275" s="5">
        <v>1</v>
      </c>
      <c r="U275" s="5">
        <v>1</v>
      </c>
      <c r="V275" s="5">
        <v>1</v>
      </c>
      <c r="W275" s="5">
        <v>1</v>
      </c>
      <c r="X275" s="7">
        <f t="shared" si="48"/>
        <v>15</v>
      </c>
      <c r="Y275" s="8">
        <f t="shared" si="50"/>
        <v>0.83333333333333326</v>
      </c>
      <c r="Z275" s="14" t="str">
        <f t="shared" si="51"/>
        <v>ADEQUADA</v>
      </c>
      <c r="AA275" s="5">
        <v>1</v>
      </c>
      <c r="AB275" s="5">
        <v>1</v>
      </c>
      <c r="AC275" s="5">
        <v>1</v>
      </c>
      <c r="AD275" s="5">
        <v>1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1</v>
      </c>
      <c r="AM275" s="5">
        <v>0</v>
      </c>
      <c r="AN275" s="5">
        <v>0</v>
      </c>
      <c r="AO275" s="5">
        <v>0</v>
      </c>
      <c r="AP275" s="5">
        <v>0</v>
      </c>
      <c r="AQ275" s="5">
        <v>1</v>
      </c>
      <c r="AR275" s="5">
        <v>1</v>
      </c>
      <c r="AS275" s="7">
        <f t="shared" si="49"/>
        <v>7</v>
      </c>
      <c r="AT275" s="8">
        <f t="shared" si="52"/>
        <v>0.38888888888888884</v>
      </c>
      <c r="AU275" s="14" t="str">
        <f t="shared" si="53"/>
        <v>DEFASAGEM</v>
      </c>
      <c r="AV275" s="7">
        <f t="shared" si="54"/>
        <v>22</v>
      </c>
      <c r="AW275" s="8">
        <f t="shared" si="55"/>
        <v>0.61111111111111116</v>
      </c>
    </row>
    <row r="276" spans="1:49" ht="15.75" customHeight="1" x14ac:dyDescent="0.25">
      <c r="A276" s="5" t="s">
        <v>14</v>
      </c>
      <c r="B276" s="7" t="s">
        <v>1070</v>
      </c>
      <c r="C276" s="7" t="s">
        <v>1103</v>
      </c>
      <c r="D276" s="7" t="s">
        <v>1097</v>
      </c>
      <c r="E276" s="5" t="s">
        <v>966</v>
      </c>
      <c r="F276" s="5">
        <v>1</v>
      </c>
      <c r="G276" s="5">
        <v>0</v>
      </c>
      <c r="H276" s="5">
        <v>1</v>
      </c>
      <c r="I276" s="5">
        <v>1</v>
      </c>
      <c r="J276" s="5">
        <v>1</v>
      </c>
      <c r="K276" s="5">
        <v>1</v>
      </c>
      <c r="L276" s="5">
        <v>1</v>
      </c>
      <c r="M276" s="5">
        <v>0</v>
      </c>
      <c r="N276" s="5">
        <v>1</v>
      </c>
      <c r="O276" s="5">
        <v>1</v>
      </c>
      <c r="P276" s="5">
        <v>1</v>
      </c>
      <c r="Q276" s="5">
        <v>0</v>
      </c>
      <c r="R276" s="5">
        <v>1</v>
      </c>
      <c r="S276" s="5">
        <v>0</v>
      </c>
      <c r="T276" s="5">
        <v>1</v>
      </c>
      <c r="U276" s="5">
        <v>1</v>
      </c>
      <c r="V276" s="5">
        <v>1</v>
      </c>
      <c r="W276" s="5">
        <v>1</v>
      </c>
      <c r="X276" s="7">
        <f t="shared" si="48"/>
        <v>14</v>
      </c>
      <c r="Y276" s="8">
        <f t="shared" si="50"/>
        <v>0.77777777777777768</v>
      </c>
      <c r="Z276" s="14" t="str">
        <f t="shared" si="51"/>
        <v>ADEQUADA</v>
      </c>
      <c r="AA276" s="5">
        <v>1</v>
      </c>
      <c r="AB276" s="5">
        <v>1</v>
      </c>
      <c r="AC276" s="5">
        <v>1</v>
      </c>
      <c r="AD276" s="5">
        <v>1</v>
      </c>
      <c r="AE276" s="5">
        <v>0</v>
      </c>
      <c r="AF276" s="5">
        <v>0</v>
      </c>
      <c r="AG276" s="5">
        <v>1</v>
      </c>
      <c r="AH276" s="5">
        <v>1</v>
      </c>
      <c r="AI276" s="5">
        <v>0</v>
      </c>
      <c r="AJ276" s="5">
        <v>0</v>
      </c>
      <c r="AK276" s="5">
        <v>1</v>
      </c>
      <c r="AL276" s="5">
        <v>1</v>
      </c>
      <c r="AM276" s="5">
        <v>1</v>
      </c>
      <c r="AN276" s="5">
        <v>1</v>
      </c>
      <c r="AO276" s="5">
        <v>0</v>
      </c>
      <c r="AP276" s="5">
        <v>0</v>
      </c>
      <c r="AQ276" s="5">
        <v>1</v>
      </c>
      <c r="AR276" s="5">
        <v>1</v>
      </c>
      <c r="AS276" s="7">
        <f t="shared" si="49"/>
        <v>12</v>
      </c>
      <c r="AT276" s="8">
        <f t="shared" si="52"/>
        <v>0.66666666666666674</v>
      </c>
      <c r="AU276" s="14" t="str">
        <f t="shared" si="53"/>
        <v>INTERMEDIÁRIO</v>
      </c>
      <c r="AV276" s="7">
        <f t="shared" si="54"/>
        <v>26</v>
      </c>
      <c r="AW276" s="8">
        <f t="shared" si="55"/>
        <v>0.72222222222222232</v>
      </c>
    </row>
    <row r="277" spans="1:49" ht="15.75" customHeight="1" x14ac:dyDescent="0.25">
      <c r="A277" s="5" t="s">
        <v>14</v>
      </c>
      <c r="B277" s="7" t="s">
        <v>1070</v>
      </c>
      <c r="C277" s="7" t="s">
        <v>1104</v>
      </c>
      <c r="D277" s="7" t="s">
        <v>1097</v>
      </c>
      <c r="E277" s="5" t="s">
        <v>967</v>
      </c>
      <c r="F277" s="5">
        <v>1</v>
      </c>
      <c r="G277" s="5">
        <v>0</v>
      </c>
      <c r="H277" s="5">
        <v>0</v>
      </c>
      <c r="I277" s="5">
        <v>0</v>
      </c>
      <c r="J277" s="5">
        <v>1</v>
      </c>
      <c r="K277" s="5">
        <v>1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1</v>
      </c>
      <c r="S277" s="5">
        <v>0</v>
      </c>
      <c r="T277" s="5">
        <v>0</v>
      </c>
      <c r="U277" s="5">
        <v>0</v>
      </c>
      <c r="V277" s="5">
        <v>1</v>
      </c>
      <c r="W277" s="5">
        <v>0</v>
      </c>
      <c r="X277" s="7">
        <f t="shared" si="48"/>
        <v>5</v>
      </c>
      <c r="Y277" s="8">
        <f t="shared" si="50"/>
        <v>0.27777777777777779</v>
      </c>
      <c r="Z277" s="14" t="str">
        <f t="shared" si="51"/>
        <v>DEFASAGEM</v>
      </c>
      <c r="AA277" s="5">
        <v>1</v>
      </c>
      <c r="AB277" s="5">
        <v>1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1</v>
      </c>
      <c r="AK277" s="5">
        <v>0</v>
      </c>
      <c r="AL277" s="5">
        <v>1</v>
      </c>
      <c r="AM277" s="5">
        <v>0</v>
      </c>
      <c r="AN277" s="5">
        <v>1</v>
      </c>
      <c r="AO277" s="5">
        <v>0</v>
      </c>
      <c r="AP277" s="5">
        <v>0</v>
      </c>
      <c r="AQ277" s="5">
        <v>1</v>
      </c>
      <c r="AR277" s="5">
        <v>0</v>
      </c>
      <c r="AS277" s="7">
        <f t="shared" si="49"/>
        <v>6</v>
      </c>
      <c r="AT277" s="8">
        <f t="shared" si="52"/>
        <v>0.33333333333333337</v>
      </c>
      <c r="AU277" s="14" t="str">
        <f t="shared" si="53"/>
        <v>DEFASAGEM</v>
      </c>
      <c r="AV277" s="7">
        <f t="shared" si="54"/>
        <v>11</v>
      </c>
      <c r="AW277" s="8">
        <f t="shared" si="55"/>
        <v>0.30555555555555558</v>
      </c>
    </row>
    <row r="278" spans="1:49" ht="15.75" customHeight="1" x14ac:dyDescent="0.25">
      <c r="A278" s="5" t="s">
        <v>14</v>
      </c>
      <c r="B278" s="7" t="s">
        <v>1070</v>
      </c>
      <c r="C278" s="7" t="s">
        <v>1103</v>
      </c>
      <c r="D278" s="7" t="s">
        <v>1097</v>
      </c>
      <c r="E278" s="5" t="s">
        <v>968</v>
      </c>
      <c r="F278" s="5">
        <v>0</v>
      </c>
      <c r="G278" s="5">
        <v>0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0</v>
      </c>
      <c r="N278" s="5">
        <v>1</v>
      </c>
      <c r="O278" s="5">
        <v>0</v>
      </c>
      <c r="P278" s="5">
        <v>1</v>
      </c>
      <c r="Q278" s="5">
        <v>0</v>
      </c>
      <c r="R278" s="5">
        <v>1</v>
      </c>
      <c r="S278" s="5">
        <v>1</v>
      </c>
      <c r="T278" s="5">
        <v>1</v>
      </c>
      <c r="U278" s="5">
        <v>1</v>
      </c>
      <c r="V278" s="5">
        <v>0</v>
      </c>
      <c r="W278" s="5">
        <v>0</v>
      </c>
      <c r="X278" s="7">
        <f t="shared" si="48"/>
        <v>11</v>
      </c>
      <c r="Y278" s="8">
        <f t="shared" si="50"/>
        <v>0.61111111111111116</v>
      </c>
      <c r="Z278" s="14" t="str">
        <f t="shared" si="51"/>
        <v>INTERMEDIÁRIO</v>
      </c>
      <c r="AA278" s="5">
        <v>1</v>
      </c>
      <c r="AB278" s="5">
        <v>0</v>
      </c>
      <c r="AC278" s="5">
        <v>1</v>
      </c>
      <c r="AD278" s="5">
        <v>1</v>
      </c>
      <c r="AE278" s="5">
        <v>1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1</v>
      </c>
      <c r="AM278" s="5">
        <v>0</v>
      </c>
      <c r="AN278" s="5">
        <v>0</v>
      </c>
      <c r="AO278" s="5">
        <v>1</v>
      </c>
      <c r="AP278" s="5">
        <v>0</v>
      </c>
      <c r="AQ278" s="5">
        <v>1</v>
      </c>
      <c r="AR278" s="5">
        <v>1</v>
      </c>
      <c r="AS278" s="7">
        <f t="shared" si="49"/>
        <v>8</v>
      </c>
      <c r="AT278" s="8">
        <f t="shared" si="52"/>
        <v>0.44444444444444442</v>
      </c>
      <c r="AU278" s="14" t="str">
        <f t="shared" si="53"/>
        <v>INTERMEDIÁRIO</v>
      </c>
      <c r="AV278" s="7">
        <f t="shared" si="54"/>
        <v>19</v>
      </c>
      <c r="AW278" s="8">
        <f t="shared" si="55"/>
        <v>0.52777777777777779</v>
      </c>
    </row>
    <row r="279" spans="1:49" ht="15.75" customHeight="1" x14ac:dyDescent="0.25">
      <c r="A279" s="5" t="s">
        <v>14</v>
      </c>
      <c r="B279" s="7" t="s">
        <v>1070</v>
      </c>
      <c r="C279" s="7" t="s">
        <v>1103</v>
      </c>
      <c r="D279" s="7" t="s">
        <v>1097</v>
      </c>
      <c r="E279" s="5" t="s">
        <v>969</v>
      </c>
      <c r="F279" s="5">
        <v>1</v>
      </c>
      <c r="G279" s="5">
        <v>1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5">
        <v>1</v>
      </c>
      <c r="N279" s="5">
        <v>0</v>
      </c>
      <c r="O279" s="5">
        <v>1</v>
      </c>
      <c r="P279" s="5">
        <v>1</v>
      </c>
      <c r="Q279" s="5">
        <v>0</v>
      </c>
      <c r="R279" s="5">
        <v>1</v>
      </c>
      <c r="S279" s="5">
        <v>1</v>
      </c>
      <c r="T279" s="5">
        <v>0</v>
      </c>
      <c r="U279" s="5">
        <v>1</v>
      </c>
      <c r="V279" s="5">
        <v>1</v>
      </c>
      <c r="W279" s="5">
        <v>1</v>
      </c>
      <c r="X279" s="7">
        <f t="shared" si="48"/>
        <v>15</v>
      </c>
      <c r="Y279" s="8">
        <f t="shared" si="50"/>
        <v>0.83333333333333326</v>
      </c>
      <c r="Z279" s="14" t="str">
        <f t="shared" si="51"/>
        <v>ADEQUADA</v>
      </c>
      <c r="AA279" s="5">
        <v>1</v>
      </c>
      <c r="AB279" s="5">
        <v>1</v>
      </c>
      <c r="AC279" s="5">
        <v>0</v>
      </c>
      <c r="AD279" s="5">
        <v>1</v>
      </c>
      <c r="AE279" s="5">
        <v>0</v>
      </c>
      <c r="AF279" s="5">
        <v>0</v>
      </c>
      <c r="AG279" s="5">
        <v>0</v>
      </c>
      <c r="AH279" s="5">
        <v>1</v>
      </c>
      <c r="AI279" s="5">
        <v>0</v>
      </c>
      <c r="AJ279" s="5">
        <v>0</v>
      </c>
      <c r="AK279" s="5">
        <v>0</v>
      </c>
      <c r="AL279" s="5">
        <v>0</v>
      </c>
      <c r="AM279" s="5">
        <v>1</v>
      </c>
      <c r="AN279" s="5">
        <v>0</v>
      </c>
      <c r="AO279" s="5">
        <v>0</v>
      </c>
      <c r="AP279" s="5">
        <v>0</v>
      </c>
      <c r="AQ279" s="5">
        <v>1</v>
      </c>
      <c r="AR279" s="5">
        <v>1</v>
      </c>
      <c r="AS279" s="7">
        <f t="shared" si="49"/>
        <v>7</v>
      </c>
      <c r="AT279" s="8">
        <f t="shared" si="52"/>
        <v>0.38888888888888884</v>
      </c>
      <c r="AU279" s="14" t="str">
        <f t="shared" si="53"/>
        <v>DEFASAGEM</v>
      </c>
      <c r="AV279" s="7">
        <f t="shared" si="54"/>
        <v>22</v>
      </c>
      <c r="AW279" s="8">
        <f t="shared" si="55"/>
        <v>0.61111111111111116</v>
      </c>
    </row>
    <row r="280" spans="1:49" ht="15.75" customHeight="1" x14ac:dyDescent="0.25">
      <c r="A280" s="5" t="s">
        <v>14</v>
      </c>
      <c r="B280" s="7" t="s">
        <v>1070</v>
      </c>
      <c r="C280" s="7" t="s">
        <v>1103</v>
      </c>
      <c r="D280" s="7" t="s">
        <v>1097</v>
      </c>
      <c r="E280" s="5" t="s">
        <v>970</v>
      </c>
      <c r="F280" s="5">
        <v>0</v>
      </c>
      <c r="G280" s="5">
        <v>1</v>
      </c>
      <c r="H280" s="5">
        <v>1</v>
      </c>
      <c r="I280" s="5">
        <v>0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1</v>
      </c>
      <c r="P280" s="5">
        <v>1</v>
      </c>
      <c r="Q280" s="5">
        <v>0</v>
      </c>
      <c r="R280" s="5">
        <v>1</v>
      </c>
      <c r="S280" s="5">
        <v>1</v>
      </c>
      <c r="T280" s="5">
        <v>1</v>
      </c>
      <c r="U280" s="5">
        <v>1</v>
      </c>
      <c r="V280" s="5">
        <v>1</v>
      </c>
      <c r="W280" s="5">
        <v>1</v>
      </c>
      <c r="X280" s="7">
        <f t="shared" si="48"/>
        <v>15</v>
      </c>
      <c r="Y280" s="8">
        <f t="shared" si="50"/>
        <v>0.83333333333333326</v>
      </c>
      <c r="Z280" s="14" t="str">
        <f t="shared" si="51"/>
        <v>ADEQUADA</v>
      </c>
      <c r="AA280" s="5">
        <v>1</v>
      </c>
      <c r="AB280" s="5">
        <v>1</v>
      </c>
      <c r="AC280" s="5">
        <v>0</v>
      </c>
      <c r="AD280" s="5">
        <v>1</v>
      </c>
      <c r="AE280" s="5">
        <v>0</v>
      </c>
      <c r="AF280" s="5">
        <v>1</v>
      </c>
      <c r="AG280" s="5">
        <v>1</v>
      </c>
      <c r="AH280" s="5">
        <v>1</v>
      </c>
      <c r="AI280" s="5">
        <v>0</v>
      </c>
      <c r="AJ280" s="5">
        <v>1</v>
      </c>
      <c r="AK280" s="5">
        <v>1</v>
      </c>
      <c r="AL280" s="5">
        <v>0</v>
      </c>
      <c r="AM280" s="5">
        <v>1</v>
      </c>
      <c r="AN280" s="5">
        <v>1</v>
      </c>
      <c r="AO280" s="5">
        <v>0</v>
      </c>
      <c r="AP280" s="5">
        <v>0</v>
      </c>
      <c r="AQ280" s="5">
        <v>1</v>
      </c>
      <c r="AR280" s="5">
        <v>1</v>
      </c>
      <c r="AS280" s="7">
        <f t="shared" si="49"/>
        <v>12</v>
      </c>
      <c r="AT280" s="8">
        <f t="shared" si="52"/>
        <v>0.66666666666666674</v>
      </c>
      <c r="AU280" s="14" t="str">
        <f t="shared" si="53"/>
        <v>INTERMEDIÁRIO</v>
      </c>
      <c r="AV280" s="7">
        <f t="shared" si="54"/>
        <v>27</v>
      </c>
      <c r="AW280" s="8">
        <f t="shared" si="55"/>
        <v>0.75</v>
      </c>
    </row>
    <row r="281" spans="1:49" ht="15.75" customHeight="1" x14ac:dyDescent="0.25">
      <c r="A281" s="5" t="s">
        <v>14</v>
      </c>
      <c r="B281" s="7" t="s">
        <v>1070</v>
      </c>
      <c r="C281" s="7" t="s">
        <v>1103</v>
      </c>
      <c r="D281" s="7" t="s">
        <v>1097</v>
      </c>
      <c r="E281" s="5" t="s">
        <v>971</v>
      </c>
      <c r="F281" s="5">
        <v>1</v>
      </c>
      <c r="G281" s="5">
        <v>1</v>
      </c>
      <c r="H281" s="5">
        <v>0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  <c r="N281" s="5">
        <v>1</v>
      </c>
      <c r="O281" s="5">
        <v>1</v>
      </c>
      <c r="P281" s="5">
        <v>1</v>
      </c>
      <c r="Q281" s="5">
        <v>0</v>
      </c>
      <c r="R281" s="5">
        <v>0</v>
      </c>
      <c r="S281" s="5">
        <v>0</v>
      </c>
      <c r="T281" s="5">
        <v>0</v>
      </c>
      <c r="U281" s="5">
        <v>1</v>
      </c>
      <c r="V281" s="5">
        <v>1</v>
      </c>
      <c r="W281" s="5">
        <v>1</v>
      </c>
      <c r="X281" s="7">
        <f t="shared" si="48"/>
        <v>13</v>
      </c>
      <c r="Y281" s="8">
        <f t="shared" si="50"/>
        <v>0.72222222222222232</v>
      </c>
      <c r="Z281" s="14" t="str">
        <f t="shared" si="51"/>
        <v>ADEQUADA</v>
      </c>
      <c r="AA281" s="5">
        <v>1</v>
      </c>
      <c r="AB281" s="5">
        <v>1</v>
      </c>
      <c r="AC281" s="5">
        <v>1</v>
      </c>
      <c r="AD281" s="5">
        <v>1</v>
      </c>
      <c r="AE281" s="5">
        <v>0</v>
      </c>
      <c r="AF281" s="5">
        <v>0</v>
      </c>
      <c r="AG281" s="5">
        <v>0</v>
      </c>
      <c r="AH281" s="5">
        <v>1</v>
      </c>
      <c r="AI281" s="5">
        <v>0</v>
      </c>
      <c r="AJ281" s="5">
        <v>1</v>
      </c>
      <c r="AK281" s="5">
        <v>1</v>
      </c>
      <c r="AL281" s="5">
        <v>1</v>
      </c>
      <c r="AM281" s="5">
        <v>0</v>
      </c>
      <c r="AN281" s="5">
        <v>1</v>
      </c>
      <c r="AO281" s="5">
        <v>0</v>
      </c>
      <c r="AP281" s="5">
        <v>0</v>
      </c>
      <c r="AQ281" s="5">
        <v>1</v>
      </c>
      <c r="AR281" s="5">
        <v>1</v>
      </c>
      <c r="AS281" s="7">
        <f t="shared" si="49"/>
        <v>11</v>
      </c>
      <c r="AT281" s="8">
        <f t="shared" si="52"/>
        <v>0.61111111111111116</v>
      </c>
      <c r="AU281" s="14" t="str">
        <f t="shared" si="53"/>
        <v>INTERMEDIÁRIO</v>
      </c>
      <c r="AV281" s="7">
        <f t="shared" si="54"/>
        <v>24</v>
      </c>
      <c r="AW281" s="8">
        <f t="shared" si="55"/>
        <v>0.66666666666666674</v>
      </c>
    </row>
    <row r="282" spans="1:49" ht="15.75" customHeight="1" x14ac:dyDescent="0.25">
      <c r="A282" s="5" t="s">
        <v>14</v>
      </c>
      <c r="B282" s="7" t="s">
        <v>1070</v>
      </c>
      <c r="C282" s="7" t="s">
        <v>1104</v>
      </c>
      <c r="D282" s="7" t="s">
        <v>1097</v>
      </c>
      <c r="E282" s="5" t="s">
        <v>972</v>
      </c>
      <c r="F282" s="5">
        <v>1</v>
      </c>
      <c r="G282" s="5">
        <v>0</v>
      </c>
      <c r="H282" s="5">
        <v>0</v>
      </c>
      <c r="I282" s="5">
        <v>0</v>
      </c>
      <c r="J282" s="5">
        <v>1</v>
      </c>
      <c r="K282" s="5">
        <v>0</v>
      </c>
      <c r="L282" s="5">
        <v>0</v>
      </c>
      <c r="M282" s="5">
        <v>1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1</v>
      </c>
      <c r="V282" s="5">
        <v>0</v>
      </c>
      <c r="W282" s="5">
        <v>0</v>
      </c>
      <c r="X282" s="7">
        <f t="shared" si="48"/>
        <v>4</v>
      </c>
      <c r="Y282" s="8">
        <f t="shared" si="50"/>
        <v>0.22222222222222221</v>
      </c>
      <c r="Z282" s="14" t="str">
        <f t="shared" si="51"/>
        <v>DEFASAGEM</v>
      </c>
      <c r="AA282" s="5">
        <v>0</v>
      </c>
      <c r="AB282" s="5">
        <v>0</v>
      </c>
      <c r="AC282" s="5">
        <v>1</v>
      </c>
      <c r="AD282" s="5">
        <v>0</v>
      </c>
      <c r="AE282" s="5">
        <v>1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1</v>
      </c>
      <c r="AO282" s="5">
        <v>0</v>
      </c>
      <c r="AP282" s="5">
        <v>0</v>
      </c>
      <c r="AQ282" s="5">
        <v>0</v>
      </c>
      <c r="AR282" s="5">
        <v>0</v>
      </c>
      <c r="AS282" s="7">
        <f t="shared" si="49"/>
        <v>3</v>
      </c>
      <c r="AT282" s="8">
        <f t="shared" si="52"/>
        <v>0.16666666666666669</v>
      </c>
      <c r="AU282" s="14" t="str">
        <f t="shared" si="53"/>
        <v>DEFASAGEM</v>
      </c>
      <c r="AV282" s="7">
        <f t="shared" si="54"/>
        <v>7</v>
      </c>
      <c r="AW282" s="8">
        <f t="shared" si="55"/>
        <v>0.19444444444444442</v>
      </c>
    </row>
    <row r="283" spans="1:49" ht="15.75" customHeight="1" x14ac:dyDescent="0.25">
      <c r="A283" s="5" t="s">
        <v>14</v>
      </c>
      <c r="B283" s="7" t="s">
        <v>1070</v>
      </c>
      <c r="C283" s="7" t="s">
        <v>1104</v>
      </c>
      <c r="D283" s="7" t="s">
        <v>1097</v>
      </c>
      <c r="E283" s="5" t="s">
        <v>973</v>
      </c>
      <c r="F283" s="5">
        <v>1</v>
      </c>
      <c r="G283" s="5">
        <v>1</v>
      </c>
      <c r="H283" s="5">
        <v>1</v>
      </c>
      <c r="I283" s="5">
        <v>1</v>
      </c>
      <c r="J283" s="5">
        <v>1</v>
      </c>
      <c r="K283" s="5">
        <v>1</v>
      </c>
      <c r="L283" s="5">
        <v>1</v>
      </c>
      <c r="M283" s="5">
        <v>1</v>
      </c>
      <c r="N283" s="5">
        <v>1</v>
      </c>
      <c r="O283" s="5">
        <v>1</v>
      </c>
      <c r="P283" s="5">
        <v>1</v>
      </c>
      <c r="Q283" s="5">
        <v>0</v>
      </c>
      <c r="R283" s="5">
        <v>0</v>
      </c>
      <c r="S283" s="5">
        <v>1</v>
      </c>
      <c r="T283" s="5">
        <v>1</v>
      </c>
      <c r="U283" s="5">
        <v>1</v>
      </c>
      <c r="V283" s="5">
        <v>1</v>
      </c>
      <c r="W283" s="5">
        <v>1</v>
      </c>
      <c r="X283" s="7">
        <f t="shared" si="48"/>
        <v>16</v>
      </c>
      <c r="Y283" s="8">
        <f t="shared" si="50"/>
        <v>0.88888888888888884</v>
      </c>
      <c r="Z283" s="14" t="str">
        <f t="shared" si="51"/>
        <v>ADEQUADA</v>
      </c>
      <c r="AA283" s="5">
        <v>1</v>
      </c>
      <c r="AB283" s="5">
        <v>1</v>
      </c>
      <c r="AC283" s="5">
        <v>1</v>
      </c>
      <c r="AD283" s="5">
        <v>1</v>
      </c>
      <c r="AE283" s="5">
        <v>0</v>
      </c>
      <c r="AF283" s="5">
        <v>1</v>
      </c>
      <c r="AG283" s="5">
        <v>1</v>
      </c>
      <c r="AH283" s="5">
        <v>1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1</v>
      </c>
      <c r="AO283" s="5">
        <v>0</v>
      </c>
      <c r="AP283" s="5">
        <v>1</v>
      </c>
      <c r="AQ283" s="5">
        <v>1</v>
      </c>
      <c r="AR283" s="5">
        <v>1</v>
      </c>
      <c r="AS283" s="7">
        <f t="shared" si="49"/>
        <v>11</v>
      </c>
      <c r="AT283" s="8">
        <f t="shared" si="52"/>
        <v>0.61111111111111116</v>
      </c>
      <c r="AU283" s="14" t="str">
        <f t="shared" si="53"/>
        <v>INTERMEDIÁRIO</v>
      </c>
      <c r="AV283" s="7">
        <f t="shared" si="54"/>
        <v>27</v>
      </c>
      <c r="AW283" s="8">
        <f t="shared" si="55"/>
        <v>0.75</v>
      </c>
    </row>
    <row r="284" spans="1:49" ht="15.75" customHeight="1" x14ac:dyDescent="0.25">
      <c r="A284" s="5" t="s">
        <v>14</v>
      </c>
      <c r="B284" s="7" t="s">
        <v>1070</v>
      </c>
      <c r="C284" s="7" t="s">
        <v>1104</v>
      </c>
      <c r="D284" s="7" t="s">
        <v>1097</v>
      </c>
      <c r="E284" s="5" t="s">
        <v>974</v>
      </c>
      <c r="F284" s="5">
        <v>1</v>
      </c>
      <c r="G284" s="5">
        <v>0</v>
      </c>
      <c r="H284" s="5">
        <v>1</v>
      </c>
      <c r="I284" s="5">
        <v>1</v>
      </c>
      <c r="J284" s="5">
        <v>0</v>
      </c>
      <c r="K284" s="5">
        <v>1</v>
      </c>
      <c r="L284" s="5">
        <v>1</v>
      </c>
      <c r="M284" s="5">
        <v>0</v>
      </c>
      <c r="N284" s="5">
        <v>1</v>
      </c>
      <c r="O284" s="5">
        <v>0</v>
      </c>
      <c r="P284" s="5">
        <v>1</v>
      </c>
      <c r="Q284" s="5">
        <v>0</v>
      </c>
      <c r="R284" s="5">
        <v>0</v>
      </c>
      <c r="S284" s="5">
        <v>0</v>
      </c>
      <c r="T284" s="5">
        <v>0</v>
      </c>
      <c r="U284" s="5">
        <v>1</v>
      </c>
      <c r="V284" s="5">
        <v>1</v>
      </c>
      <c r="W284" s="5">
        <v>1</v>
      </c>
      <c r="X284" s="7">
        <f t="shared" si="48"/>
        <v>10</v>
      </c>
      <c r="Y284" s="8">
        <f t="shared" si="50"/>
        <v>0.55555555555555558</v>
      </c>
      <c r="Z284" s="14" t="str">
        <f t="shared" si="51"/>
        <v>INTERMEDIÁRIO</v>
      </c>
      <c r="AA284" s="5">
        <v>1</v>
      </c>
      <c r="AB284" s="5">
        <v>1</v>
      </c>
      <c r="AC284" s="5">
        <v>0</v>
      </c>
      <c r="AD284" s="5">
        <v>1</v>
      </c>
      <c r="AE284" s="5">
        <v>1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1</v>
      </c>
      <c r="AM284" s="5">
        <v>0</v>
      </c>
      <c r="AN284" s="5">
        <v>1</v>
      </c>
      <c r="AO284" s="5">
        <v>1</v>
      </c>
      <c r="AP284" s="5">
        <v>1</v>
      </c>
      <c r="AQ284" s="5">
        <v>1</v>
      </c>
      <c r="AR284" s="5">
        <v>1</v>
      </c>
      <c r="AS284" s="7">
        <f t="shared" si="49"/>
        <v>10</v>
      </c>
      <c r="AT284" s="8">
        <f t="shared" si="52"/>
        <v>0.55555555555555558</v>
      </c>
      <c r="AU284" s="14" t="str">
        <f t="shared" si="53"/>
        <v>INTERMEDIÁRIO</v>
      </c>
      <c r="AV284" s="7">
        <f t="shared" si="54"/>
        <v>20</v>
      </c>
      <c r="AW284" s="8">
        <f t="shared" si="55"/>
        <v>0.55555555555555558</v>
      </c>
    </row>
    <row r="285" spans="1:49" ht="15.75" customHeight="1" x14ac:dyDescent="0.25">
      <c r="A285" s="5" t="s">
        <v>15</v>
      </c>
      <c r="B285" s="7" t="s">
        <v>975</v>
      </c>
      <c r="C285" s="7" t="s">
        <v>1223</v>
      </c>
      <c r="D285" s="7" t="s">
        <v>1097</v>
      </c>
      <c r="E285" s="5" t="s">
        <v>976</v>
      </c>
      <c r="F285" s="5">
        <v>1</v>
      </c>
      <c r="G285" s="5">
        <v>1</v>
      </c>
      <c r="H285" s="5">
        <v>1</v>
      </c>
      <c r="I285" s="5">
        <v>1</v>
      </c>
      <c r="J285" s="5">
        <v>1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v>1</v>
      </c>
      <c r="Q285" s="5">
        <v>0</v>
      </c>
      <c r="R285" s="5">
        <v>1</v>
      </c>
      <c r="S285" s="5">
        <v>1</v>
      </c>
      <c r="T285" s="5">
        <v>1</v>
      </c>
      <c r="U285" s="5">
        <v>1</v>
      </c>
      <c r="V285" s="5">
        <v>1</v>
      </c>
      <c r="W285" s="5">
        <v>1</v>
      </c>
      <c r="X285" s="7">
        <f t="shared" si="48"/>
        <v>17</v>
      </c>
      <c r="Y285" s="8">
        <f t="shared" si="50"/>
        <v>0.94444444444444442</v>
      </c>
      <c r="Z285" s="14" t="str">
        <f t="shared" si="51"/>
        <v>ADEQUADA</v>
      </c>
      <c r="AA285" s="5">
        <v>1</v>
      </c>
      <c r="AB285" s="5">
        <v>1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1</v>
      </c>
      <c r="AI285" s="5">
        <v>0</v>
      </c>
      <c r="AJ285" s="5">
        <v>0</v>
      </c>
      <c r="AK285" s="5">
        <v>0</v>
      </c>
      <c r="AL285" s="5">
        <v>1</v>
      </c>
      <c r="AM285" s="5">
        <v>0</v>
      </c>
      <c r="AN285" s="5">
        <v>1</v>
      </c>
      <c r="AO285" s="5">
        <v>0</v>
      </c>
      <c r="AP285" s="5">
        <v>0</v>
      </c>
      <c r="AQ285" s="5">
        <v>1</v>
      </c>
      <c r="AR285" s="5">
        <v>1</v>
      </c>
      <c r="AS285" s="7">
        <f t="shared" si="49"/>
        <v>7</v>
      </c>
      <c r="AT285" s="8">
        <f t="shared" si="52"/>
        <v>0.38888888888888884</v>
      </c>
      <c r="AU285" s="14" t="str">
        <f t="shared" si="53"/>
        <v>DEFASAGEM</v>
      </c>
      <c r="AV285" s="7">
        <f t="shared" si="54"/>
        <v>24</v>
      </c>
      <c r="AW285" s="8">
        <f t="shared" si="55"/>
        <v>0.66666666666666674</v>
      </c>
    </row>
    <row r="286" spans="1:49" ht="15.75" customHeight="1" x14ac:dyDescent="0.25">
      <c r="A286" s="5" t="s">
        <v>15</v>
      </c>
      <c r="B286" s="7" t="s">
        <v>975</v>
      </c>
      <c r="C286" s="7" t="s">
        <v>1104</v>
      </c>
      <c r="D286" s="7" t="s">
        <v>1097</v>
      </c>
      <c r="E286" s="5" t="s">
        <v>977</v>
      </c>
      <c r="F286" s="5">
        <v>1</v>
      </c>
      <c r="G286" s="5">
        <v>1</v>
      </c>
      <c r="H286" s="5">
        <v>1</v>
      </c>
      <c r="I286" s="5">
        <v>1</v>
      </c>
      <c r="J286" s="5">
        <v>1</v>
      </c>
      <c r="K286" s="5">
        <v>1</v>
      </c>
      <c r="L286" s="5">
        <v>0</v>
      </c>
      <c r="M286" s="5">
        <v>1</v>
      </c>
      <c r="N286" s="5">
        <v>1</v>
      </c>
      <c r="O286" s="5">
        <v>1</v>
      </c>
      <c r="P286" s="5">
        <v>1</v>
      </c>
      <c r="Q286" s="5">
        <v>1</v>
      </c>
      <c r="R286" s="5">
        <v>1</v>
      </c>
      <c r="S286" s="5">
        <v>1</v>
      </c>
      <c r="T286" s="5">
        <v>1</v>
      </c>
      <c r="U286" s="5">
        <v>1</v>
      </c>
      <c r="V286" s="5">
        <v>1</v>
      </c>
      <c r="W286" s="5">
        <v>1</v>
      </c>
      <c r="X286" s="7">
        <f t="shared" si="48"/>
        <v>17</v>
      </c>
      <c r="Y286" s="8">
        <f t="shared" si="50"/>
        <v>0.94444444444444442</v>
      </c>
      <c r="Z286" s="14" t="str">
        <f t="shared" si="51"/>
        <v>ADEQUADA</v>
      </c>
      <c r="AA286" s="5">
        <v>1</v>
      </c>
      <c r="AB286" s="5">
        <v>1</v>
      </c>
      <c r="AC286" s="5">
        <v>1</v>
      </c>
      <c r="AD286" s="5">
        <v>0</v>
      </c>
      <c r="AE286" s="5">
        <v>1</v>
      </c>
      <c r="AF286" s="5">
        <v>0</v>
      </c>
      <c r="AG286" s="5">
        <v>1</v>
      </c>
      <c r="AH286" s="5">
        <v>1</v>
      </c>
      <c r="AI286" s="5">
        <v>1</v>
      </c>
      <c r="AJ286" s="5">
        <v>1</v>
      </c>
      <c r="AK286" s="5">
        <v>1</v>
      </c>
      <c r="AL286" s="5">
        <v>1</v>
      </c>
      <c r="AM286" s="5">
        <v>0</v>
      </c>
      <c r="AN286" s="5">
        <v>1</v>
      </c>
      <c r="AO286" s="5">
        <v>0</v>
      </c>
      <c r="AP286" s="5">
        <v>0</v>
      </c>
      <c r="AQ286" s="5">
        <v>1</v>
      </c>
      <c r="AR286" s="5">
        <v>1</v>
      </c>
      <c r="AS286" s="7">
        <f t="shared" si="49"/>
        <v>13</v>
      </c>
      <c r="AT286" s="8">
        <f t="shared" si="52"/>
        <v>0.72222222222222232</v>
      </c>
      <c r="AU286" s="14" t="str">
        <f t="shared" si="53"/>
        <v>ADEQUADA</v>
      </c>
      <c r="AV286" s="7">
        <f t="shared" si="54"/>
        <v>30</v>
      </c>
      <c r="AW286" s="8">
        <f t="shared" si="55"/>
        <v>0.83333333333333326</v>
      </c>
    </row>
    <row r="287" spans="1:49" ht="15.75" customHeight="1" x14ac:dyDescent="0.25">
      <c r="A287" s="5" t="s">
        <v>15</v>
      </c>
      <c r="B287" s="7" t="s">
        <v>975</v>
      </c>
      <c r="C287" s="7" t="s">
        <v>1104</v>
      </c>
      <c r="D287" s="7" t="s">
        <v>1097</v>
      </c>
      <c r="E287" s="5" t="s">
        <v>978</v>
      </c>
      <c r="F287" s="5">
        <v>1</v>
      </c>
      <c r="G287" s="5">
        <v>1</v>
      </c>
      <c r="H287" s="5">
        <v>1</v>
      </c>
      <c r="I287" s="5">
        <v>0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v>1</v>
      </c>
      <c r="Q287" s="5">
        <v>1</v>
      </c>
      <c r="R287" s="5">
        <v>1</v>
      </c>
      <c r="S287" s="5">
        <v>1</v>
      </c>
      <c r="T287" s="5">
        <v>1</v>
      </c>
      <c r="U287" s="5">
        <v>1</v>
      </c>
      <c r="V287" s="5">
        <v>1</v>
      </c>
      <c r="W287" s="5">
        <v>1</v>
      </c>
      <c r="X287" s="7">
        <f t="shared" si="48"/>
        <v>17</v>
      </c>
      <c r="Y287" s="8">
        <f t="shared" si="50"/>
        <v>0.94444444444444442</v>
      </c>
      <c r="Z287" s="14" t="str">
        <f t="shared" si="51"/>
        <v>ADEQUADA</v>
      </c>
      <c r="AA287" s="5">
        <v>1</v>
      </c>
      <c r="AB287" s="5">
        <v>1</v>
      </c>
      <c r="AC287" s="5">
        <v>1</v>
      </c>
      <c r="AD287" s="5">
        <v>1</v>
      </c>
      <c r="AE287" s="5">
        <v>0</v>
      </c>
      <c r="AF287" s="5">
        <v>0</v>
      </c>
      <c r="AG287" s="5">
        <v>1</v>
      </c>
      <c r="AH287" s="5">
        <v>1</v>
      </c>
      <c r="AI287" s="5">
        <v>0</v>
      </c>
      <c r="AJ287" s="5">
        <v>0</v>
      </c>
      <c r="AK287" s="5">
        <v>1</v>
      </c>
      <c r="AL287" s="5">
        <v>0</v>
      </c>
      <c r="AM287" s="5">
        <v>0</v>
      </c>
      <c r="AN287" s="5">
        <v>0</v>
      </c>
      <c r="AO287" s="5">
        <v>1</v>
      </c>
      <c r="AP287" s="5">
        <v>0</v>
      </c>
      <c r="AQ287" s="5">
        <v>1</v>
      </c>
      <c r="AR287" s="5">
        <v>1</v>
      </c>
      <c r="AS287" s="7">
        <f t="shared" si="49"/>
        <v>10</v>
      </c>
      <c r="AT287" s="8">
        <f t="shared" si="52"/>
        <v>0.55555555555555558</v>
      </c>
      <c r="AU287" s="14" t="str">
        <f t="shared" si="53"/>
        <v>INTERMEDIÁRIO</v>
      </c>
      <c r="AV287" s="7">
        <f t="shared" si="54"/>
        <v>27</v>
      </c>
      <c r="AW287" s="8">
        <f t="shared" si="55"/>
        <v>0.75</v>
      </c>
    </row>
    <row r="288" spans="1:49" ht="15.75" customHeight="1" x14ac:dyDescent="0.25">
      <c r="A288" s="5" t="s">
        <v>15</v>
      </c>
      <c r="B288" s="7" t="s">
        <v>975</v>
      </c>
      <c r="C288" s="7" t="s">
        <v>1162</v>
      </c>
      <c r="D288" s="7" t="s">
        <v>1097</v>
      </c>
      <c r="E288" s="5" t="s">
        <v>979</v>
      </c>
      <c r="F288" s="5">
        <v>0</v>
      </c>
      <c r="G288" s="5">
        <v>1</v>
      </c>
      <c r="H288" s="5">
        <v>0</v>
      </c>
      <c r="I288" s="5">
        <v>1</v>
      </c>
      <c r="J288" s="5">
        <v>0</v>
      </c>
      <c r="K288" s="5">
        <v>1</v>
      </c>
      <c r="L288" s="5">
        <v>1</v>
      </c>
      <c r="M288" s="5">
        <v>0</v>
      </c>
      <c r="N288" s="5">
        <v>1</v>
      </c>
      <c r="O288" s="5">
        <v>0</v>
      </c>
      <c r="P288" s="5">
        <v>1</v>
      </c>
      <c r="Q288" s="5">
        <v>1</v>
      </c>
      <c r="R288" s="5">
        <v>1</v>
      </c>
      <c r="S288" s="5">
        <v>0</v>
      </c>
      <c r="T288" s="5">
        <v>1</v>
      </c>
      <c r="U288" s="5">
        <v>1</v>
      </c>
      <c r="V288" s="5">
        <v>0</v>
      </c>
      <c r="W288" s="5">
        <v>1</v>
      </c>
      <c r="X288" s="7">
        <f t="shared" si="48"/>
        <v>11</v>
      </c>
      <c r="Y288" s="8">
        <f t="shared" si="50"/>
        <v>0.61111111111111116</v>
      </c>
      <c r="Z288" s="14" t="str">
        <f t="shared" si="51"/>
        <v>INTERMEDIÁRIO</v>
      </c>
      <c r="AA288" s="5">
        <v>1</v>
      </c>
      <c r="AB288" s="5">
        <v>1</v>
      </c>
      <c r="AC288" s="5">
        <v>1</v>
      </c>
      <c r="AD288" s="5">
        <v>1</v>
      </c>
      <c r="AE288" s="5">
        <v>1</v>
      </c>
      <c r="AF288" s="5">
        <v>0</v>
      </c>
      <c r="AG288" s="5">
        <v>1</v>
      </c>
      <c r="AH288" s="5">
        <v>1</v>
      </c>
      <c r="AI288" s="5">
        <v>0</v>
      </c>
      <c r="AJ288" s="5">
        <v>0</v>
      </c>
      <c r="AK288" s="5">
        <v>1</v>
      </c>
      <c r="AL288" s="5">
        <v>0</v>
      </c>
      <c r="AM288" s="5">
        <v>0</v>
      </c>
      <c r="AN288" s="5">
        <v>1</v>
      </c>
      <c r="AO288" s="5">
        <v>0</v>
      </c>
      <c r="AP288" s="5">
        <v>0</v>
      </c>
      <c r="AQ288" s="5">
        <v>0</v>
      </c>
      <c r="AR288" s="5">
        <v>1</v>
      </c>
      <c r="AS288" s="7">
        <f t="shared" si="49"/>
        <v>10</v>
      </c>
      <c r="AT288" s="8">
        <f t="shared" si="52"/>
        <v>0.55555555555555558</v>
      </c>
      <c r="AU288" s="14" t="str">
        <f t="shared" si="53"/>
        <v>INTERMEDIÁRIO</v>
      </c>
      <c r="AV288" s="7">
        <f t="shared" si="54"/>
        <v>21</v>
      </c>
      <c r="AW288" s="8">
        <f t="shared" si="55"/>
        <v>0.58333333333333337</v>
      </c>
    </row>
    <row r="289" spans="1:49" ht="15.75" customHeight="1" x14ac:dyDescent="0.25">
      <c r="A289" s="5" t="s">
        <v>15</v>
      </c>
      <c r="B289" s="7" t="s">
        <v>975</v>
      </c>
      <c r="C289" s="7" t="s">
        <v>1104</v>
      </c>
      <c r="D289" s="7" t="s">
        <v>1097</v>
      </c>
      <c r="E289" s="5" t="s">
        <v>1076</v>
      </c>
      <c r="F289" s="5">
        <v>1</v>
      </c>
      <c r="G289" s="5">
        <v>0</v>
      </c>
      <c r="H289" s="5">
        <v>1</v>
      </c>
      <c r="I289" s="5">
        <v>1</v>
      </c>
      <c r="J289" s="5">
        <v>0</v>
      </c>
      <c r="K289" s="5">
        <v>0</v>
      </c>
      <c r="L289" s="5">
        <v>1</v>
      </c>
      <c r="M289" s="5">
        <v>1</v>
      </c>
      <c r="N289" s="5">
        <v>1</v>
      </c>
      <c r="O289" s="5">
        <v>1</v>
      </c>
      <c r="P289" s="5">
        <v>1</v>
      </c>
      <c r="Q289" s="5">
        <v>1</v>
      </c>
      <c r="R289" s="5">
        <v>1</v>
      </c>
      <c r="S289" s="5">
        <v>1</v>
      </c>
      <c r="T289" s="5">
        <v>1</v>
      </c>
      <c r="U289" s="5">
        <v>1</v>
      </c>
      <c r="V289" s="5">
        <v>1</v>
      </c>
      <c r="W289" s="5">
        <v>1</v>
      </c>
      <c r="X289" s="7">
        <f t="shared" si="48"/>
        <v>15</v>
      </c>
      <c r="Y289" s="8">
        <f t="shared" si="50"/>
        <v>0.83333333333333326</v>
      </c>
      <c r="Z289" s="14" t="str">
        <f t="shared" si="51"/>
        <v>ADEQUADA</v>
      </c>
      <c r="AA289" s="5">
        <v>1</v>
      </c>
      <c r="AB289" s="5">
        <v>1</v>
      </c>
      <c r="AC289" s="5">
        <v>1</v>
      </c>
      <c r="AD289" s="5">
        <v>1</v>
      </c>
      <c r="AE289" s="5">
        <v>1</v>
      </c>
      <c r="AF289" s="5">
        <v>1</v>
      </c>
      <c r="AG289" s="5">
        <v>1</v>
      </c>
      <c r="AH289" s="5">
        <v>1</v>
      </c>
      <c r="AI289" s="5">
        <v>0</v>
      </c>
      <c r="AJ289" s="5">
        <v>0</v>
      </c>
      <c r="AK289" s="5">
        <v>0</v>
      </c>
      <c r="AL289" s="5">
        <v>1</v>
      </c>
      <c r="AM289" s="5">
        <v>1</v>
      </c>
      <c r="AN289" s="5">
        <v>0</v>
      </c>
      <c r="AO289" s="5">
        <v>0</v>
      </c>
      <c r="AP289" s="5">
        <v>0</v>
      </c>
      <c r="AQ289" s="5">
        <v>1</v>
      </c>
      <c r="AR289" s="5">
        <v>1</v>
      </c>
      <c r="AS289" s="7">
        <f t="shared" si="49"/>
        <v>12</v>
      </c>
      <c r="AT289" s="8">
        <f t="shared" si="52"/>
        <v>0.66666666666666674</v>
      </c>
      <c r="AU289" s="14" t="str">
        <f t="shared" si="53"/>
        <v>INTERMEDIÁRIO</v>
      </c>
      <c r="AV289" s="7">
        <f t="shared" si="54"/>
        <v>27</v>
      </c>
      <c r="AW289" s="8">
        <f t="shared" si="55"/>
        <v>0.75</v>
      </c>
    </row>
    <row r="290" spans="1:49" ht="15.75" customHeight="1" x14ac:dyDescent="0.25">
      <c r="A290" s="5" t="s">
        <v>15</v>
      </c>
      <c r="B290" s="7" t="s">
        <v>975</v>
      </c>
      <c r="C290" s="7" t="s">
        <v>1162</v>
      </c>
      <c r="D290" s="7" t="s">
        <v>1097</v>
      </c>
      <c r="E290" s="5" t="s">
        <v>980</v>
      </c>
      <c r="F290" s="5">
        <v>1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V290" s="5">
        <v>1</v>
      </c>
      <c r="W290" s="5">
        <v>1</v>
      </c>
      <c r="X290" s="7">
        <f t="shared" si="48"/>
        <v>18</v>
      </c>
      <c r="Y290" s="8">
        <f t="shared" si="50"/>
        <v>1</v>
      </c>
      <c r="Z290" s="14" t="str">
        <f t="shared" si="51"/>
        <v>ADEQUADA</v>
      </c>
      <c r="AA290" s="5">
        <v>1</v>
      </c>
      <c r="AB290" s="5">
        <v>1</v>
      </c>
      <c r="AC290" s="5">
        <v>1</v>
      </c>
      <c r="AD290" s="5">
        <v>1</v>
      </c>
      <c r="AE290" s="5">
        <v>0</v>
      </c>
      <c r="AF290" s="5">
        <v>0</v>
      </c>
      <c r="AG290" s="5">
        <v>1</v>
      </c>
      <c r="AH290" s="5">
        <v>1</v>
      </c>
      <c r="AI290" s="5">
        <v>0</v>
      </c>
      <c r="AJ290" s="5">
        <v>0</v>
      </c>
      <c r="AK290" s="5">
        <v>1</v>
      </c>
      <c r="AL290" s="5">
        <v>0</v>
      </c>
      <c r="AM290" s="5">
        <v>0</v>
      </c>
      <c r="AN290" s="5">
        <v>1</v>
      </c>
      <c r="AO290" s="5">
        <v>1</v>
      </c>
      <c r="AP290" s="5">
        <v>0</v>
      </c>
      <c r="AQ290" s="5">
        <v>1</v>
      </c>
      <c r="AR290" s="5">
        <v>1</v>
      </c>
      <c r="AS290" s="7">
        <f t="shared" si="49"/>
        <v>11</v>
      </c>
      <c r="AT290" s="8">
        <f t="shared" si="52"/>
        <v>0.61111111111111116</v>
      </c>
      <c r="AU290" s="14" t="str">
        <f t="shared" si="53"/>
        <v>INTERMEDIÁRIO</v>
      </c>
      <c r="AV290" s="7">
        <f t="shared" si="54"/>
        <v>29</v>
      </c>
      <c r="AW290" s="8">
        <f t="shared" si="55"/>
        <v>0.80555555555555558</v>
      </c>
    </row>
    <row r="291" spans="1:49" ht="15.75" customHeight="1" x14ac:dyDescent="0.25">
      <c r="A291" s="5" t="s">
        <v>15</v>
      </c>
      <c r="B291" s="7" t="s">
        <v>975</v>
      </c>
      <c r="C291" s="7" t="s">
        <v>1104</v>
      </c>
      <c r="D291" s="7" t="s">
        <v>1097</v>
      </c>
      <c r="E291" s="5" t="s">
        <v>981</v>
      </c>
      <c r="F291" s="5">
        <v>1</v>
      </c>
      <c r="G291" s="5">
        <v>0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0</v>
      </c>
      <c r="N291" s="5">
        <v>0</v>
      </c>
      <c r="O291" s="5">
        <v>1</v>
      </c>
      <c r="P291" s="5">
        <v>0</v>
      </c>
      <c r="Q291" s="5">
        <v>1</v>
      </c>
      <c r="R291" s="5">
        <v>1</v>
      </c>
      <c r="S291" s="5">
        <v>1</v>
      </c>
      <c r="T291" s="5">
        <v>0</v>
      </c>
      <c r="U291" s="5">
        <v>1</v>
      </c>
      <c r="V291" s="5">
        <v>0</v>
      </c>
      <c r="W291" s="5">
        <v>1</v>
      </c>
      <c r="X291" s="7">
        <f t="shared" si="48"/>
        <v>12</v>
      </c>
      <c r="Y291" s="8">
        <f t="shared" si="50"/>
        <v>0.66666666666666674</v>
      </c>
      <c r="Z291" s="14" t="str">
        <f t="shared" si="51"/>
        <v>INTERMEDIÁRIO</v>
      </c>
      <c r="AA291" s="5">
        <v>1</v>
      </c>
      <c r="AB291" s="5">
        <v>1</v>
      </c>
      <c r="AC291" s="5">
        <v>1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1</v>
      </c>
      <c r="AK291" s="5">
        <v>1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1</v>
      </c>
      <c r="AR291" s="5">
        <v>0</v>
      </c>
      <c r="AS291" s="7">
        <f t="shared" si="49"/>
        <v>6</v>
      </c>
      <c r="AT291" s="8">
        <f t="shared" si="52"/>
        <v>0.33333333333333337</v>
      </c>
      <c r="AU291" s="14" t="str">
        <f t="shared" si="53"/>
        <v>DEFASAGEM</v>
      </c>
      <c r="AV291" s="7">
        <f t="shared" si="54"/>
        <v>18</v>
      </c>
      <c r="AW291" s="8">
        <f t="shared" si="55"/>
        <v>0.5</v>
      </c>
    </row>
    <row r="292" spans="1:49" ht="15.75" customHeight="1" x14ac:dyDescent="0.25">
      <c r="A292" s="5" t="s">
        <v>15</v>
      </c>
      <c r="B292" s="7" t="s">
        <v>975</v>
      </c>
      <c r="C292" s="7" t="s">
        <v>1223</v>
      </c>
      <c r="D292" s="7" t="s">
        <v>1097</v>
      </c>
      <c r="E292" s="5" t="s">
        <v>982</v>
      </c>
      <c r="F292" s="5">
        <v>0</v>
      </c>
      <c r="G292" s="5">
        <v>0</v>
      </c>
      <c r="H292" s="5">
        <v>1</v>
      </c>
      <c r="I292" s="5">
        <v>0</v>
      </c>
      <c r="J292" s="5">
        <v>1</v>
      </c>
      <c r="K292" s="5">
        <v>0</v>
      </c>
      <c r="L292" s="5">
        <v>1</v>
      </c>
      <c r="M292" s="5">
        <v>1</v>
      </c>
      <c r="N292" s="5">
        <v>0</v>
      </c>
      <c r="O292" s="5">
        <v>0</v>
      </c>
      <c r="P292" s="5">
        <v>0</v>
      </c>
      <c r="Q292" s="5">
        <v>1</v>
      </c>
      <c r="R292" s="5">
        <v>1</v>
      </c>
      <c r="S292" s="5">
        <v>1</v>
      </c>
      <c r="T292" s="5">
        <v>0</v>
      </c>
      <c r="U292" s="5">
        <v>1</v>
      </c>
      <c r="V292" s="5">
        <v>0</v>
      </c>
      <c r="W292" s="5">
        <v>0</v>
      </c>
      <c r="X292" s="7">
        <f t="shared" si="48"/>
        <v>8</v>
      </c>
      <c r="Y292" s="8">
        <f t="shared" si="50"/>
        <v>0.44444444444444442</v>
      </c>
      <c r="Z292" s="14" t="str">
        <f t="shared" si="51"/>
        <v>INTERMEDIÁRIO</v>
      </c>
      <c r="AA292" s="5">
        <v>1</v>
      </c>
      <c r="AB292" s="5">
        <v>1</v>
      </c>
      <c r="AC292" s="5">
        <v>1</v>
      </c>
      <c r="AD292" s="5">
        <v>1</v>
      </c>
      <c r="AE292" s="5">
        <v>0</v>
      </c>
      <c r="AF292" s="5">
        <v>0</v>
      </c>
      <c r="AG292" s="5">
        <v>0</v>
      </c>
      <c r="AH292" s="5">
        <v>0</v>
      </c>
      <c r="AI292" s="5">
        <v>1</v>
      </c>
      <c r="AJ292" s="5">
        <v>0</v>
      </c>
      <c r="AK292" s="5">
        <v>1</v>
      </c>
      <c r="AL292" s="5">
        <v>1</v>
      </c>
      <c r="AM292" s="5">
        <v>0</v>
      </c>
      <c r="AN292" s="5">
        <v>0</v>
      </c>
      <c r="AO292" s="5">
        <v>0</v>
      </c>
      <c r="AP292" s="5">
        <v>0</v>
      </c>
      <c r="AQ292" s="5">
        <v>1</v>
      </c>
      <c r="AR292" s="5">
        <v>0</v>
      </c>
      <c r="AS292" s="7">
        <f t="shared" si="49"/>
        <v>8</v>
      </c>
      <c r="AT292" s="8">
        <f t="shared" si="52"/>
        <v>0.44444444444444442</v>
      </c>
      <c r="AU292" s="14" t="str">
        <f t="shared" si="53"/>
        <v>INTERMEDIÁRIO</v>
      </c>
      <c r="AV292" s="7">
        <f t="shared" si="54"/>
        <v>16</v>
      </c>
      <c r="AW292" s="8">
        <f t="shared" si="55"/>
        <v>0.44444444444444442</v>
      </c>
    </row>
    <row r="293" spans="1:49" ht="15.75" customHeight="1" x14ac:dyDescent="0.25">
      <c r="A293" s="5" t="s">
        <v>15</v>
      </c>
      <c r="B293" s="7" t="s">
        <v>975</v>
      </c>
      <c r="C293" s="7" t="s">
        <v>1220</v>
      </c>
      <c r="D293" s="7" t="s">
        <v>1097</v>
      </c>
      <c r="E293" s="5" t="s">
        <v>983</v>
      </c>
      <c r="F293" s="5">
        <v>1</v>
      </c>
      <c r="G293" s="5">
        <v>1</v>
      </c>
      <c r="H293" s="5">
        <v>1</v>
      </c>
      <c r="I293" s="5">
        <v>1</v>
      </c>
      <c r="J293" s="5">
        <v>1</v>
      </c>
      <c r="K293" s="5">
        <v>0</v>
      </c>
      <c r="L293" s="5">
        <v>1</v>
      </c>
      <c r="M293" s="5">
        <v>1</v>
      </c>
      <c r="N293" s="5">
        <v>1</v>
      </c>
      <c r="O293" s="5">
        <v>0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  <c r="U293" s="5">
        <v>0</v>
      </c>
      <c r="V293" s="5">
        <v>0</v>
      </c>
      <c r="W293" s="5">
        <v>1</v>
      </c>
      <c r="X293" s="7">
        <f t="shared" si="48"/>
        <v>14</v>
      </c>
      <c r="Y293" s="8">
        <f t="shared" si="50"/>
        <v>0.77777777777777768</v>
      </c>
      <c r="Z293" s="14" t="str">
        <f t="shared" si="51"/>
        <v>ADEQUADA</v>
      </c>
      <c r="AA293" s="5">
        <v>1</v>
      </c>
      <c r="AB293" s="5">
        <v>1</v>
      </c>
      <c r="AC293" s="5">
        <v>1</v>
      </c>
      <c r="AD293" s="5">
        <v>1</v>
      </c>
      <c r="AE293" s="5">
        <v>0</v>
      </c>
      <c r="AF293" s="5">
        <v>0</v>
      </c>
      <c r="AG293" s="5">
        <v>1</v>
      </c>
      <c r="AH293" s="5">
        <v>0</v>
      </c>
      <c r="AI293" s="5">
        <v>0</v>
      </c>
      <c r="AJ293" s="5">
        <v>1</v>
      </c>
      <c r="AK293" s="5">
        <v>1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1</v>
      </c>
      <c r="AR293" s="5">
        <v>1</v>
      </c>
      <c r="AS293" s="7">
        <f t="shared" si="49"/>
        <v>9</v>
      </c>
      <c r="AT293" s="8">
        <f t="shared" si="52"/>
        <v>0.5</v>
      </c>
      <c r="AU293" s="14" t="str">
        <f t="shared" si="53"/>
        <v>INTERMEDIÁRIO</v>
      </c>
      <c r="AV293" s="7">
        <f t="shared" si="54"/>
        <v>23</v>
      </c>
      <c r="AW293" s="8">
        <f t="shared" si="55"/>
        <v>0.63888888888888884</v>
      </c>
    </row>
    <row r="294" spans="1:49" ht="15.75" customHeight="1" x14ac:dyDescent="0.25">
      <c r="A294" s="5" t="s">
        <v>15</v>
      </c>
      <c r="B294" s="7" t="s">
        <v>975</v>
      </c>
      <c r="C294" s="7" t="s">
        <v>1162</v>
      </c>
      <c r="D294" s="7" t="s">
        <v>1097</v>
      </c>
      <c r="E294" s="5" t="s">
        <v>984</v>
      </c>
      <c r="F294" s="5">
        <v>1</v>
      </c>
      <c r="G294" s="5">
        <v>0</v>
      </c>
      <c r="H294" s="5">
        <v>1</v>
      </c>
      <c r="I294" s="5">
        <v>0</v>
      </c>
      <c r="J294" s="5">
        <v>1</v>
      </c>
      <c r="K294" s="5">
        <v>1</v>
      </c>
      <c r="L294" s="5">
        <v>0</v>
      </c>
      <c r="M294" s="5">
        <v>1</v>
      </c>
      <c r="N294" s="5">
        <v>1</v>
      </c>
      <c r="O294" s="5">
        <v>1</v>
      </c>
      <c r="P294" s="5">
        <v>1</v>
      </c>
      <c r="Q294" s="5">
        <v>1</v>
      </c>
      <c r="R294" s="5">
        <v>1</v>
      </c>
      <c r="S294" s="5">
        <v>1</v>
      </c>
      <c r="T294" s="5">
        <v>1</v>
      </c>
      <c r="U294" s="5">
        <v>1</v>
      </c>
      <c r="V294" s="5">
        <v>1</v>
      </c>
      <c r="W294" s="5">
        <v>1</v>
      </c>
      <c r="X294" s="7">
        <f t="shared" si="48"/>
        <v>15</v>
      </c>
      <c r="Y294" s="8">
        <f t="shared" si="50"/>
        <v>0.83333333333333326</v>
      </c>
      <c r="Z294" s="14" t="str">
        <f t="shared" si="51"/>
        <v>ADEQUADA</v>
      </c>
      <c r="AA294" s="5">
        <v>0</v>
      </c>
      <c r="AB294" s="5">
        <v>1</v>
      </c>
      <c r="AC294" s="5">
        <v>1</v>
      </c>
      <c r="AD294" s="5">
        <v>1</v>
      </c>
      <c r="AE294" s="5">
        <v>0</v>
      </c>
      <c r="AF294" s="5">
        <v>0</v>
      </c>
      <c r="AG294" s="5">
        <v>1</v>
      </c>
      <c r="AH294" s="5">
        <v>0</v>
      </c>
      <c r="AI294" s="5">
        <v>1</v>
      </c>
      <c r="AJ294" s="5">
        <v>0</v>
      </c>
      <c r="AK294" s="5">
        <v>0</v>
      </c>
      <c r="AL294" s="5">
        <v>1</v>
      </c>
      <c r="AM294" s="5">
        <v>0</v>
      </c>
      <c r="AN294" s="5">
        <v>1</v>
      </c>
      <c r="AO294" s="5">
        <v>0</v>
      </c>
      <c r="AP294" s="5">
        <v>0</v>
      </c>
      <c r="AQ294" s="5">
        <v>1</v>
      </c>
      <c r="AR294" s="5">
        <v>1</v>
      </c>
      <c r="AS294" s="7">
        <f t="shared" si="49"/>
        <v>9</v>
      </c>
      <c r="AT294" s="8">
        <f t="shared" si="52"/>
        <v>0.5</v>
      </c>
      <c r="AU294" s="14" t="str">
        <f t="shared" si="53"/>
        <v>INTERMEDIÁRIO</v>
      </c>
      <c r="AV294" s="7">
        <f t="shared" si="54"/>
        <v>24</v>
      </c>
      <c r="AW294" s="8">
        <f t="shared" si="55"/>
        <v>0.66666666666666674</v>
      </c>
    </row>
    <row r="295" spans="1:49" ht="15.75" customHeight="1" x14ac:dyDescent="0.25">
      <c r="A295" s="5" t="s">
        <v>15</v>
      </c>
      <c r="B295" s="7" t="s">
        <v>975</v>
      </c>
      <c r="C295" s="7" t="s">
        <v>1104</v>
      </c>
      <c r="D295" s="7" t="s">
        <v>1097</v>
      </c>
      <c r="E295" s="5" t="s">
        <v>985</v>
      </c>
      <c r="F295" s="5">
        <v>1</v>
      </c>
      <c r="G295" s="5">
        <v>0</v>
      </c>
      <c r="H295" s="5">
        <v>1</v>
      </c>
      <c r="I295" s="5">
        <v>0</v>
      </c>
      <c r="J295" s="5">
        <v>1</v>
      </c>
      <c r="K295" s="5">
        <v>0</v>
      </c>
      <c r="L295" s="5">
        <v>0</v>
      </c>
      <c r="M295" s="5">
        <v>1</v>
      </c>
      <c r="N295" s="5">
        <v>0</v>
      </c>
      <c r="O295" s="5">
        <v>1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7">
        <f t="shared" si="48"/>
        <v>5</v>
      </c>
      <c r="Y295" s="8">
        <f t="shared" si="50"/>
        <v>0.27777777777777779</v>
      </c>
      <c r="Z295" s="14" t="str">
        <f t="shared" si="51"/>
        <v>DEFASAGEM</v>
      </c>
      <c r="AA295" s="5">
        <v>1</v>
      </c>
      <c r="AB295" s="5">
        <v>1</v>
      </c>
      <c r="AC295" s="5">
        <v>1</v>
      </c>
      <c r="AD295" s="5">
        <v>1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1</v>
      </c>
      <c r="AS295" s="7">
        <f t="shared" si="49"/>
        <v>5</v>
      </c>
      <c r="AT295" s="8">
        <f t="shared" si="52"/>
        <v>0.27777777777777779</v>
      </c>
      <c r="AU295" s="14" t="str">
        <f t="shared" si="53"/>
        <v>DEFASAGEM</v>
      </c>
      <c r="AV295" s="7">
        <f t="shared" si="54"/>
        <v>10</v>
      </c>
      <c r="AW295" s="8">
        <f t="shared" si="55"/>
        <v>0.27777777777777779</v>
      </c>
    </row>
    <row r="296" spans="1:49" ht="15.75" customHeight="1" x14ac:dyDescent="0.25">
      <c r="A296" s="5" t="s">
        <v>15</v>
      </c>
      <c r="B296" s="7" t="s">
        <v>975</v>
      </c>
      <c r="C296" s="7" t="s">
        <v>1162</v>
      </c>
      <c r="D296" s="7" t="s">
        <v>1097</v>
      </c>
      <c r="E296" s="5" t="s">
        <v>986</v>
      </c>
      <c r="F296" s="5">
        <v>1</v>
      </c>
      <c r="G296" s="5">
        <v>1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  <c r="N296" s="5">
        <v>1</v>
      </c>
      <c r="O296" s="5">
        <v>0</v>
      </c>
      <c r="P296" s="5">
        <v>1</v>
      </c>
      <c r="Q296" s="5">
        <v>1</v>
      </c>
      <c r="R296" s="5">
        <v>1</v>
      </c>
      <c r="S296" s="5">
        <v>1</v>
      </c>
      <c r="T296" s="5">
        <v>1</v>
      </c>
      <c r="U296" s="5">
        <v>1</v>
      </c>
      <c r="V296" s="5">
        <v>1</v>
      </c>
      <c r="W296" s="5">
        <v>1</v>
      </c>
      <c r="X296" s="7">
        <f t="shared" si="48"/>
        <v>17</v>
      </c>
      <c r="Y296" s="8">
        <f t="shared" si="50"/>
        <v>0.94444444444444442</v>
      </c>
      <c r="Z296" s="14" t="str">
        <f t="shared" si="51"/>
        <v>ADEQUADA</v>
      </c>
      <c r="AA296" s="5">
        <v>1</v>
      </c>
      <c r="AB296" s="5">
        <v>1</v>
      </c>
      <c r="AC296" s="5">
        <v>0</v>
      </c>
      <c r="AD296" s="5">
        <v>1</v>
      </c>
      <c r="AE296" s="5">
        <v>0</v>
      </c>
      <c r="AF296" s="5">
        <v>0</v>
      </c>
      <c r="AG296" s="5">
        <v>1</v>
      </c>
      <c r="AH296" s="5">
        <v>0</v>
      </c>
      <c r="AI296" s="5">
        <v>0</v>
      </c>
      <c r="AJ296" s="5">
        <v>1</v>
      </c>
      <c r="AK296" s="5">
        <v>1</v>
      </c>
      <c r="AL296" s="5">
        <v>0</v>
      </c>
      <c r="AM296" s="5">
        <v>0</v>
      </c>
      <c r="AN296" s="5">
        <v>1</v>
      </c>
      <c r="AO296" s="5">
        <v>1</v>
      </c>
      <c r="AP296" s="5">
        <v>0</v>
      </c>
      <c r="AQ296" s="5">
        <v>1</v>
      </c>
      <c r="AR296" s="5">
        <v>1</v>
      </c>
      <c r="AS296" s="7">
        <f t="shared" si="49"/>
        <v>10</v>
      </c>
      <c r="AT296" s="8">
        <f t="shared" si="52"/>
        <v>0.55555555555555558</v>
      </c>
      <c r="AU296" s="14" t="str">
        <f t="shared" si="53"/>
        <v>INTERMEDIÁRIO</v>
      </c>
      <c r="AV296" s="7">
        <f t="shared" si="54"/>
        <v>27</v>
      </c>
      <c r="AW296" s="8">
        <f t="shared" si="55"/>
        <v>0.75</v>
      </c>
    </row>
    <row r="297" spans="1:49" ht="15.75" customHeight="1" x14ac:dyDescent="0.25">
      <c r="A297" s="5" t="s">
        <v>15</v>
      </c>
      <c r="B297" s="7" t="s">
        <v>975</v>
      </c>
      <c r="C297" s="7" t="s">
        <v>1104</v>
      </c>
      <c r="D297" s="7" t="s">
        <v>1097</v>
      </c>
      <c r="E297" s="5" t="s">
        <v>987</v>
      </c>
      <c r="F297" s="5">
        <v>1</v>
      </c>
      <c r="G297" s="5">
        <v>1</v>
      </c>
      <c r="H297" s="5">
        <v>0</v>
      </c>
      <c r="I297" s="5">
        <v>0</v>
      </c>
      <c r="J297" s="5">
        <v>1</v>
      </c>
      <c r="K297" s="5">
        <v>1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1</v>
      </c>
      <c r="T297" s="5">
        <v>1</v>
      </c>
      <c r="U297" s="5">
        <v>0</v>
      </c>
      <c r="V297" s="5">
        <v>1</v>
      </c>
      <c r="W297" s="5">
        <v>1</v>
      </c>
      <c r="X297" s="7">
        <f t="shared" si="48"/>
        <v>8</v>
      </c>
      <c r="Y297" s="8">
        <f t="shared" si="50"/>
        <v>0.44444444444444442</v>
      </c>
      <c r="Z297" s="14" t="str">
        <f t="shared" si="51"/>
        <v>INTERMEDIÁRIO</v>
      </c>
      <c r="AA297" s="5">
        <v>1</v>
      </c>
      <c r="AB297" s="5">
        <v>1</v>
      </c>
      <c r="AC297" s="5">
        <v>1</v>
      </c>
      <c r="AD297" s="5">
        <v>1</v>
      </c>
      <c r="AE297" s="5">
        <v>1</v>
      </c>
      <c r="AF297" s="5">
        <v>0</v>
      </c>
      <c r="AG297" s="5">
        <v>1</v>
      </c>
      <c r="AH297" s="5">
        <v>0</v>
      </c>
      <c r="AI297" s="5">
        <v>0</v>
      </c>
      <c r="AJ297" s="5">
        <v>1</v>
      </c>
      <c r="AK297" s="5">
        <v>1</v>
      </c>
      <c r="AL297" s="5">
        <v>1</v>
      </c>
      <c r="AM297" s="5">
        <v>0</v>
      </c>
      <c r="AN297" s="5">
        <v>1</v>
      </c>
      <c r="AO297" s="5">
        <v>0</v>
      </c>
      <c r="AP297" s="5">
        <v>1</v>
      </c>
      <c r="AQ297" s="5">
        <v>1</v>
      </c>
      <c r="AR297" s="5">
        <v>1</v>
      </c>
      <c r="AS297" s="7">
        <f t="shared" si="49"/>
        <v>13</v>
      </c>
      <c r="AT297" s="8">
        <f t="shared" si="52"/>
        <v>0.72222222222222232</v>
      </c>
      <c r="AU297" s="14" t="str">
        <f t="shared" si="53"/>
        <v>ADEQUADA</v>
      </c>
      <c r="AV297" s="7">
        <f t="shared" si="54"/>
        <v>21</v>
      </c>
      <c r="AW297" s="8">
        <f t="shared" si="55"/>
        <v>0.58333333333333337</v>
      </c>
    </row>
    <row r="298" spans="1:49" ht="15.75" customHeight="1" x14ac:dyDescent="0.25">
      <c r="A298" s="5" t="s">
        <v>15</v>
      </c>
      <c r="B298" s="7" t="s">
        <v>975</v>
      </c>
      <c r="C298" s="7" t="s">
        <v>1162</v>
      </c>
      <c r="D298" s="7" t="s">
        <v>1097</v>
      </c>
      <c r="E298" s="5" t="s">
        <v>988</v>
      </c>
      <c r="F298" s="5">
        <v>0</v>
      </c>
      <c r="G298" s="5">
        <v>1</v>
      </c>
      <c r="H298" s="5">
        <v>0</v>
      </c>
      <c r="I298" s="5">
        <v>1</v>
      </c>
      <c r="J298" s="5">
        <v>1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</v>
      </c>
      <c r="Q298" s="5">
        <v>0</v>
      </c>
      <c r="R298" s="5">
        <v>1</v>
      </c>
      <c r="S298" s="5">
        <v>1</v>
      </c>
      <c r="T298" s="5">
        <v>1</v>
      </c>
      <c r="U298" s="5">
        <v>0</v>
      </c>
      <c r="V298" s="5">
        <v>0</v>
      </c>
      <c r="W298" s="5">
        <v>0</v>
      </c>
      <c r="X298" s="7">
        <f t="shared" si="48"/>
        <v>7</v>
      </c>
      <c r="Y298" s="8">
        <f t="shared" si="50"/>
        <v>0.38888888888888884</v>
      </c>
      <c r="Z298" s="14" t="str">
        <f t="shared" si="51"/>
        <v>DEFASAGEM</v>
      </c>
      <c r="AA298" s="5">
        <v>0</v>
      </c>
      <c r="AB298" s="5">
        <v>1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1</v>
      </c>
      <c r="AL298" s="5">
        <v>1</v>
      </c>
      <c r="AM298" s="5">
        <v>0</v>
      </c>
      <c r="AN298" s="5">
        <v>1</v>
      </c>
      <c r="AO298" s="5">
        <v>0</v>
      </c>
      <c r="AP298" s="5">
        <v>1</v>
      </c>
      <c r="AQ298" s="5">
        <v>0</v>
      </c>
      <c r="AR298" s="5">
        <v>0</v>
      </c>
      <c r="AS298" s="7">
        <f t="shared" si="49"/>
        <v>5</v>
      </c>
      <c r="AT298" s="8">
        <f t="shared" si="52"/>
        <v>0.27777777777777779</v>
      </c>
      <c r="AU298" s="14" t="str">
        <f t="shared" si="53"/>
        <v>DEFASAGEM</v>
      </c>
      <c r="AV298" s="7">
        <f t="shared" si="54"/>
        <v>12</v>
      </c>
      <c r="AW298" s="8">
        <f t="shared" si="55"/>
        <v>0.33333333333333337</v>
      </c>
    </row>
    <row r="299" spans="1:49" ht="15.75" customHeight="1" x14ac:dyDescent="0.25">
      <c r="A299" s="5" t="s">
        <v>15</v>
      </c>
      <c r="B299" s="7" t="s">
        <v>975</v>
      </c>
      <c r="C299" s="7" t="s">
        <v>1220</v>
      </c>
      <c r="D299" s="7" t="s">
        <v>1097</v>
      </c>
      <c r="E299" s="5" t="s">
        <v>989</v>
      </c>
      <c r="F299" s="5">
        <v>1</v>
      </c>
      <c r="G299" s="5">
        <v>1</v>
      </c>
      <c r="H299" s="5">
        <v>1</v>
      </c>
      <c r="I299" s="5">
        <v>1</v>
      </c>
      <c r="J299" s="5">
        <v>1</v>
      </c>
      <c r="K299" s="5">
        <v>0</v>
      </c>
      <c r="L299" s="5">
        <v>0</v>
      </c>
      <c r="M299" s="5">
        <v>0</v>
      </c>
      <c r="N299" s="5">
        <v>0</v>
      </c>
      <c r="O299" s="5">
        <v>1</v>
      </c>
      <c r="P299" s="5">
        <v>1</v>
      </c>
      <c r="Q299" s="5">
        <v>0</v>
      </c>
      <c r="R299" s="5">
        <v>1</v>
      </c>
      <c r="S299" s="5">
        <v>0</v>
      </c>
      <c r="T299" s="5">
        <v>0</v>
      </c>
      <c r="U299" s="5">
        <v>1</v>
      </c>
      <c r="V299" s="5">
        <v>1</v>
      </c>
      <c r="W299" s="5">
        <v>0</v>
      </c>
      <c r="X299" s="7">
        <f t="shared" si="48"/>
        <v>10</v>
      </c>
      <c r="Y299" s="8">
        <f t="shared" si="50"/>
        <v>0.55555555555555558</v>
      </c>
      <c r="Z299" s="14" t="str">
        <f t="shared" si="51"/>
        <v>INTERMEDIÁRIO</v>
      </c>
      <c r="AA299" s="5">
        <v>0</v>
      </c>
      <c r="AB299" s="5">
        <v>0</v>
      </c>
      <c r="AC299" s="5">
        <v>0</v>
      </c>
      <c r="AD299" s="5">
        <v>1</v>
      </c>
      <c r="AE299" s="5">
        <v>0</v>
      </c>
      <c r="AF299" s="5">
        <v>1</v>
      </c>
      <c r="AG299" s="5">
        <v>0</v>
      </c>
      <c r="AH299" s="5">
        <v>0</v>
      </c>
      <c r="AI299" s="5">
        <v>1</v>
      </c>
      <c r="AJ299" s="5">
        <v>1</v>
      </c>
      <c r="AK299" s="5">
        <v>0</v>
      </c>
      <c r="AL299" s="5">
        <v>1</v>
      </c>
      <c r="AM299" s="5">
        <v>1</v>
      </c>
      <c r="AN299" s="5">
        <v>0</v>
      </c>
      <c r="AO299" s="5">
        <v>1</v>
      </c>
      <c r="AP299" s="5">
        <v>0</v>
      </c>
      <c r="AQ299" s="5">
        <v>0</v>
      </c>
      <c r="AR299" s="5">
        <v>0</v>
      </c>
      <c r="AS299" s="7">
        <f t="shared" si="49"/>
        <v>7</v>
      </c>
      <c r="AT299" s="8">
        <f t="shared" si="52"/>
        <v>0.38888888888888884</v>
      </c>
      <c r="AU299" s="14" t="str">
        <f t="shared" si="53"/>
        <v>DEFASAGEM</v>
      </c>
      <c r="AV299" s="7">
        <f t="shared" si="54"/>
        <v>17</v>
      </c>
      <c r="AW299" s="8">
        <f t="shared" si="55"/>
        <v>0.47222222222222221</v>
      </c>
    </row>
    <row r="300" spans="1:49" ht="15.75" customHeight="1" x14ac:dyDescent="0.25">
      <c r="A300" s="5" t="s">
        <v>15</v>
      </c>
      <c r="B300" s="7" t="s">
        <v>975</v>
      </c>
      <c r="C300" s="7" t="s">
        <v>1162</v>
      </c>
      <c r="D300" s="7" t="s">
        <v>1097</v>
      </c>
      <c r="E300" s="5" t="s">
        <v>990</v>
      </c>
      <c r="F300" s="5">
        <v>0</v>
      </c>
      <c r="G300" s="5">
        <v>1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1</v>
      </c>
      <c r="N300" s="5">
        <v>1</v>
      </c>
      <c r="O300" s="5">
        <v>0</v>
      </c>
      <c r="P300" s="5">
        <v>1</v>
      </c>
      <c r="Q300" s="5">
        <v>1</v>
      </c>
      <c r="R300" s="5">
        <v>1</v>
      </c>
      <c r="S300" s="5">
        <v>1</v>
      </c>
      <c r="T300" s="5">
        <v>1</v>
      </c>
      <c r="U300" s="5">
        <v>1</v>
      </c>
      <c r="V300" s="5">
        <v>1</v>
      </c>
      <c r="W300" s="5">
        <v>1</v>
      </c>
      <c r="X300" s="7">
        <f t="shared" si="48"/>
        <v>16</v>
      </c>
      <c r="Y300" s="8">
        <f t="shared" si="50"/>
        <v>0.88888888888888884</v>
      </c>
      <c r="Z300" s="14" t="str">
        <f t="shared" si="51"/>
        <v>ADEQUADA</v>
      </c>
      <c r="AA300" s="5">
        <v>1</v>
      </c>
      <c r="AB300" s="5">
        <v>1</v>
      </c>
      <c r="AC300" s="5">
        <v>1</v>
      </c>
      <c r="AD300" s="5">
        <v>0</v>
      </c>
      <c r="AE300" s="5">
        <v>0</v>
      </c>
      <c r="AF300" s="5">
        <v>0</v>
      </c>
      <c r="AG300" s="5">
        <v>0</v>
      </c>
      <c r="AH300" s="5">
        <v>1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1</v>
      </c>
      <c r="AO300" s="5">
        <v>0</v>
      </c>
      <c r="AP300" s="5">
        <v>0</v>
      </c>
      <c r="AQ300" s="5">
        <v>1</v>
      </c>
      <c r="AR300" s="5">
        <v>1</v>
      </c>
      <c r="AS300" s="7">
        <f t="shared" si="49"/>
        <v>7</v>
      </c>
      <c r="AT300" s="8">
        <f t="shared" si="52"/>
        <v>0.38888888888888884</v>
      </c>
      <c r="AU300" s="14" t="str">
        <f t="shared" si="53"/>
        <v>DEFASAGEM</v>
      </c>
      <c r="AV300" s="7">
        <f t="shared" si="54"/>
        <v>23</v>
      </c>
      <c r="AW300" s="8">
        <f t="shared" si="55"/>
        <v>0.63888888888888884</v>
      </c>
    </row>
    <row r="301" spans="1:49" ht="15.75" customHeight="1" x14ac:dyDescent="0.25">
      <c r="A301" s="5" t="s">
        <v>15</v>
      </c>
      <c r="B301" s="7" t="s">
        <v>975</v>
      </c>
      <c r="C301" s="7" t="s">
        <v>1104</v>
      </c>
      <c r="D301" s="7" t="s">
        <v>1097</v>
      </c>
      <c r="E301" s="5" t="s">
        <v>991</v>
      </c>
      <c r="F301" s="5">
        <v>0</v>
      </c>
      <c r="G301" s="5">
        <v>0</v>
      </c>
      <c r="H301" s="5">
        <v>0</v>
      </c>
      <c r="I301" s="5">
        <v>1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</v>
      </c>
      <c r="Q301" s="5">
        <v>1</v>
      </c>
      <c r="R301" s="5">
        <v>1</v>
      </c>
      <c r="S301" s="5">
        <v>1</v>
      </c>
      <c r="T301" s="5">
        <v>1</v>
      </c>
      <c r="U301" s="5">
        <v>1</v>
      </c>
      <c r="V301" s="5">
        <v>1</v>
      </c>
      <c r="W301" s="5">
        <v>1</v>
      </c>
      <c r="X301" s="7">
        <f t="shared" si="48"/>
        <v>9</v>
      </c>
      <c r="Y301" s="8">
        <f t="shared" si="50"/>
        <v>0.5</v>
      </c>
      <c r="Z301" s="14" t="str">
        <f t="shared" si="51"/>
        <v>INTERMEDIÁRIO</v>
      </c>
      <c r="AA301" s="5">
        <v>0</v>
      </c>
      <c r="AB301" s="5">
        <v>0</v>
      </c>
      <c r="AC301" s="5">
        <v>0</v>
      </c>
      <c r="AD301" s="5">
        <v>0</v>
      </c>
      <c r="AE301" s="5">
        <v>1</v>
      </c>
      <c r="AF301" s="5">
        <v>1</v>
      </c>
      <c r="AG301" s="5">
        <v>1</v>
      </c>
      <c r="AH301" s="5">
        <v>1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1</v>
      </c>
      <c r="AP301" s="5">
        <v>0</v>
      </c>
      <c r="AQ301" s="5">
        <v>0</v>
      </c>
      <c r="AR301" s="5">
        <v>1</v>
      </c>
      <c r="AS301" s="7">
        <f t="shared" si="49"/>
        <v>6</v>
      </c>
      <c r="AT301" s="8">
        <f t="shared" si="52"/>
        <v>0.33333333333333337</v>
      </c>
      <c r="AU301" s="14" t="str">
        <f t="shared" si="53"/>
        <v>DEFASAGEM</v>
      </c>
      <c r="AV301" s="7">
        <f t="shared" si="54"/>
        <v>15</v>
      </c>
      <c r="AW301" s="8">
        <f t="shared" si="55"/>
        <v>0.41666666666666663</v>
      </c>
    </row>
    <row r="302" spans="1:49" ht="15.75" customHeight="1" x14ac:dyDescent="0.25">
      <c r="A302" s="5" t="s">
        <v>15</v>
      </c>
      <c r="B302" s="7" t="s">
        <v>975</v>
      </c>
      <c r="C302" s="7" t="s">
        <v>1162</v>
      </c>
      <c r="D302" s="7" t="s">
        <v>1097</v>
      </c>
      <c r="E302" s="5" t="s">
        <v>992</v>
      </c>
      <c r="F302" s="5">
        <v>1</v>
      </c>
      <c r="G302" s="5">
        <v>1</v>
      </c>
      <c r="H302" s="5">
        <v>1</v>
      </c>
      <c r="I302" s="5">
        <v>0</v>
      </c>
      <c r="J302" s="5">
        <v>1</v>
      </c>
      <c r="K302" s="5">
        <v>1</v>
      </c>
      <c r="L302" s="5">
        <v>1</v>
      </c>
      <c r="M302" s="5">
        <v>1</v>
      </c>
      <c r="N302" s="5">
        <v>0</v>
      </c>
      <c r="O302" s="5">
        <v>1</v>
      </c>
      <c r="P302" s="5">
        <v>1</v>
      </c>
      <c r="Q302" s="5">
        <v>1</v>
      </c>
      <c r="R302" s="5">
        <v>1</v>
      </c>
      <c r="S302" s="5">
        <v>1</v>
      </c>
      <c r="T302" s="5">
        <v>1</v>
      </c>
      <c r="U302" s="5">
        <v>1</v>
      </c>
      <c r="V302" s="5">
        <v>1</v>
      </c>
      <c r="W302" s="5">
        <v>1</v>
      </c>
      <c r="X302" s="7">
        <f t="shared" si="48"/>
        <v>16</v>
      </c>
      <c r="Y302" s="8">
        <f t="shared" si="50"/>
        <v>0.88888888888888884</v>
      </c>
      <c r="Z302" s="14" t="str">
        <f t="shared" si="51"/>
        <v>ADEQUADA</v>
      </c>
      <c r="AA302" s="5">
        <v>1</v>
      </c>
      <c r="AB302" s="5">
        <v>1</v>
      </c>
      <c r="AC302" s="5">
        <v>1</v>
      </c>
      <c r="AD302" s="5">
        <v>1</v>
      </c>
      <c r="AE302" s="5">
        <v>0</v>
      </c>
      <c r="AF302" s="5">
        <v>0</v>
      </c>
      <c r="AG302" s="5">
        <v>1</v>
      </c>
      <c r="AH302" s="5">
        <v>1</v>
      </c>
      <c r="AI302" s="5">
        <v>0</v>
      </c>
      <c r="AJ302" s="5">
        <v>1</v>
      </c>
      <c r="AK302" s="5">
        <v>1</v>
      </c>
      <c r="AL302" s="5">
        <v>1</v>
      </c>
      <c r="AM302" s="5">
        <v>1</v>
      </c>
      <c r="AN302" s="5">
        <v>0</v>
      </c>
      <c r="AO302" s="5">
        <v>0</v>
      </c>
      <c r="AP302" s="5">
        <v>0</v>
      </c>
      <c r="AQ302" s="5">
        <v>1</v>
      </c>
      <c r="AR302" s="5">
        <v>0</v>
      </c>
      <c r="AS302" s="7">
        <f t="shared" si="49"/>
        <v>11</v>
      </c>
      <c r="AT302" s="8">
        <f t="shared" si="52"/>
        <v>0.61111111111111116</v>
      </c>
      <c r="AU302" s="14" t="str">
        <f t="shared" si="53"/>
        <v>INTERMEDIÁRIO</v>
      </c>
      <c r="AV302" s="7">
        <f t="shared" si="54"/>
        <v>27</v>
      </c>
      <c r="AW302" s="8">
        <f t="shared" si="55"/>
        <v>0.75</v>
      </c>
    </row>
    <row r="303" spans="1:49" ht="15.75" customHeight="1" x14ac:dyDescent="0.25">
      <c r="A303" s="5" t="s">
        <v>15</v>
      </c>
      <c r="B303" s="7" t="s">
        <v>975</v>
      </c>
      <c r="C303" s="7" t="s">
        <v>1162</v>
      </c>
      <c r="D303" s="7" t="s">
        <v>1097</v>
      </c>
      <c r="E303" s="5" t="s">
        <v>993</v>
      </c>
      <c r="F303" s="5">
        <v>1</v>
      </c>
      <c r="G303" s="5">
        <v>1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1</v>
      </c>
      <c r="N303" s="5">
        <v>1</v>
      </c>
      <c r="O303" s="5">
        <v>1</v>
      </c>
      <c r="P303" s="5">
        <v>1</v>
      </c>
      <c r="Q303" s="5">
        <v>1</v>
      </c>
      <c r="R303" s="5">
        <v>1</v>
      </c>
      <c r="S303" s="5">
        <v>1</v>
      </c>
      <c r="T303" s="5">
        <v>1</v>
      </c>
      <c r="U303" s="5">
        <v>1</v>
      </c>
      <c r="V303" s="5">
        <v>1</v>
      </c>
      <c r="W303" s="5">
        <v>1</v>
      </c>
      <c r="X303" s="7">
        <f t="shared" si="48"/>
        <v>18</v>
      </c>
      <c r="Y303" s="8">
        <f t="shared" si="50"/>
        <v>1</v>
      </c>
      <c r="Z303" s="14" t="str">
        <f t="shared" si="51"/>
        <v>ADEQUADA</v>
      </c>
      <c r="AA303" s="5">
        <v>1</v>
      </c>
      <c r="AB303" s="5">
        <v>1</v>
      </c>
      <c r="AC303" s="5">
        <v>1</v>
      </c>
      <c r="AD303" s="5">
        <v>0</v>
      </c>
      <c r="AE303" s="5">
        <v>0</v>
      </c>
      <c r="AF303" s="5">
        <v>0</v>
      </c>
      <c r="AG303" s="5">
        <v>1</v>
      </c>
      <c r="AH303" s="5">
        <v>1</v>
      </c>
      <c r="AI303" s="5">
        <v>1</v>
      </c>
      <c r="AJ303" s="5">
        <v>1</v>
      </c>
      <c r="AK303" s="5">
        <v>0</v>
      </c>
      <c r="AL303" s="5">
        <v>0</v>
      </c>
      <c r="AM303" s="5">
        <v>1</v>
      </c>
      <c r="AN303" s="5">
        <v>0</v>
      </c>
      <c r="AO303" s="5">
        <v>0</v>
      </c>
      <c r="AP303" s="5">
        <v>0</v>
      </c>
      <c r="AQ303" s="5">
        <v>1</v>
      </c>
      <c r="AR303" s="5">
        <v>1</v>
      </c>
      <c r="AS303" s="7">
        <f t="shared" si="49"/>
        <v>10</v>
      </c>
      <c r="AT303" s="8">
        <f t="shared" si="52"/>
        <v>0.55555555555555558</v>
      </c>
      <c r="AU303" s="14" t="str">
        <f t="shared" si="53"/>
        <v>INTERMEDIÁRIO</v>
      </c>
      <c r="AV303" s="7">
        <f t="shared" si="54"/>
        <v>28</v>
      </c>
      <c r="AW303" s="8">
        <f t="shared" si="55"/>
        <v>0.77777777777777768</v>
      </c>
    </row>
    <row r="304" spans="1:49" ht="15.75" customHeight="1" x14ac:dyDescent="0.25">
      <c r="A304" s="5" t="s">
        <v>15</v>
      </c>
      <c r="B304" s="7" t="s">
        <v>975</v>
      </c>
      <c r="C304" s="7" t="s">
        <v>1104</v>
      </c>
      <c r="D304" s="7" t="s">
        <v>1097</v>
      </c>
      <c r="E304" s="5" t="s">
        <v>994</v>
      </c>
      <c r="F304" s="5">
        <v>1</v>
      </c>
      <c r="G304" s="5">
        <v>1</v>
      </c>
      <c r="H304" s="5">
        <v>1</v>
      </c>
      <c r="I304" s="5">
        <v>1</v>
      </c>
      <c r="J304" s="5">
        <v>1</v>
      </c>
      <c r="K304" s="5">
        <v>1</v>
      </c>
      <c r="L304" s="5">
        <v>1</v>
      </c>
      <c r="M304" s="5">
        <v>1</v>
      </c>
      <c r="N304" s="5">
        <v>1</v>
      </c>
      <c r="O304" s="5">
        <v>0</v>
      </c>
      <c r="P304" s="5">
        <v>1</v>
      </c>
      <c r="Q304" s="5">
        <v>1</v>
      </c>
      <c r="R304" s="5">
        <v>1</v>
      </c>
      <c r="S304" s="5">
        <v>1</v>
      </c>
      <c r="T304" s="5">
        <v>1</v>
      </c>
      <c r="U304" s="5">
        <v>1</v>
      </c>
      <c r="V304" s="5">
        <v>1</v>
      </c>
      <c r="W304" s="5">
        <v>1</v>
      </c>
      <c r="X304" s="7">
        <f t="shared" si="48"/>
        <v>17</v>
      </c>
      <c r="Y304" s="8">
        <f t="shared" si="50"/>
        <v>0.94444444444444442</v>
      </c>
      <c r="Z304" s="14" t="str">
        <f t="shared" si="51"/>
        <v>ADEQUADA</v>
      </c>
      <c r="AA304" s="5">
        <v>1</v>
      </c>
      <c r="AB304" s="5">
        <v>1</v>
      </c>
      <c r="AC304" s="5">
        <v>1</v>
      </c>
      <c r="AD304" s="5">
        <v>0</v>
      </c>
      <c r="AE304" s="5">
        <v>0</v>
      </c>
      <c r="AF304" s="5">
        <v>1</v>
      </c>
      <c r="AG304" s="5">
        <v>1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</v>
      </c>
      <c r="AO304" s="5">
        <v>0</v>
      </c>
      <c r="AP304" s="5">
        <v>0</v>
      </c>
      <c r="AQ304" s="5">
        <v>1</v>
      </c>
      <c r="AR304" s="5">
        <v>1</v>
      </c>
      <c r="AS304" s="7">
        <f t="shared" si="49"/>
        <v>8</v>
      </c>
      <c r="AT304" s="8">
        <f t="shared" si="52"/>
        <v>0.44444444444444442</v>
      </c>
      <c r="AU304" s="14" t="str">
        <f t="shared" si="53"/>
        <v>INTERMEDIÁRIO</v>
      </c>
      <c r="AV304" s="7">
        <f t="shared" si="54"/>
        <v>25</v>
      </c>
      <c r="AW304" s="8">
        <f t="shared" si="55"/>
        <v>0.69444444444444442</v>
      </c>
    </row>
    <row r="305" spans="1:49" ht="15.75" customHeight="1" x14ac:dyDescent="0.25">
      <c r="A305" s="5" t="s">
        <v>15</v>
      </c>
      <c r="B305" s="7" t="s">
        <v>975</v>
      </c>
      <c r="C305" s="7" t="s">
        <v>1105</v>
      </c>
      <c r="D305" s="7" t="s">
        <v>1097</v>
      </c>
      <c r="E305" s="5" t="s">
        <v>995</v>
      </c>
      <c r="F305" s="5">
        <v>1</v>
      </c>
      <c r="G305" s="5">
        <v>0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  <c r="M305" s="5">
        <v>0</v>
      </c>
      <c r="N305" s="5">
        <v>1</v>
      </c>
      <c r="O305" s="5">
        <v>0</v>
      </c>
      <c r="P305" s="5">
        <v>1</v>
      </c>
      <c r="Q305" s="5">
        <v>0</v>
      </c>
      <c r="R305" s="5">
        <v>1</v>
      </c>
      <c r="S305" s="5">
        <v>1</v>
      </c>
      <c r="T305" s="5">
        <v>1</v>
      </c>
      <c r="U305" s="5">
        <v>1</v>
      </c>
      <c r="V305" s="5">
        <v>1</v>
      </c>
      <c r="W305" s="5">
        <v>1</v>
      </c>
      <c r="X305" s="7">
        <f t="shared" si="48"/>
        <v>14</v>
      </c>
      <c r="Y305" s="8">
        <f t="shared" si="50"/>
        <v>0.77777777777777768</v>
      </c>
      <c r="Z305" s="14" t="str">
        <f t="shared" si="51"/>
        <v>ADEQUADA</v>
      </c>
      <c r="AA305" s="5">
        <v>1</v>
      </c>
      <c r="AB305" s="5">
        <v>1</v>
      </c>
      <c r="AC305" s="5">
        <v>0</v>
      </c>
      <c r="AD305" s="5">
        <v>1</v>
      </c>
      <c r="AE305" s="5">
        <v>0</v>
      </c>
      <c r="AF305" s="5">
        <v>1</v>
      </c>
      <c r="AG305" s="5">
        <v>1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1</v>
      </c>
      <c r="AO305" s="5">
        <v>0</v>
      </c>
      <c r="AP305" s="5">
        <v>0</v>
      </c>
      <c r="AQ305" s="5">
        <v>1</v>
      </c>
      <c r="AR305" s="5">
        <v>1</v>
      </c>
      <c r="AS305" s="7">
        <f t="shared" si="49"/>
        <v>8</v>
      </c>
      <c r="AT305" s="8">
        <f t="shared" si="52"/>
        <v>0.44444444444444442</v>
      </c>
      <c r="AU305" s="14" t="str">
        <f t="shared" si="53"/>
        <v>INTERMEDIÁRIO</v>
      </c>
      <c r="AV305" s="7">
        <f t="shared" si="54"/>
        <v>22</v>
      </c>
      <c r="AW305" s="8">
        <f t="shared" si="55"/>
        <v>0.61111111111111116</v>
      </c>
    </row>
    <row r="306" spans="1:49" ht="15.75" customHeight="1" x14ac:dyDescent="0.25">
      <c r="A306" s="5" t="s">
        <v>15</v>
      </c>
      <c r="B306" s="7" t="s">
        <v>975</v>
      </c>
      <c r="C306" s="7" t="s">
        <v>1220</v>
      </c>
      <c r="D306" s="7" t="s">
        <v>1097</v>
      </c>
      <c r="E306" s="5" t="s">
        <v>996</v>
      </c>
      <c r="F306" s="5">
        <v>1</v>
      </c>
      <c r="G306" s="5">
        <v>1</v>
      </c>
      <c r="H306" s="5">
        <v>1</v>
      </c>
      <c r="I306" s="5">
        <v>1</v>
      </c>
      <c r="J306" s="5">
        <v>1</v>
      </c>
      <c r="K306" s="5">
        <v>0</v>
      </c>
      <c r="L306" s="5">
        <v>0</v>
      </c>
      <c r="M306" s="5">
        <v>0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1</v>
      </c>
      <c r="U306" s="5">
        <v>1</v>
      </c>
      <c r="V306" s="5">
        <v>1</v>
      </c>
      <c r="W306" s="5">
        <v>1</v>
      </c>
      <c r="X306" s="7">
        <f t="shared" si="48"/>
        <v>15</v>
      </c>
      <c r="Y306" s="8">
        <f t="shared" si="50"/>
        <v>0.83333333333333326</v>
      </c>
      <c r="Z306" s="14" t="str">
        <f t="shared" si="51"/>
        <v>ADEQUADA</v>
      </c>
      <c r="AA306" s="5">
        <v>1</v>
      </c>
      <c r="AB306" s="5">
        <v>1</v>
      </c>
      <c r="AC306" s="5">
        <v>0</v>
      </c>
      <c r="AD306" s="5">
        <v>1</v>
      </c>
      <c r="AE306" s="5">
        <v>0</v>
      </c>
      <c r="AF306" s="5">
        <v>0</v>
      </c>
      <c r="AG306" s="5">
        <v>1</v>
      </c>
      <c r="AH306" s="5">
        <v>0</v>
      </c>
      <c r="AI306" s="5">
        <v>0</v>
      </c>
      <c r="AJ306" s="5">
        <v>0</v>
      </c>
      <c r="AK306" s="5">
        <v>0</v>
      </c>
      <c r="AL306" s="5">
        <v>1</v>
      </c>
      <c r="AM306" s="5">
        <v>0</v>
      </c>
      <c r="AN306" s="5">
        <v>0</v>
      </c>
      <c r="AO306" s="5">
        <v>1</v>
      </c>
      <c r="AP306" s="5">
        <v>0</v>
      </c>
      <c r="AQ306" s="5">
        <v>0</v>
      </c>
      <c r="AR306" s="5">
        <v>0</v>
      </c>
      <c r="AS306" s="7">
        <f t="shared" si="49"/>
        <v>6</v>
      </c>
      <c r="AT306" s="8">
        <f t="shared" si="52"/>
        <v>0.33333333333333337</v>
      </c>
      <c r="AU306" s="14" t="str">
        <f t="shared" si="53"/>
        <v>DEFASAGEM</v>
      </c>
      <c r="AV306" s="7">
        <f t="shared" si="54"/>
        <v>21</v>
      </c>
      <c r="AW306" s="8">
        <f t="shared" si="55"/>
        <v>0.58333333333333337</v>
      </c>
    </row>
    <row r="307" spans="1:49" ht="15.75" customHeight="1" x14ac:dyDescent="0.25">
      <c r="A307" s="5" t="s">
        <v>15</v>
      </c>
      <c r="B307" s="7" t="s">
        <v>975</v>
      </c>
      <c r="C307" s="7" t="s">
        <v>1162</v>
      </c>
      <c r="D307" s="7" t="s">
        <v>1097</v>
      </c>
      <c r="E307" s="5" t="s">
        <v>997</v>
      </c>
      <c r="F307" s="5">
        <v>1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  <c r="V307" s="5">
        <v>1</v>
      </c>
      <c r="W307" s="5">
        <v>1</v>
      </c>
      <c r="X307" s="7">
        <f t="shared" si="48"/>
        <v>18</v>
      </c>
      <c r="Y307" s="8">
        <f t="shared" si="50"/>
        <v>1</v>
      </c>
      <c r="Z307" s="14" t="str">
        <f t="shared" si="51"/>
        <v>ADEQUADA</v>
      </c>
      <c r="AA307" s="5">
        <v>1</v>
      </c>
      <c r="AB307" s="5">
        <v>1</v>
      </c>
      <c r="AC307" s="5">
        <v>1</v>
      </c>
      <c r="AD307" s="5">
        <v>1</v>
      </c>
      <c r="AE307" s="5">
        <v>0</v>
      </c>
      <c r="AF307" s="5">
        <v>0</v>
      </c>
      <c r="AG307" s="5">
        <v>1</v>
      </c>
      <c r="AH307" s="5">
        <v>1</v>
      </c>
      <c r="AI307" s="5">
        <v>0</v>
      </c>
      <c r="AJ307" s="5">
        <v>1</v>
      </c>
      <c r="AK307" s="5">
        <v>1</v>
      </c>
      <c r="AL307" s="5">
        <v>1</v>
      </c>
      <c r="AM307" s="5">
        <v>0</v>
      </c>
      <c r="AN307" s="5">
        <v>1</v>
      </c>
      <c r="AO307" s="5">
        <v>0</v>
      </c>
      <c r="AP307" s="5">
        <v>0</v>
      </c>
      <c r="AQ307" s="5">
        <v>0</v>
      </c>
      <c r="AR307" s="5">
        <v>1</v>
      </c>
      <c r="AS307" s="7">
        <f t="shared" si="49"/>
        <v>11</v>
      </c>
      <c r="AT307" s="8">
        <f t="shared" si="52"/>
        <v>0.61111111111111116</v>
      </c>
      <c r="AU307" s="14" t="str">
        <f t="shared" si="53"/>
        <v>INTERMEDIÁRIO</v>
      </c>
      <c r="AV307" s="7">
        <f t="shared" si="54"/>
        <v>29</v>
      </c>
      <c r="AW307" s="8">
        <f t="shared" si="55"/>
        <v>0.80555555555555558</v>
      </c>
    </row>
    <row r="308" spans="1:49" ht="15.75" customHeight="1" x14ac:dyDescent="0.25">
      <c r="A308" s="5" t="s">
        <v>15</v>
      </c>
      <c r="B308" s="7" t="s">
        <v>975</v>
      </c>
      <c r="C308" s="7" t="s">
        <v>1104</v>
      </c>
      <c r="D308" s="7" t="s">
        <v>1097</v>
      </c>
      <c r="E308" s="5" t="s">
        <v>998</v>
      </c>
      <c r="F308" s="5">
        <v>0</v>
      </c>
      <c r="G308" s="5">
        <v>1</v>
      </c>
      <c r="H308" s="5">
        <v>1</v>
      </c>
      <c r="I308" s="5">
        <v>0</v>
      </c>
      <c r="J308" s="5">
        <v>0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1</v>
      </c>
      <c r="T308" s="5">
        <v>1</v>
      </c>
      <c r="U308" s="5">
        <v>1</v>
      </c>
      <c r="V308" s="5">
        <v>1</v>
      </c>
      <c r="W308" s="5">
        <v>1</v>
      </c>
      <c r="X308" s="7">
        <f t="shared" si="48"/>
        <v>8</v>
      </c>
      <c r="Y308" s="8">
        <f t="shared" si="50"/>
        <v>0.44444444444444442</v>
      </c>
      <c r="Z308" s="14" t="str">
        <f t="shared" si="51"/>
        <v>INTERMEDIÁRIO</v>
      </c>
      <c r="AA308" s="5">
        <v>1</v>
      </c>
      <c r="AB308" s="5">
        <v>1</v>
      </c>
      <c r="AC308" s="5">
        <v>1</v>
      </c>
      <c r="AD308" s="5">
        <v>1</v>
      </c>
      <c r="AE308" s="5">
        <v>1</v>
      </c>
      <c r="AF308" s="5">
        <v>0</v>
      </c>
      <c r="AG308" s="5">
        <v>1</v>
      </c>
      <c r="AH308" s="5">
        <v>0</v>
      </c>
      <c r="AI308" s="5">
        <v>0</v>
      </c>
      <c r="AJ308" s="5">
        <v>1</v>
      </c>
      <c r="AK308" s="5">
        <v>1</v>
      </c>
      <c r="AL308" s="5">
        <v>0</v>
      </c>
      <c r="AM308" s="5">
        <v>0</v>
      </c>
      <c r="AN308" s="5">
        <v>0</v>
      </c>
      <c r="AO308" s="5">
        <v>0</v>
      </c>
      <c r="AP308" s="5">
        <v>1</v>
      </c>
      <c r="AQ308" s="5">
        <v>1</v>
      </c>
      <c r="AR308" s="5">
        <v>1</v>
      </c>
      <c r="AS308" s="7">
        <f t="shared" si="49"/>
        <v>11</v>
      </c>
      <c r="AT308" s="8">
        <f t="shared" si="52"/>
        <v>0.61111111111111116</v>
      </c>
      <c r="AU308" s="14" t="str">
        <f t="shared" si="53"/>
        <v>INTERMEDIÁRIO</v>
      </c>
      <c r="AV308" s="7">
        <f t="shared" si="54"/>
        <v>19</v>
      </c>
      <c r="AW308" s="8">
        <f t="shared" si="55"/>
        <v>0.52777777777777779</v>
      </c>
    </row>
    <row r="309" spans="1:49" ht="15.75" customHeight="1" x14ac:dyDescent="0.25">
      <c r="A309" s="5" t="s">
        <v>15</v>
      </c>
      <c r="B309" s="7" t="s">
        <v>975</v>
      </c>
      <c r="C309" s="7" t="s">
        <v>1162</v>
      </c>
      <c r="D309" s="7" t="s">
        <v>1097</v>
      </c>
      <c r="E309" s="5" t="s">
        <v>999</v>
      </c>
      <c r="F309" s="5">
        <v>1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0</v>
      </c>
      <c r="O309" s="5">
        <v>0</v>
      </c>
      <c r="P309" s="5">
        <v>1</v>
      </c>
      <c r="Q309" s="5">
        <v>0</v>
      </c>
      <c r="R309" s="5">
        <v>1</v>
      </c>
      <c r="S309" s="5">
        <v>0</v>
      </c>
      <c r="T309" s="5">
        <v>1</v>
      </c>
      <c r="U309" s="5">
        <v>0</v>
      </c>
      <c r="V309" s="5">
        <v>0</v>
      </c>
      <c r="W309" s="5">
        <v>0</v>
      </c>
      <c r="X309" s="7">
        <f t="shared" si="48"/>
        <v>11</v>
      </c>
      <c r="Y309" s="8">
        <f t="shared" si="50"/>
        <v>0.61111111111111116</v>
      </c>
      <c r="Z309" s="14" t="str">
        <f t="shared" si="51"/>
        <v>INTERMEDIÁRIO</v>
      </c>
      <c r="AA309" s="5">
        <v>1</v>
      </c>
      <c r="AB309" s="5">
        <v>1</v>
      </c>
      <c r="AC309" s="5">
        <v>1</v>
      </c>
      <c r="AD309" s="5">
        <v>1</v>
      </c>
      <c r="AE309" s="5">
        <v>1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1</v>
      </c>
      <c r="AL309" s="5">
        <v>1</v>
      </c>
      <c r="AM309" s="5">
        <v>0</v>
      </c>
      <c r="AN309" s="5">
        <v>0</v>
      </c>
      <c r="AO309" s="5">
        <v>0</v>
      </c>
      <c r="AP309" s="5">
        <v>1</v>
      </c>
      <c r="AQ309" s="5">
        <v>0</v>
      </c>
      <c r="AR309" s="5">
        <v>0</v>
      </c>
      <c r="AS309" s="7">
        <f t="shared" si="49"/>
        <v>8</v>
      </c>
      <c r="AT309" s="8">
        <f t="shared" si="52"/>
        <v>0.44444444444444442</v>
      </c>
      <c r="AU309" s="14" t="str">
        <f t="shared" si="53"/>
        <v>INTERMEDIÁRIO</v>
      </c>
      <c r="AV309" s="7">
        <f t="shared" si="54"/>
        <v>19</v>
      </c>
      <c r="AW309" s="8">
        <f t="shared" si="55"/>
        <v>0.52777777777777779</v>
      </c>
    </row>
    <row r="310" spans="1:49" ht="15.75" customHeight="1" x14ac:dyDescent="0.25">
      <c r="A310" s="5" t="s">
        <v>15</v>
      </c>
      <c r="B310" s="7" t="s">
        <v>975</v>
      </c>
      <c r="C310" s="26" t="s">
        <v>1104</v>
      </c>
      <c r="D310" s="7" t="s">
        <v>1097</v>
      </c>
      <c r="E310" s="5" t="s">
        <v>1000</v>
      </c>
      <c r="F310" s="5">
        <v>1</v>
      </c>
      <c r="G310" s="5">
        <v>1</v>
      </c>
      <c r="H310" s="5">
        <v>1</v>
      </c>
      <c r="I310" s="5">
        <v>0</v>
      </c>
      <c r="J310" s="5">
        <v>1</v>
      </c>
      <c r="K310" s="5">
        <v>1</v>
      </c>
      <c r="L310" s="5">
        <v>1</v>
      </c>
      <c r="M310" s="5">
        <v>0</v>
      </c>
      <c r="N310" s="5">
        <v>1</v>
      </c>
      <c r="O310" s="5">
        <v>1</v>
      </c>
      <c r="P310" s="5">
        <v>1</v>
      </c>
      <c r="Q310" s="5">
        <v>1</v>
      </c>
      <c r="R310" s="5">
        <v>1</v>
      </c>
      <c r="S310" s="5">
        <v>1</v>
      </c>
      <c r="T310" s="5">
        <v>1</v>
      </c>
      <c r="U310" s="5">
        <v>1</v>
      </c>
      <c r="V310" s="5">
        <v>1</v>
      </c>
      <c r="W310" s="5">
        <v>1</v>
      </c>
      <c r="X310" s="7">
        <f t="shared" si="48"/>
        <v>16</v>
      </c>
      <c r="Y310" s="8">
        <f t="shared" si="50"/>
        <v>0.88888888888888884</v>
      </c>
      <c r="Z310" s="14" t="str">
        <f t="shared" si="51"/>
        <v>ADEQUADA</v>
      </c>
      <c r="AA310" s="5">
        <v>1</v>
      </c>
      <c r="AB310" s="5">
        <v>1</v>
      </c>
      <c r="AC310" s="5">
        <v>1</v>
      </c>
      <c r="AD310" s="5">
        <v>1</v>
      </c>
      <c r="AE310" s="5">
        <v>0</v>
      </c>
      <c r="AF310" s="5">
        <v>0</v>
      </c>
      <c r="AG310" s="5">
        <v>1</v>
      </c>
      <c r="AH310" s="5">
        <v>1</v>
      </c>
      <c r="AI310" s="5">
        <v>0</v>
      </c>
      <c r="AJ310" s="5">
        <v>0</v>
      </c>
      <c r="AK310" s="5">
        <v>1</v>
      </c>
      <c r="AL310" s="5">
        <v>0</v>
      </c>
      <c r="AM310" s="5">
        <v>0</v>
      </c>
      <c r="AN310" s="5">
        <v>0</v>
      </c>
      <c r="AO310" s="5">
        <v>1</v>
      </c>
      <c r="AP310" s="5">
        <v>0</v>
      </c>
      <c r="AQ310" s="5">
        <v>1</v>
      </c>
      <c r="AR310" s="5">
        <v>1</v>
      </c>
      <c r="AS310" s="7">
        <f t="shared" si="49"/>
        <v>10</v>
      </c>
      <c r="AT310" s="8">
        <f t="shared" si="52"/>
        <v>0.55555555555555558</v>
      </c>
      <c r="AU310" s="14" t="str">
        <f t="shared" si="53"/>
        <v>INTERMEDIÁRIO</v>
      </c>
      <c r="AV310" s="7">
        <f t="shared" si="54"/>
        <v>26</v>
      </c>
      <c r="AW310" s="8">
        <f t="shared" si="55"/>
        <v>0.72222222222222232</v>
      </c>
    </row>
    <row r="311" spans="1:49" ht="15.75" customHeight="1" x14ac:dyDescent="0.25">
      <c r="A311" s="5" t="s">
        <v>15</v>
      </c>
      <c r="B311" s="27" t="s">
        <v>975</v>
      </c>
      <c r="C311" s="28" t="s">
        <v>1099</v>
      </c>
      <c r="D311" s="29" t="s">
        <v>1097</v>
      </c>
      <c r="E311" s="5" t="s">
        <v>1001</v>
      </c>
      <c r="F311" s="5">
        <v>0</v>
      </c>
      <c r="G311" s="5">
        <v>1</v>
      </c>
      <c r="H311" s="5">
        <v>1</v>
      </c>
      <c r="I311" s="5">
        <v>1</v>
      </c>
      <c r="J311" s="5">
        <v>0</v>
      </c>
      <c r="K311" s="5">
        <v>1</v>
      </c>
      <c r="L311" s="5">
        <v>1</v>
      </c>
      <c r="M311" s="5">
        <v>1</v>
      </c>
      <c r="N311" s="5">
        <v>0</v>
      </c>
      <c r="O311" s="5">
        <v>1</v>
      </c>
      <c r="P311" s="5">
        <v>1</v>
      </c>
      <c r="Q311" s="5">
        <v>1</v>
      </c>
      <c r="R311" s="5">
        <v>1</v>
      </c>
      <c r="S311" s="5">
        <v>1</v>
      </c>
      <c r="T311" s="5">
        <v>1</v>
      </c>
      <c r="U311" s="5">
        <v>1</v>
      </c>
      <c r="V311" s="5">
        <v>0</v>
      </c>
      <c r="W311" s="5">
        <v>1</v>
      </c>
      <c r="X311" s="7">
        <f t="shared" si="48"/>
        <v>14</v>
      </c>
      <c r="Y311" s="8">
        <f t="shared" si="50"/>
        <v>0.77777777777777768</v>
      </c>
      <c r="Z311" s="14" t="str">
        <f t="shared" si="51"/>
        <v>ADEQUADA</v>
      </c>
      <c r="AA311" s="5">
        <v>1</v>
      </c>
      <c r="AB311" s="5">
        <v>1</v>
      </c>
      <c r="AC311" s="5">
        <v>1</v>
      </c>
      <c r="AD311" s="5">
        <v>1</v>
      </c>
      <c r="AE311" s="5">
        <v>0</v>
      </c>
      <c r="AF311" s="5">
        <v>0</v>
      </c>
      <c r="AG311" s="5">
        <v>1</v>
      </c>
      <c r="AH311" s="5">
        <v>0</v>
      </c>
      <c r="AI311" s="5">
        <v>1</v>
      </c>
      <c r="AJ311" s="5">
        <v>1</v>
      </c>
      <c r="AK311" s="5">
        <v>1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1</v>
      </c>
      <c r="AS311" s="7">
        <f t="shared" si="49"/>
        <v>9</v>
      </c>
      <c r="AT311" s="8">
        <f t="shared" si="52"/>
        <v>0.5</v>
      </c>
      <c r="AU311" s="14" t="str">
        <f t="shared" si="53"/>
        <v>INTERMEDIÁRIO</v>
      </c>
      <c r="AV311" s="7">
        <f t="shared" si="54"/>
        <v>23</v>
      </c>
      <c r="AW311" s="8">
        <f t="shared" si="55"/>
        <v>0.63888888888888884</v>
      </c>
    </row>
    <row r="312" spans="1:49" ht="15.75" customHeight="1" x14ac:dyDescent="0.25">
      <c r="A312" s="5" t="s">
        <v>15</v>
      </c>
      <c r="B312" s="7" t="s">
        <v>1002</v>
      </c>
      <c r="C312" s="30" t="s">
        <v>1162</v>
      </c>
      <c r="D312" s="7" t="s">
        <v>1097</v>
      </c>
      <c r="E312" s="5" t="s">
        <v>1003</v>
      </c>
      <c r="F312" s="5">
        <v>1</v>
      </c>
      <c r="G312" s="5">
        <v>1</v>
      </c>
      <c r="H312" s="5">
        <v>1</v>
      </c>
      <c r="I312" s="5">
        <v>0</v>
      </c>
      <c r="J312" s="5">
        <v>0</v>
      </c>
      <c r="K312" s="5">
        <v>1</v>
      </c>
      <c r="L312" s="5">
        <v>0</v>
      </c>
      <c r="M312" s="5">
        <v>0</v>
      </c>
      <c r="N312" s="5">
        <v>1</v>
      </c>
      <c r="O312" s="5">
        <v>1</v>
      </c>
      <c r="P312" s="5">
        <v>1</v>
      </c>
      <c r="Q312" s="5">
        <v>1</v>
      </c>
      <c r="R312" s="5">
        <v>1</v>
      </c>
      <c r="S312" s="5">
        <v>1</v>
      </c>
      <c r="T312" s="5">
        <v>1</v>
      </c>
      <c r="U312" s="5">
        <v>1</v>
      </c>
      <c r="V312" s="5">
        <v>1</v>
      </c>
      <c r="W312" s="5">
        <v>1</v>
      </c>
      <c r="X312" s="7">
        <f t="shared" si="48"/>
        <v>14</v>
      </c>
      <c r="Y312" s="8">
        <f t="shared" si="50"/>
        <v>0.77777777777777768</v>
      </c>
      <c r="Z312" s="14" t="str">
        <f t="shared" si="51"/>
        <v>ADEQUADA</v>
      </c>
      <c r="AA312" s="5">
        <v>0</v>
      </c>
      <c r="AB312" s="5">
        <v>0</v>
      </c>
      <c r="AC312" s="5">
        <v>1</v>
      </c>
      <c r="AD312" s="5">
        <v>1</v>
      </c>
      <c r="AE312" s="5">
        <v>0</v>
      </c>
      <c r="AF312" s="5">
        <v>0</v>
      </c>
      <c r="AG312" s="5">
        <v>0</v>
      </c>
      <c r="AH312" s="5">
        <v>1</v>
      </c>
      <c r="AI312" s="5">
        <v>0</v>
      </c>
      <c r="AJ312" s="5">
        <v>0</v>
      </c>
      <c r="AK312" s="5">
        <v>0</v>
      </c>
      <c r="AL312" s="5">
        <v>1</v>
      </c>
      <c r="AM312" s="5">
        <v>0</v>
      </c>
      <c r="AN312" s="5">
        <v>1</v>
      </c>
      <c r="AO312" s="5">
        <v>0</v>
      </c>
      <c r="AP312" s="5">
        <v>0</v>
      </c>
      <c r="AQ312" s="5">
        <v>0</v>
      </c>
      <c r="AR312" s="5">
        <v>1</v>
      </c>
      <c r="AS312" s="7">
        <f t="shared" si="49"/>
        <v>6</v>
      </c>
      <c r="AT312" s="8">
        <f t="shared" si="52"/>
        <v>0.33333333333333337</v>
      </c>
      <c r="AU312" s="14" t="str">
        <f t="shared" si="53"/>
        <v>DEFASAGEM</v>
      </c>
      <c r="AV312" s="7">
        <f t="shared" si="54"/>
        <v>20</v>
      </c>
      <c r="AW312" s="8">
        <f t="shared" si="55"/>
        <v>0.55555555555555558</v>
      </c>
    </row>
    <row r="313" spans="1:49" ht="15.75" customHeight="1" x14ac:dyDescent="0.25">
      <c r="A313" s="5" t="s">
        <v>15</v>
      </c>
      <c r="B313" s="7" t="s">
        <v>1002</v>
      </c>
      <c r="C313" s="7" t="s">
        <v>1220</v>
      </c>
      <c r="D313" s="7" t="s">
        <v>1097</v>
      </c>
      <c r="E313" s="5" t="s">
        <v>1250</v>
      </c>
      <c r="F313" s="5">
        <v>1</v>
      </c>
      <c r="G313" s="5">
        <v>1</v>
      </c>
      <c r="H313" s="5">
        <v>0</v>
      </c>
      <c r="I313" s="5">
        <v>1</v>
      </c>
      <c r="J313" s="5">
        <v>1</v>
      </c>
      <c r="K313" s="5">
        <v>0</v>
      </c>
      <c r="L313" s="5">
        <v>1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1</v>
      </c>
      <c r="S313" s="5">
        <v>1</v>
      </c>
      <c r="T313" s="5">
        <v>1</v>
      </c>
      <c r="U313" s="5">
        <v>1</v>
      </c>
      <c r="V313" s="5">
        <v>1</v>
      </c>
      <c r="W313" s="5">
        <v>1</v>
      </c>
      <c r="X313" s="7">
        <f t="shared" si="48"/>
        <v>11</v>
      </c>
      <c r="Y313" s="8">
        <f t="shared" si="50"/>
        <v>0.61111111111111116</v>
      </c>
      <c r="Z313" s="14" t="str">
        <f t="shared" si="51"/>
        <v>INTERMEDIÁRIO</v>
      </c>
      <c r="AA313" s="5">
        <v>1</v>
      </c>
      <c r="AB313" s="5">
        <v>1</v>
      </c>
      <c r="AC313" s="5">
        <v>1</v>
      </c>
      <c r="AD313" s="5">
        <v>1</v>
      </c>
      <c r="AE313" s="5">
        <v>0</v>
      </c>
      <c r="AF313" s="5">
        <v>0</v>
      </c>
      <c r="AG313" s="5">
        <v>1</v>
      </c>
      <c r="AH313" s="5">
        <v>0</v>
      </c>
      <c r="AI313" s="5">
        <v>0</v>
      </c>
      <c r="AJ313" s="5">
        <v>0</v>
      </c>
      <c r="AK313" s="5">
        <v>1</v>
      </c>
      <c r="AL313" s="5">
        <v>1</v>
      </c>
      <c r="AM313" s="5">
        <v>0</v>
      </c>
      <c r="AN313" s="5">
        <v>1</v>
      </c>
      <c r="AO313" s="5">
        <v>1</v>
      </c>
      <c r="AP313" s="5">
        <v>0</v>
      </c>
      <c r="AQ313" s="5">
        <v>0</v>
      </c>
      <c r="AR313" s="5">
        <v>1</v>
      </c>
      <c r="AS313" s="7">
        <f t="shared" si="49"/>
        <v>10</v>
      </c>
      <c r="AT313" s="8">
        <f t="shared" si="52"/>
        <v>0.55555555555555558</v>
      </c>
      <c r="AU313" s="14" t="str">
        <f t="shared" si="53"/>
        <v>INTERMEDIÁRIO</v>
      </c>
      <c r="AV313" s="7">
        <f t="shared" si="54"/>
        <v>21</v>
      </c>
      <c r="AW313" s="8">
        <f t="shared" si="55"/>
        <v>0.58333333333333337</v>
      </c>
    </row>
    <row r="314" spans="1:49" ht="15.75" customHeight="1" x14ac:dyDescent="0.25">
      <c r="A314" s="5" t="s">
        <v>15</v>
      </c>
      <c r="B314" s="7" t="s">
        <v>1002</v>
      </c>
      <c r="C314" s="7" t="s">
        <v>1162</v>
      </c>
      <c r="D314" s="7" t="s">
        <v>1097</v>
      </c>
      <c r="E314" s="5" t="s">
        <v>1004</v>
      </c>
      <c r="F314" s="5">
        <v>1</v>
      </c>
      <c r="G314" s="5">
        <v>1</v>
      </c>
      <c r="H314" s="5">
        <v>1</v>
      </c>
      <c r="I314" s="5">
        <v>1</v>
      </c>
      <c r="J314" s="5">
        <v>1</v>
      </c>
      <c r="K314" s="5">
        <v>1</v>
      </c>
      <c r="L314" s="5">
        <v>0</v>
      </c>
      <c r="M314" s="5">
        <v>0</v>
      </c>
      <c r="N314" s="5">
        <v>1</v>
      </c>
      <c r="O314" s="5">
        <v>0</v>
      </c>
      <c r="P314" s="5">
        <v>1</v>
      </c>
      <c r="Q314" s="5">
        <v>1</v>
      </c>
      <c r="R314" s="5">
        <v>1</v>
      </c>
      <c r="S314" s="5">
        <v>1</v>
      </c>
      <c r="T314" s="5">
        <v>1</v>
      </c>
      <c r="U314" s="5">
        <v>1</v>
      </c>
      <c r="V314" s="5">
        <v>1</v>
      </c>
      <c r="W314" s="5">
        <v>1</v>
      </c>
      <c r="X314" s="7">
        <f t="shared" si="48"/>
        <v>15</v>
      </c>
      <c r="Y314" s="8">
        <f t="shared" si="50"/>
        <v>0.83333333333333326</v>
      </c>
      <c r="Z314" s="14" t="str">
        <f t="shared" si="51"/>
        <v>ADEQUADA</v>
      </c>
      <c r="AA314" s="5">
        <v>1</v>
      </c>
      <c r="AB314" s="5">
        <v>1</v>
      </c>
      <c r="AC314" s="5">
        <v>1</v>
      </c>
      <c r="AD314" s="5">
        <v>1</v>
      </c>
      <c r="AE314" s="5">
        <v>0</v>
      </c>
      <c r="AF314" s="5">
        <v>1</v>
      </c>
      <c r="AG314" s="5">
        <v>1</v>
      </c>
      <c r="AH314" s="5">
        <v>1</v>
      </c>
      <c r="AI314" s="5">
        <v>0</v>
      </c>
      <c r="AJ314" s="5">
        <v>0</v>
      </c>
      <c r="AK314" s="5">
        <v>1</v>
      </c>
      <c r="AL314" s="5">
        <v>0</v>
      </c>
      <c r="AM314" s="5">
        <v>1</v>
      </c>
      <c r="AN314" s="5">
        <v>0</v>
      </c>
      <c r="AO314" s="5">
        <v>0</v>
      </c>
      <c r="AP314" s="5">
        <v>0</v>
      </c>
      <c r="AQ314" s="5">
        <v>0</v>
      </c>
      <c r="AR314" s="5">
        <v>1</v>
      </c>
      <c r="AS314" s="7">
        <f t="shared" si="49"/>
        <v>10</v>
      </c>
      <c r="AT314" s="8">
        <f t="shared" si="52"/>
        <v>0.55555555555555558</v>
      </c>
      <c r="AU314" s="14" t="str">
        <f t="shared" si="53"/>
        <v>INTERMEDIÁRIO</v>
      </c>
      <c r="AV314" s="7">
        <f t="shared" si="54"/>
        <v>25</v>
      </c>
      <c r="AW314" s="8">
        <f t="shared" si="55"/>
        <v>0.69444444444444442</v>
      </c>
    </row>
    <row r="315" spans="1:49" ht="15.75" customHeight="1" x14ac:dyDescent="0.25">
      <c r="A315" s="5" t="s">
        <v>15</v>
      </c>
      <c r="B315" s="7" t="s">
        <v>1251</v>
      </c>
      <c r="C315" s="7" t="s">
        <v>1105</v>
      </c>
      <c r="D315" s="7" t="s">
        <v>1097</v>
      </c>
      <c r="E315" s="5" t="s">
        <v>1252</v>
      </c>
      <c r="F315" s="5">
        <v>1</v>
      </c>
      <c r="G315" s="5">
        <v>0</v>
      </c>
      <c r="H315" s="5">
        <v>0</v>
      </c>
      <c r="I315" s="5">
        <v>0</v>
      </c>
      <c r="J315" s="5">
        <v>1</v>
      </c>
      <c r="K315" s="5">
        <v>1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1</v>
      </c>
      <c r="R315" s="5">
        <v>1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7">
        <f t="shared" si="48"/>
        <v>5</v>
      </c>
      <c r="Y315" s="8">
        <f t="shared" si="50"/>
        <v>0.27777777777777779</v>
      </c>
      <c r="Z315" s="14" t="str">
        <f t="shared" si="51"/>
        <v>DEFASAGEM</v>
      </c>
      <c r="AA315" s="5">
        <v>0</v>
      </c>
      <c r="AB315" s="5">
        <v>0</v>
      </c>
      <c r="AC315" s="5">
        <v>1</v>
      </c>
      <c r="AD315" s="5">
        <v>1</v>
      </c>
      <c r="AE315" s="5">
        <v>1</v>
      </c>
      <c r="AF315" s="5">
        <v>0</v>
      </c>
      <c r="AG315" s="5">
        <v>0</v>
      </c>
      <c r="AH315" s="5">
        <v>1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1</v>
      </c>
      <c r="AQ315" s="5">
        <v>0</v>
      </c>
      <c r="AR315" s="5">
        <v>0</v>
      </c>
      <c r="AS315" s="7">
        <f t="shared" si="49"/>
        <v>5</v>
      </c>
      <c r="AT315" s="8">
        <f t="shared" si="52"/>
        <v>0.27777777777777779</v>
      </c>
      <c r="AU315" s="14" t="str">
        <f t="shared" si="53"/>
        <v>DEFASAGEM</v>
      </c>
      <c r="AV315" s="7">
        <f t="shared" si="54"/>
        <v>10</v>
      </c>
      <c r="AW315" s="8">
        <f t="shared" si="55"/>
        <v>0.27777777777777779</v>
      </c>
    </row>
    <row r="316" spans="1:49" ht="15.75" customHeight="1" x14ac:dyDescent="0.25">
      <c r="A316" s="5" t="s">
        <v>15</v>
      </c>
      <c r="B316" s="7" t="s">
        <v>1002</v>
      </c>
      <c r="C316" s="7" t="s">
        <v>1162</v>
      </c>
      <c r="D316" s="7" t="s">
        <v>1097</v>
      </c>
      <c r="E316" s="5" t="s">
        <v>1005</v>
      </c>
      <c r="F316" s="5">
        <v>1</v>
      </c>
      <c r="G316" s="5">
        <v>0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1</v>
      </c>
      <c r="P316" s="5">
        <v>1</v>
      </c>
      <c r="Q316" s="5">
        <v>1</v>
      </c>
      <c r="R316" s="5">
        <v>1</v>
      </c>
      <c r="S316" s="5">
        <v>1</v>
      </c>
      <c r="T316" s="5">
        <v>0</v>
      </c>
      <c r="U316" s="5">
        <v>1</v>
      </c>
      <c r="V316" s="5">
        <v>1</v>
      </c>
      <c r="W316" s="5">
        <v>1</v>
      </c>
      <c r="X316" s="7">
        <f t="shared" si="48"/>
        <v>16</v>
      </c>
      <c r="Y316" s="8">
        <f t="shared" si="50"/>
        <v>0.88888888888888884</v>
      </c>
      <c r="Z316" s="14" t="str">
        <f t="shared" si="51"/>
        <v>ADEQUADA</v>
      </c>
      <c r="AA316" s="5">
        <v>1</v>
      </c>
      <c r="AB316" s="5">
        <v>1</v>
      </c>
      <c r="AC316" s="5">
        <v>1</v>
      </c>
      <c r="AD316" s="5">
        <v>1</v>
      </c>
      <c r="AE316" s="5">
        <v>1</v>
      </c>
      <c r="AF316" s="5">
        <v>0</v>
      </c>
      <c r="AG316" s="5">
        <v>1</v>
      </c>
      <c r="AH316" s="5">
        <v>1</v>
      </c>
      <c r="AI316" s="5">
        <v>0</v>
      </c>
      <c r="AJ316" s="5">
        <v>1</v>
      </c>
      <c r="AK316" s="5">
        <v>1</v>
      </c>
      <c r="AL316" s="5">
        <v>0</v>
      </c>
      <c r="AM316" s="5">
        <v>1</v>
      </c>
      <c r="AN316" s="5">
        <v>0</v>
      </c>
      <c r="AO316" s="5">
        <v>0</v>
      </c>
      <c r="AP316" s="5">
        <v>0</v>
      </c>
      <c r="AQ316" s="5">
        <v>1</v>
      </c>
      <c r="AR316" s="5">
        <v>1</v>
      </c>
      <c r="AS316" s="7">
        <f t="shared" si="49"/>
        <v>12</v>
      </c>
      <c r="AT316" s="8">
        <f t="shared" si="52"/>
        <v>0.66666666666666674</v>
      </c>
      <c r="AU316" s="14" t="str">
        <f t="shared" si="53"/>
        <v>INTERMEDIÁRIO</v>
      </c>
      <c r="AV316" s="7">
        <f t="shared" si="54"/>
        <v>28</v>
      </c>
      <c r="AW316" s="8">
        <f t="shared" si="55"/>
        <v>0.77777777777777768</v>
      </c>
    </row>
    <row r="317" spans="1:49" ht="15.75" customHeight="1" x14ac:dyDescent="0.25">
      <c r="A317" s="5" t="s">
        <v>15</v>
      </c>
      <c r="B317" s="7" t="s">
        <v>1002</v>
      </c>
      <c r="C317" s="7" t="s">
        <v>1104</v>
      </c>
      <c r="D317" s="7" t="s">
        <v>1097</v>
      </c>
      <c r="E317" s="5" t="s">
        <v>1006</v>
      </c>
      <c r="F317" s="5">
        <v>1</v>
      </c>
      <c r="G317" s="5">
        <v>0</v>
      </c>
      <c r="H317" s="5">
        <v>1</v>
      </c>
      <c r="I317" s="5">
        <v>0</v>
      </c>
      <c r="J317" s="5">
        <v>0</v>
      </c>
      <c r="K317" s="5">
        <v>1</v>
      </c>
      <c r="L317" s="5">
        <v>1</v>
      </c>
      <c r="M317" s="5">
        <v>1</v>
      </c>
      <c r="N317" s="5">
        <v>0</v>
      </c>
      <c r="O317" s="5">
        <v>0</v>
      </c>
      <c r="P317" s="5">
        <v>0</v>
      </c>
      <c r="Q317" s="5">
        <v>0</v>
      </c>
      <c r="R317" s="5">
        <v>1</v>
      </c>
      <c r="S317" s="5">
        <v>1</v>
      </c>
      <c r="T317" s="5">
        <v>0</v>
      </c>
      <c r="U317" s="5">
        <v>1</v>
      </c>
      <c r="V317" s="5">
        <v>0</v>
      </c>
      <c r="W317" s="5">
        <v>0</v>
      </c>
      <c r="X317" s="7">
        <f t="shared" si="48"/>
        <v>8</v>
      </c>
      <c r="Y317" s="8">
        <f t="shared" si="50"/>
        <v>0.44444444444444442</v>
      </c>
      <c r="Z317" s="14" t="str">
        <f t="shared" si="51"/>
        <v>INTERMEDIÁRIO</v>
      </c>
      <c r="AA317" s="5">
        <v>1</v>
      </c>
      <c r="AB317" s="5">
        <v>1</v>
      </c>
      <c r="AC317" s="5">
        <v>0</v>
      </c>
      <c r="AD317" s="5">
        <v>1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1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7">
        <f t="shared" si="49"/>
        <v>4</v>
      </c>
      <c r="AT317" s="8">
        <f t="shared" si="52"/>
        <v>0.22222222222222221</v>
      </c>
      <c r="AU317" s="14" t="str">
        <f t="shared" si="53"/>
        <v>DEFASAGEM</v>
      </c>
      <c r="AV317" s="7">
        <f t="shared" si="54"/>
        <v>12</v>
      </c>
      <c r="AW317" s="8">
        <f t="shared" si="55"/>
        <v>0.33333333333333337</v>
      </c>
    </row>
    <row r="318" spans="1:49" ht="15.75" customHeight="1" x14ac:dyDescent="0.25">
      <c r="A318" s="5" t="s">
        <v>15</v>
      </c>
      <c r="B318" s="7" t="s">
        <v>1002</v>
      </c>
      <c r="C318" s="7" t="s">
        <v>1162</v>
      </c>
      <c r="D318" s="7" t="s">
        <v>1097</v>
      </c>
      <c r="E318" s="5" t="s">
        <v>1007</v>
      </c>
      <c r="F318" s="5">
        <v>1</v>
      </c>
      <c r="G318" s="5">
        <v>0</v>
      </c>
      <c r="H318" s="5">
        <v>1</v>
      </c>
      <c r="I318" s="5">
        <v>0</v>
      </c>
      <c r="J318" s="5">
        <v>1</v>
      </c>
      <c r="K318" s="5">
        <v>1</v>
      </c>
      <c r="L318" s="5">
        <v>1</v>
      </c>
      <c r="M318" s="5">
        <v>0</v>
      </c>
      <c r="N318" s="5">
        <v>1</v>
      </c>
      <c r="O318" s="5">
        <v>0</v>
      </c>
      <c r="P318" s="5">
        <v>0</v>
      </c>
      <c r="Q318" s="5">
        <v>1</v>
      </c>
      <c r="R318" s="5">
        <v>1</v>
      </c>
      <c r="S318" s="5">
        <v>1</v>
      </c>
      <c r="T318" s="5">
        <v>1</v>
      </c>
      <c r="U318" s="5">
        <v>1</v>
      </c>
      <c r="V318" s="5">
        <v>0</v>
      </c>
      <c r="W318" s="5">
        <v>1</v>
      </c>
      <c r="X318" s="7">
        <f t="shared" si="48"/>
        <v>12</v>
      </c>
      <c r="Y318" s="8">
        <f t="shared" si="50"/>
        <v>0.66666666666666674</v>
      </c>
      <c r="Z318" s="14" t="str">
        <f t="shared" si="51"/>
        <v>INTERMEDIÁRIO</v>
      </c>
      <c r="AA318" s="5">
        <v>1</v>
      </c>
      <c r="AB318" s="5">
        <v>1</v>
      </c>
      <c r="AC318" s="5">
        <v>0</v>
      </c>
      <c r="AD318" s="5">
        <v>1</v>
      </c>
      <c r="AE318" s="5">
        <v>0</v>
      </c>
      <c r="AF318" s="5">
        <v>0</v>
      </c>
      <c r="AG318" s="5">
        <v>1</v>
      </c>
      <c r="AH318" s="5">
        <v>1</v>
      </c>
      <c r="AI318" s="5">
        <v>0</v>
      </c>
      <c r="AJ318" s="5">
        <v>0</v>
      </c>
      <c r="AK318" s="5">
        <v>1</v>
      </c>
      <c r="AL318" s="5">
        <v>1</v>
      </c>
      <c r="AM318" s="5">
        <v>1</v>
      </c>
      <c r="AN318" s="5">
        <v>0</v>
      </c>
      <c r="AO318" s="5">
        <v>0</v>
      </c>
      <c r="AP318" s="5">
        <v>0</v>
      </c>
      <c r="AQ318" s="5">
        <v>1</v>
      </c>
      <c r="AR318" s="5">
        <v>1</v>
      </c>
      <c r="AS318" s="7">
        <f t="shared" si="49"/>
        <v>10</v>
      </c>
      <c r="AT318" s="8">
        <f t="shared" si="52"/>
        <v>0.55555555555555558</v>
      </c>
      <c r="AU318" s="14" t="str">
        <f t="shared" si="53"/>
        <v>INTERMEDIÁRIO</v>
      </c>
      <c r="AV318" s="7">
        <f t="shared" si="54"/>
        <v>22</v>
      </c>
      <c r="AW318" s="8">
        <f t="shared" si="55"/>
        <v>0.61111111111111116</v>
      </c>
    </row>
    <row r="319" spans="1:49" ht="15.75" customHeight="1" x14ac:dyDescent="0.25">
      <c r="A319" s="5" t="s">
        <v>15</v>
      </c>
      <c r="B319" s="7" t="s">
        <v>1002</v>
      </c>
      <c r="C319" s="7" t="s">
        <v>1220</v>
      </c>
      <c r="D319" s="7" t="s">
        <v>1097</v>
      </c>
      <c r="E319" s="5" t="s">
        <v>1008</v>
      </c>
      <c r="F319" s="5">
        <v>1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1</v>
      </c>
      <c r="P319" s="5">
        <v>1</v>
      </c>
      <c r="Q319" s="5">
        <v>0</v>
      </c>
      <c r="R319" s="5">
        <v>1</v>
      </c>
      <c r="S319" s="5">
        <v>1</v>
      </c>
      <c r="T319" s="5">
        <v>1</v>
      </c>
      <c r="U319" s="5">
        <v>1</v>
      </c>
      <c r="V319" s="5">
        <v>0</v>
      </c>
      <c r="W319" s="5">
        <v>1</v>
      </c>
      <c r="X319" s="7">
        <f t="shared" si="48"/>
        <v>16</v>
      </c>
      <c r="Y319" s="8">
        <f t="shared" si="50"/>
        <v>0.88888888888888884</v>
      </c>
      <c r="Z319" s="14" t="str">
        <f t="shared" si="51"/>
        <v>ADEQUADA</v>
      </c>
      <c r="AA319" s="5">
        <v>1</v>
      </c>
      <c r="AB319" s="5">
        <v>1</v>
      </c>
      <c r="AC319" s="5">
        <v>0</v>
      </c>
      <c r="AD319" s="5">
        <v>1</v>
      </c>
      <c r="AE319" s="5">
        <v>0</v>
      </c>
      <c r="AF319" s="5">
        <v>0</v>
      </c>
      <c r="AG319" s="5">
        <v>0</v>
      </c>
      <c r="AH319" s="5">
        <v>1</v>
      </c>
      <c r="AI319" s="5">
        <v>1</v>
      </c>
      <c r="AJ319" s="5">
        <v>1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1</v>
      </c>
      <c r="AR319" s="5">
        <v>1</v>
      </c>
      <c r="AS319" s="7">
        <f t="shared" si="49"/>
        <v>8</v>
      </c>
      <c r="AT319" s="8">
        <f t="shared" si="52"/>
        <v>0.44444444444444442</v>
      </c>
      <c r="AU319" s="14" t="str">
        <f t="shared" si="53"/>
        <v>INTERMEDIÁRIO</v>
      </c>
      <c r="AV319" s="7">
        <f t="shared" si="54"/>
        <v>24</v>
      </c>
      <c r="AW319" s="8">
        <f t="shared" si="55"/>
        <v>0.66666666666666674</v>
      </c>
    </row>
    <row r="320" spans="1:49" ht="15.75" customHeight="1" x14ac:dyDescent="0.25">
      <c r="A320" s="5" t="s">
        <v>15</v>
      </c>
      <c r="B320" s="7" t="s">
        <v>1002</v>
      </c>
      <c r="C320" s="7" t="s">
        <v>1220</v>
      </c>
      <c r="D320" s="7" t="s">
        <v>1097</v>
      </c>
      <c r="E320" s="5" t="s">
        <v>1009</v>
      </c>
      <c r="F320" s="5">
        <v>0</v>
      </c>
      <c r="G320" s="5">
        <v>1</v>
      </c>
      <c r="H320" s="5">
        <v>1</v>
      </c>
      <c r="I320" s="5">
        <v>1</v>
      </c>
      <c r="J320" s="5">
        <v>1</v>
      </c>
      <c r="K320" s="5">
        <v>1</v>
      </c>
      <c r="L320" s="5">
        <v>0</v>
      </c>
      <c r="M320" s="5">
        <v>0</v>
      </c>
      <c r="N320" s="5">
        <v>1</v>
      </c>
      <c r="O320" s="5">
        <v>1</v>
      </c>
      <c r="P320" s="5">
        <v>0</v>
      </c>
      <c r="Q320" s="5">
        <v>0</v>
      </c>
      <c r="R320" s="5">
        <v>1</v>
      </c>
      <c r="S320" s="5">
        <v>1</v>
      </c>
      <c r="T320" s="5">
        <v>1</v>
      </c>
      <c r="U320" s="5">
        <v>1</v>
      </c>
      <c r="V320" s="5">
        <v>0</v>
      </c>
      <c r="W320" s="5">
        <v>1</v>
      </c>
      <c r="X320" s="7">
        <f t="shared" si="48"/>
        <v>12</v>
      </c>
      <c r="Y320" s="8">
        <f t="shared" si="50"/>
        <v>0.66666666666666674</v>
      </c>
      <c r="Z320" s="14" t="str">
        <f t="shared" si="51"/>
        <v>INTERMEDIÁRIO</v>
      </c>
      <c r="AA320" s="5">
        <v>1</v>
      </c>
      <c r="AB320" s="5">
        <v>1</v>
      </c>
      <c r="AC320" s="5">
        <v>1</v>
      </c>
      <c r="AD320" s="5">
        <v>1</v>
      </c>
      <c r="AE320" s="5">
        <v>0</v>
      </c>
      <c r="AF320" s="5">
        <v>0</v>
      </c>
      <c r="AG320" s="5">
        <v>1</v>
      </c>
      <c r="AH320" s="5">
        <v>1</v>
      </c>
      <c r="AI320" s="5">
        <v>0</v>
      </c>
      <c r="AJ320" s="5">
        <v>1</v>
      </c>
      <c r="AK320" s="5">
        <v>1</v>
      </c>
      <c r="AL320" s="5">
        <v>1</v>
      </c>
      <c r="AM320" s="5">
        <v>1</v>
      </c>
      <c r="AN320" s="5">
        <v>0</v>
      </c>
      <c r="AO320" s="5">
        <v>0</v>
      </c>
      <c r="AP320" s="5">
        <v>0</v>
      </c>
      <c r="AQ320" s="5">
        <v>1</v>
      </c>
      <c r="AR320" s="5">
        <v>1</v>
      </c>
      <c r="AS320" s="7">
        <f t="shared" si="49"/>
        <v>12</v>
      </c>
      <c r="AT320" s="8">
        <f t="shared" si="52"/>
        <v>0.66666666666666674</v>
      </c>
      <c r="AU320" s="14" t="str">
        <f t="shared" si="53"/>
        <v>INTERMEDIÁRIO</v>
      </c>
      <c r="AV320" s="7">
        <f t="shared" si="54"/>
        <v>24</v>
      </c>
      <c r="AW320" s="8">
        <f t="shared" si="55"/>
        <v>0.66666666666666674</v>
      </c>
    </row>
    <row r="321" spans="1:49" ht="15.75" customHeight="1" x14ac:dyDescent="0.25">
      <c r="A321" s="5" t="s">
        <v>15</v>
      </c>
      <c r="B321" s="7" t="s">
        <v>1002</v>
      </c>
      <c r="C321" s="7" t="s">
        <v>1223</v>
      </c>
      <c r="D321" s="7" t="s">
        <v>1097</v>
      </c>
      <c r="E321" s="5" t="s">
        <v>1010</v>
      </c>
      <c r="F321" s="5">
        <v>1</v>
      </c>
      <c r="G321" s="5">
        <v>0</v>
      </c>
      <c r="H321" s="5">
        <v>1</v>
      </c>
      <c r="I321" s="5">
        <v>0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1</v>
      </c>
      <c r="Q321" s="5">
        <v>0</v>
      </c>
      <c r="R321" s="5">
        <v>1</v>
      </c>
      <c r="S321" s="5">
        <v>1</v>
      </c>
      <c r="T321" s="5">
        <v>1</v>
      </c>
      <c r="U321" s="5">
        <v>1</v>
      </c>
      <c r="V321" s="5">
        <v>1</v>
      </c>
      <c r="W321" s="5">
        <v>1</v>
      </c>
      <c r="X321" s="7">
        <f t="shared" si="48"/>
        <v>15</v>
      </c>
      <c r="Y321" s="8">
        <f t="shared" si="50"/>
        <v>0.83333333333333326</v>
      </c>
      <c r="Z321" s="14" t="str">
        <f t="shared" si="51"/>
        <v>ADEQUADA</v>
      </c>
      <c r="AA321" s="5">
        <v>1</v>
      </c>
      <c r="AB321" s="5">
        <v>1</v>
      </c>
      <c r="AC321" s="5">
        <v>1</v>
      </c>
      <c r="AD321" s="5">
        <v>1</v>
      </c>
      <c r="AE321" s="5">
        <v>1</v>
      </c>
      <c r="AF321" s="5">
        <v>0</v>
      </c>
      <c r="AG321" s="5">
        <v>1</v>
      </c>
      <c r="AH321" s="5">
        <v>1</v>
      </c>
      <c r="AI321" s="5">
        <v>1</v>
      </c>
      <c r="AJ321" s="5">
        <v>0</v>
      </c>
      <c r="AK321" s="5">
        <v>1</v>
      </c>
      <c r="AL321" s="5">
        <v>0</v>
      </c>
      <c r="AM321" s="5">
        <v>1</v>
      </c>
      <c r="AN321" s="5">
        <v>1</v>
      </c>
      <c r="AO321" s="5">
        <v>0</v>
      </c>
      <c r="AP321" s="5">
        <v>0</v>
      </c>
      <c r="AQ321" s="5">
        <v>0</v>
      </c>
      <c r="AR321" s="5">
        <v>1</v>
      </c>
      <c r="AS321" s="7">
        <f t="shared" si="49"/>
        <v>12</v>
      </c>
      <c r="AT321" s="8">
        <f t="shared" si="52"/>
        <v>0.66666666666666674</v>
      </c>
      <c r="AU321" s="14" t="str">
        <f t="shared" si="53"/>
        <v>INTERMEDIÁRIO</v>
      </c>
      <c r="AV321" s="7">
        <f t="shared" si="54"/>
        <v>27</v>
      </c>
      <c r="AW321" s="8">
        <f t="shared" si="55"/>
        <v>0.75</v>
      </c>
    </row>
    <row r="322" spans="1:49" ht="15.75" customHeight="1" x14ac:dyDescent="0.25">
      <c r="A322" s="5" t="s">
        <v>15</v>
      </c>
      <c r="B322" s="7" t="s">
        <v>1002</v>
      </c>
      <c r="C322" s="7" t="s">
        <v>1162</v>
      </c>
      <c r="D322" s="7" t="s">
        <v>1097</v>
      </c>
      <c r="E322" s="5" t="s">
        <v>1011</v>
      </c>
      <c r="F322" s="5">
        <v>1</v>
      </c>
      <c r="G322" s="5">
        <v>1</v>
      </c>
      <c r="H322" s="5">
        <v>1</v>
      </c>
      <c r="I322" s="5">
        <v>1</v>
      </c>
      <c r="J322" s="5">
        <v>1</v>
      </c>
      <c r="K322" s="5">
        <v>1</v>
      </c>
      <c r="L322" s="5">
        <v>1</v>
      </c>
      <c r="M322" s="5">
        <v>1</v>
      </c>
      <c r="N322" s="5">
        <v>1</v>
      </c>
      <c r="O322" s="5">
        <v>0</v>
      </c>
      <c r="P322" s="5">
        <v>1</v>
      </c>
      <c r="Q322" s="5">
        <v>0</v>
      </c>
      <c r="R322" s="5">
        <v>1</v>
      </c>
      <c r="S322" s="5">
        <v>0</v>
      </c>
      <c r="T322" s="5">
        <v>1</v>
      </c>
      <c r="U322" s="5">
        <v>1</v>
      </c>
      <c r="V322" s="5">
        <v>1</v>
      </c>
      <c r="W322" s="5">
        <v>1</v>
      </c>
      <c r="X322" s="7">
        <f t="shared" si="48"/>
        <v>15</v>
      </c>
      <c r="Y322" s="8">
        <f t="shared" si="50"/>
        <v>0.83333333333333326</v>
      </c>
      <c r="Z322" s="14" t="str">
        <f t="shared" si="51"/>
        <v>ADEQUADA</v>
      </c>
      <c r="AA322" s="5">
        <v>1</v>
      </c>
      <c r="AB322" s="5">
        <v>1</v>
      </c>
      <c r="AC322" s="5">
        <v>0</v>
      </c>
      <c r="AD322" s="5">
        <v>1</v>
      </c>
      <c r="AE322" s="5">
        <v>0</v>
      </c>
      <c r="AF322" s="5">
        <v>0</v>
      </c>
      <c r="AG322" s="5">
        <v>1</v>
      </c>
      <c r="AH322" s="5">
        <v>1</v>
      </c>
      <c r="AI322" s="5">
        <v>0</v>
      </c>
      <c r="AJ322" s="5">
        <v>0</v>
      </c>
      <c r="AK322" s="5">
        <v>1</v>
      </c>
      <c r="AL322" s="5">
        <v>1</v>
      </c>
      <c r="AM322" s="5">
        <v>1</v>
      </c>
      <c r="AN322" s="5">
        <v>1</v>
      </c>
      <c r="AO322" s="5">
        <v>0</v>
      </c>
      <c r="AP322" s="5">
        <v>0</v>
      </c>
      <c r="AQ322" s="5">
        <v>0</v>
      </c>
      <c r="AR322" s="5">
        <v>1</v>
      </c>
      <c r="AS322" s="7">
        <f t="shared" si="49"/>
        <v>10</v>
      </c>
      <c r="AT322" s="8">
        <f t="shared" si="52"/>
        <v>0.55555555555555558</v>
      </c>
      <c r="AU322" s="14" t="str">
        <f t="shared" si="53"/>
        <v>INTERMEDIÁRIO</v>
      </c>
      <c r="AV322" s="7">
        <f t="shared" si="54"/>
        <v>25</v>
      </c>
      <c r="AW322" s="8">
        <f t="shared" si="55"/>
        <v>0.69444444444444442</v>
      </c>
    </row>
    <row r="323" spans="1:49" ht="15.75" customHeight="1" x14ac:dyDescent="0.25">
      <c r="A323" s="5" t="s">
        <v>15</v>
      </c>
      <c r="B323" s="7" t="s">
        <v>1002</v>
      </c>
      <c r="C323" s="7" t="s">
        <v>1162</v>
      </c>
      <c r="D323" s="7" t="s">
        <v>1097</v>
      </c>
      <c r="E323" s="5" t="s">
        <v>1013</v>
      </c>
      <c r="F323" s="5">
        <v>0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0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1</v>
      </c>
      <c r="S323" s="5">
        <v>1</v>
      </c>
      <c r="T323" s="5">
        <v>1</v>
      </c>
      <c r="U323" s="5">
        <v>1</v>
      </c>
      <c r="V323" s="5">
        <v>1</v>
      </c>
      <c r="W323" s="5">
        <v>1</v>
      </c>
      <c r="X323" s="7">
        <f t="shared" si="48"/>
        <v>16</v>
      </c>
      <c r="Y323" s="8">
        <f t="shared" si="50"/>
        <v>0.88888888888888884</v>
      </c>
      <c r="Z323" s="14" t="str">
        <f t="shared" si="51"/>
        <v>ADEQUADA</v>
      </c>
      <c r="AA323" s="5">
        <v>1</v>
      </c>
      <c r="AB323" s="5">
        <v>1</v>
      </c>
      <c r="AC323" s="5">
        <v>1</v>
      </c>
      <c r="AD323" s="5">
        <v>1</v>
      </c>
      <c r="AE323" s="5">
        <v>1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1</v>
      </c>
      <c r="AL323" s="5">
        <v>1</v>
      </c>
      <c r="AM323" s="5">
        <v>0</v>
      </c>
      <c r="AN323" s="5">
        <v>1</v>
      </c>
      <c r="AO323" s="5">
        <v>0</v>
      </c>
      <c r="AP323" s="5">
        <v>1</v>
      </c>
      <c r="AQ323" s="5">
        <v>1</v>
      </c>
      <c r="AR323" s="5">
        <v>1</v>
      </c>
      <c r="AS323" s="7">
        <f t="shared" si="49"/>
        <v>11</v>
      </c>
      <c r="AT323" s="8">
        <f t="shared" si="52"/>
        <v>0.61111111111111116</v>
      </c>
      <c r="AU323" s="14" t="str">
        <f t="shared" si="53"/>
        <v>INTERMEDIÁRIO</v>
      </c>
      <c r="AV323" s="7">
        <f t="shared" si="54"/>
        <v>27</v>
      </c>
      <c r="AW323" s="8">
        <f t="shared" si="55"/>
        <v>0.75</v>
      </c>
    </row>
    <row r="324" spans="1:49" ht="15.75" customHeight="1" x14ac:dyDescent="0.25">
      <c r="A324" s="5" t="s">
        <v>15</v>
      </c>
      <c r="B324" s="7" t="s">
        <v>1002</v>
      </c>
      <c r="C324" s="7" t="s">
        <v>1162</v>
      </c>
      <c r="D324" s="7" t="s">
        <v>1097</v>
      </c>
      <c r="E324" s="5" t="s">
        <v>1014</v>
      </c>
      <c r="F324" s="5">
        <v>0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0</v>
      </c>
      <c r="M324" s="5">
        <v>1</v>
      </c>
      <c r="N324" s="5">
        <v>1</v>
      </c>
      <c r="O324" s="5">
        <v>0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  <c r="V324" s="5">
        <v>1</v>
      </c>
      <c r="W324" s="5">
        <v>1</v>
      </c>
      <c r="X324" s="7">
        <f t="shared" si="48"/>
        <v>15</v>
      </c>
      <c r="Y324" s="8">
        <f t="shared" si="50"/>
        <v>0.83333333333333326</v>
      </c>
      <c r="Z324" s="14" t="str">
        <f t="shared" si="51"/>
        <v>ADEQUADA</v>
      </c>
      <c r="AA324" s="5">
        <v>1</v>
      </c>
      <c r="AB324" s="5">
        <v>1</v>
      </c>
      <c r="AC324" s="5">
        <v>1</v>
      </c>
      <c r="AD324" s="5">
        <v>0</v>
      </c>
      <c r="AE324" s="5">
        <v>1</v>
      </c>
      <c r="AF324" s="5">
        <v>0</v>
      </c>
      <c r="AG324" s="5">
        <v>1</v>
      </c>
      <c r="AH324" s="5">
        <v>1</v>
      </c>
      <c r="AI324" s="5">
        <v>1</v>
      </c>
      <c r="AJ324" s="5">
        <v>0</v>
      </c>
      <c r="AK324" s="5">
        <v>1</v>
      </c>
      <c r="AL324" s="5">
        <v>0</v>
      </c>
      <c r="AM324" s="5">
        <v>1</v>
      </c>
      <c r="AN324" s="5">
        <v>1</v>
      </c>
      <c r="AO324" s="5">
        <v>0</v>
      </c>
      <c r="AP324" s="5">
        <v>0</v>
      </c>
      <c r="AQ324" s="5">
        <v>0</v>
      </c>
      <c r="AR324" s="5">
        <v>1</v>
      </c>
      <c r="AS324" s="7">
        <f t="shared" si="49"/>
        <v>11</v>
      </c>
      <c r="AT324" s="8">
        <f t="shared" si="52"/>
        <v>0.61111111111111116</v>
      </c>
      <c r="AU324" s="14" t="str">
        <f t="shared" si="53"/>
        <v>INTERMEDIÁRIO</v>
      </c>
      <c r="AV324" s="7">
        <f t="shared" si="54"/>
        <v>26</v>
      </c>
      <c r="AW324" s="8">
        <f t="shared" si="55"/>
        <v>0.72222222222222232</v>
      </c>
    </row>
    <row r="325" spans="1:49" ht="15.75" customHeight="1" x14ac:dyDescent="0.25">
      <c r="A325" s="5" t="s">
        <v>15</v>
      </c>
      <c r="B325" s="7" t="s">
        <v>1002</v>
      </c>
      <c r="C325" s="7" t="s">
        <v>1162</v>
      </c>
      <c r="D325" s="7" t="s">
        <v>1097</v>
      </c>
      <c r="E325" s="5" t="s">
        <v>1015</v>
      </c>
      <c r="F325" s="5">
        <v>1</v>
      </c>
      <c r="G325" s="5">
        <v>1</v>
      </c>
      <c r="H325" s="5">
        <v>1</v>
      </c>
      <c r="I325" s="5">
        <v>1</v>
      </c>
      <c r="J325" s="5">
        <v>1</v>
      </c>
      <c r="K325" s="5">
        <v>1</v>
      </c>
      <c r="L325" s="5">
        <v>1</v>
      </c>
      <c r="M325" s="5">
        <v>1</v>
      </c>
      <c r="N325" s="5">
        <v>1</v>
      </c>
      <c r="O325" s="5">
        <v>1</v>
      </c>
      <c r="P325" s="5">
        <v>1</v>
      </c>
      <c r="Q325" s="5">
        <v>1</v>
      </c>
      <c r="R325" s="5">
        <v>1</v>
      </c>
      <c r="S325" s="5">
        <v>0</v>
      </c>
      <c r="T325" s="5">
        <v>1</v>
      </c>
      <c r="U325" s="5">
        <v>1</v>
      </c>
      <c r="V325" s="5">
        <v>1</v>
      </c>
      <c r="W325" s="5">
        <v>1</v>
      </c>
      <c r="X325" s="7">
        <f t="shared" si="48"/>
        <v>17</v>
      </c>
      <c r="Y325" s="8">
        <f t="shared" si="50"/>
        <v>0.94444444444444442</v>
      </c>
      <c r="Z325" s="14" t="str">
        <f t="shared" si="51"/>
        <v>ADEQUADA</v>
      </c>
      <c r="AA325" s="5">
        <v>1</v>
      </c>
      <c r="AB325" s="5">
        <v>1</v>
      </c>
      <c r="AC325" s="5">
        <v>1</v>
      </c>
      <c r="AD325" s="5">
        <v>1</v>
      </c>
      <c r="AE325" s="5">
        <v>0</v>
      </c>
      <c r="AF325" s="5">
        <v>0</v>
      </c>
      <c r="AG325" s="5">
        <v>1</v>
      </c>
      <c r="AH325" s="5">
        <v>1</v>
      </c>
      <c r="AI325" s="5">
        <v>0</v>
      </c>
      <c r="AJ325" s="5">
        <v>0</v>
      </c>
      <c r="AK325" s="5">
        <v>1</v>
      </c>
      <c r="AL325" s="5">
        <v>0</v>
      </c>
      <c r="AM325" s="5">
        <v>0</v>
      </c>
      <c r="AN325" s="5">
        <v>1</v>
      </c>
      <c r="AO325" s="5">
        <v>0</v>
      </c>
      <c r="AP325" s="5">
        <v>0</v>
      </c>
      <c r="AQ325" s="5">
        <v>1</v>
      </c>
      <c r="AR325" s="5">
        <v>1</v>
      </c>
      <c r="AS325" s="7">
        <f t="shared" si="49"/>
        <v>10</v>
      </c>
      <c r="AT325" s="8">
        <f t="shared" si="52"/>
        <v>0.55555555555555558</v>
      </c>
      <c r="AU325" s="14" t="str">
        <f t="shared" si="53"/>
        <v>INTERMEDIÁRIO</v>
      </c>
      <c r="AV325" s="7">
        <f t="shared" si="54"/>
        <v>27</v>
      </c>
      <c r="AW325" s="8">
        <f t="shared" si="55"/>
        <v>0.75</v>
      </c>
    </row>
    <row r="326" spans="1:49" ht="15.75" customHeight="1" x14ac:dyDescent="0.25">
      <c r="A326" s="5" t="s">
        <v>15</v>
      </c>
      <c r="B326" s="7" t="s">
        <v>1002</v>
      </c>
      <c r="C326" s="7" t="s">
        <v>1162</v>
      </c>
      <c r="D326" s="7" t="s">
        <v>1097</v>
      </c>
      <c r="E326" s="5" t="s">
        <v>1016</v>
      </c>
      <c r="F326" s="5">
        <v>1</v>
      </c>
      <c r="G326" s="5">
        <v>1</v>
      </c>
      <c r="H326" s="5">
        <v>1</v>
      </c>
      <c r="I326" s="5">
        <v>1</v>
      </c>
      <c r="J326" s="5">
        <v>0</v>
      </c>
      <c r="K326" s="5">
        <v>0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5">
        <v>1</v>
      </c>
      <c r="R326" s="5">
        <v>1</v>
      </c>
      <c r="S326" s="5">
        <v>1</v>
      </c>
      <c r="T326" s="5">
        <v>1</v>
      </c>
      <c r="U326" s="5">
        <v>0</v>
      </c>
      <c r="V326" s="5">
        <v>0</v>
      </c>
      <c r="W326" s="5">
        <v>1</v>
      </c>
      <c r="X326" s="7">
        <f t="shared" si="48"/>
        <v>10</v>
      </c>
      <c r="Y326" s="8">
        <f t="shared" si="50"/>
        <v>0.55555555555555558</v>
      </c>
      <c r="Z326" s="14" t="str">
        <f t="shared" si="51"/>
        <v>INTERMEDIÁRIO</v>
      </c>
      <c r="AA326" s="5">
        <v>1</v>
      </c>
      <c r="AB326" s="5">
        <v>1</v>
      </c>
      <c r="AC326" s="5">
        <v>0</v>
      </c>
      <c r="AD326" s="5">
        <v>1</v>
      </c>
      <c r="AE326" s="5">
        <v>0</v>
      </c>
      <c r="AF326" s="5">
        <v>1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1</v>
      </c>
      <c r="AM326" s="5">
        <v>1</v>
      </c>
      <c r="AN326" s="5">
        <v>0</v>
      </c>
      <c r="AO326" s="5">
        <v>0</v>
      </c>
      <c r="AP326" s="5">
        <v>1</v>
      </c>
      <c r="AQ326" s="5">
        <v>1</v>
      </c>
      <c r="AR326" s="5">
        <v>0</v>
      </c>
      <c r="AS326" s="7">
        <f t="shared" si="49"/>
        <v>8</v>
      </c>
      <c r="AT326" s="8">
        <f t="shared" si="52"/>
        <v>0.44444444444444442</v>
      </c>
      <c r="AU326" s="14" t="str">
        <f t="shared" si="53"/>
        <v>INTERMEDIÁRIO</v>
      </c>
      <c r="AV326" s="7">
        <f t="shared" si="54"/>
        <v>18</v>
      </c>
      <c r="AW326" s="8">
        <f t="shared" si="55"/>
        <v>0.5</v>
      </c>
    </row>
    <row r="327" spans="1:49" ht="15.75" customHeight="1" x14ac:dyDescent="0.25">
      <c r="A327" s="5" t="s">
        <v>15</v>
      </c>
      <c r="B327" s="7" t="s">
        <v>1002</v>
      </c>
      <c r="C327" s="26" t="s">
        <v>1104</v>
      </c>
      <c r="D327" s="7" t="s">
        <v>1097</v>
      </c>
      <c r="E327" s="5" t="s">
        <v>1253</v>
      </c>
      <c r="F327" s="5">
        <v>1</v>
      </c>
      <c r="G327" s="5">
        <v>1</v>
      </c>
      <c r="H327" s="5">
        <v>1</v>
      </c>
      <c r="I327" s="5">
        <v>1</v>
      </c>
      <c r="J327" s="5">
        <v>1</v>
      </c>
      <c r="K327" s="5">
        <v>1</v>
      </c>
      <c r="L327" s="5">
        <v>1</v>
      </c>
      <c r="M327" s="5">
        <v>0</v>
      </c>
      <c r="N327" s="5">
        <v>1</v>
      </c>
      <c r="O327" s="5">
        <v>0</v>
      </c>
      <c r="P327" s="5">
        <v>1</v>
      </c>
      <c r="Q327" s="5">
        <v>1</v>
      </c>
      <c r="R327" s="5">
        <v>1</v>
      </c>
      <c r="S327" s="5">
        <v>1</v>
      </c>
      <c r="T327" s="5">
        <v>1</v>
      </c>
      <c r="U327" s="5">
        <v>1</v>
      </c>
      <c r="V327" s="5">
        <v>1</v>
      </c>
      <c r="W327" s="5">
        <v>1</v>
      </c>
      <c r="X327" s="7">
        <f t="shared" si="48"/>
        <v>16</v>
      </c>
      <c r="Y327" s="8">
        <f t="shared" si="50"/>
        <v>0.88888888888888884</v>
      </c>
      <c r="Z327" s="14" t="str">
        <f t="shared" si="51"/>
        <v>ADEQUADA</v>
      </c>
      <c r="AA327" s="5">
        <v>1</v>
      </c>
      <c r="AB327" s="5">
        <v>1</v>
      </c>
      <c r="AC327" s="5">
        <v>1</v>
      </c>
      <c r="AD327" s="5">
        <v>1</v>
      </c>
      <c r="AE327" s="5">
        <v>0</v>
      </c>
      <c r="AF327" s="5">
        <v>1</v>
      </c>
      <c r="AG327" s="5">
        <v>1</v>
      </c>
      <c r="AH327" s="5">
        <v>1</v>
      </c>
      <c r="AI327" s="5">
        <v>0</v>
      </c>
      <c r="AJ327" s="5">
        <v>1</v>
      </c>
      <c r="AK327" s="5">
        <v>1</v>
      </c>
      <c r="AL327" s="5">
        <v>0</v>
      </c>
      <c r="AM327" s="5">
        <v>0</v>
      </c>
      <c r="AN327" s="5">
        <v>1</v>
      </c>
      <c r="AO327" s="5">
        <v>0</v>
      </c>
      <c r="AP327" s="5">
        <v>1</v>
      </c>
      <c r="AQ327" s="5">
        <v>1</v>
      </c>
      <c r="AR327" s="5">
        <v>1</v>
      </c>
      <c r="AS327" s="7">
        <f t="shared" si="49"/>
        <v>13</v>
      </c>
      <c r="AT327" s="8">
        <f t="shared" si="52"/>
        <v>0.72222222222222232</v>
      </c>
      <c r="AU327" s="14" t="str">
        <f t="shared" si="53"/>
        <v>ADEQUADA</v>
      </c>
      <c r="AV327" s="7">
        <f t="shared" si="54"/>
        <v>29</v>
      </c>
      <c r="AW327" s="8">
        <f t="shared" si="55"/>
        <v>0.80555555555555558</v>
      </c>
    </row>
    <row r="328" spans="1:49" ht="15.75" customHeight="1" x14ac:dyDescent="0.25">
      <c r="A328" s="5" t="s">
        <v>15</v>
      </c>
      <c r="B328" s="27" t="s">
        <v>1002</v>
      </c>
      <c r="C328" s="28" t="s">
        <v>1099</v>
      </c>
      <c r="D328" s="29" t="s">
        <v>1100</v>
      </c>
      <c r="E328" s="5" t="s">
        <v>1017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7">
        <v>0</v>
      </c>
      <c r="Y328" s="8">
        <f t="shared" si="50"/>
        <v>0</v>
      </c>
      <c r="Z328" s="14" t="str">
        <f t="shared" si="51"/>
        <v>DEFASAGEM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7">
        <v>0</v>
      </c>
      <c r="AT328" s="8">
        <v>0</v>
      </c>
      <c r="AU328" s="14" t="str">
        <f t="shared" si="53"/>
        <v>DEFASAGEM</v>
      </c>
      <c r="AV328" s="7">
        <f t="shared" si="54"/>
        <v>0</v>
      </c>
      <c r="AW328" s="8">
        <f t="shared" si="55"/>
        <v>0</v>
      </c>
    </row>
    <row r="329" spans="1:49" ht="15.75" customHeight="1" x14ac:dyDescent="0.25">
      <c r="A329" s="5" t="s">
        <v>15</v>
      </c>
      <c r="B329" s="7" t="s">
        <v>1002</v>
      </c>
      <c r="C329" s="30" t="s">
        <v>1220</v>
      </c>
      <c r="D329" s="7" t="s">
        <v>1097</v>
      </c>
      <c r="E329" s="5" t="s">
        <v>1018</v>
      </c>
      <c r="F329" s="5">
        <v>1</v>
      </c>
      <c r="G329" s="5">
        <v>0</v>
      </c>
      <c r="H329" s="5">
        <v>1</v>
      </c>
      <c r="I329" s="5">
        <v>0</v>
      </c>
      <c r="J329" s="5">
        <v>0</v>
      </c>
      <c r="K329" s="5">
        <v>1</v>
      </c>
      <c r="L329" s="5">
        <v>1</v>
      </c>
      <c r="M329" s="5">
        <v>1</v>
      </c>
      <c r="N329" s="5">
        <v>1</v>
      </c>
      <c r="O329" s="5">
        <v>0</v>
      </c>
      <c r="P329" s="5">
        <v>0</v>
      </c>
      <c r="Q329" s="5">
        <v>1</v>
      </c>
      <c r="R329" s="5">
        <v>0</v>
      </c>
      <c r="S329" s="5">
        <v>1</v>
      </c>
      <c r="T329" s="5">
        <v>0</v>
      </c>
      <c r="U329" s="5">
        <v>1</v>
      </c>
      <c r="V329" s="5">
        <v>1</v>
      </c>
      <c r="W329" s="5">
        <v>1</v>
      </c>
      <c r="X329" s="7">
        <f t="shared" ref="X329:X343" si="56">SUM(F329:W329)</f>
        <v>11</v>
      </c>
      <c r="Y329" s="8">
        <f t="shared" si="50"/>
        <v>0.61111111111111116</v>
      </c>
      <c r="Z329" s="14" t="str">
        <f t="shared" si="51"/>
        <v>INTERMEDIÁRIO</v>
      </c>
      <c r="AA329" s="5">
        <v>1</v>
      </c>
      <c r="AB329" s="5">
        <v>1</v>
      </c>
      <c r="AC329" s="5">
        <v>1</v>
      </c>
      <c r="AD329" s="5">
        <v>1</v>
      </c>
      <c r="AE329" s="5">
        <v>1</v>
      </c>
      <c r="AF329" s="5">
        <v>0</v>
      </c>
      <c r="AG329" s="5">
        <v>0</v>
      </c>
      <c r="AH329" s="5">
        <v>0</v>
      </c>
      <c r="AI329" s="5">
        <v>0</v>
      </c>
      <c r="AJ329" s="5">
        <v>1</v>
      </c>
      <c r="AK329" s="5">
        <v>0</v>
      </c>
      <c r="AL329" s="5">
        <v>1</v>
      </c>
      <c r="AM329" s="5">
        <v>0</v>
      </c>
      <c r="AN329" s="5">
        <v>0</v>
      </c>
      <c r="AO329" s="5">
        <v>0</v>
      </c>
      <c r="AP329" s="5">
        <v>0</v>
      </c>
      <c r="AQ329" s="5">
        <v>1</v>
      </c>
      <c r="AR329" s="5">
        <v>1</v>
      </c>
      <c r="AS329" s="7">
        <f t="shared" ref="AS329:AS343" si="57">SUM(AA329:AR329)</f>
        <v>9</v>
      </c>
      <c r="AT329" s="8">
        <f t="shared" ref="AT329:AT355" si="58">((AS329*100)/18)/100</f>
        <v>0.5</v>
      </c>
      <c r="AU329" s="14" t="str">
        <f t="shared" si="53"/>
        <v>INTERMEDIÁRIO</v>
      </c>
      <c r="AV329" s="7">
        <f t="shared" si="54"/>
        <v>20</v>
      </c>
      <c r="AW329" s="8">
        <f t="shared" si="55"/>
        <v>0.55555555555555558</v>
      </c>
    </row>
    <row r="330" spans="1:49" ht="15.75" customHeight="1" x14ac:dyDescent="0.25">
      <c r="A330" s="5" t="s">
        <v>15</v>
      </c>
      <c r="B330" s="7" t="s">
        <v>1002</v>
      </c>
      <c r="C330" s="7" t="s">
        <v>1104</v>
      </c>
      <c r="D330" s="7" t="s">
        <v>1097</v>
      </c>
      <c r="E330" s="5" t="s">
        <v>1019</v>
      </c>
      <c r="F330" s="5">
        <v>1</v>
      </c>
      <c r="G330" s="5">
        <v>0</v>
      </c>
      <c r="H330" s="5">
        <v>1</v>
      </c>
      <c r="I330" s="5">
        <v>1</v>
      </c>
      <c r="J330" s="5">
        <v>1</v>
      </c>
      <c r="K330" s="5">
        <v>1</v>
      </c>
      <c r="L330" s="5">
        <v>1</v>
      </c>
      <c r="M330" s="5">
        <v>0</v>
      </c>
      <c r="N330" s="5">
        <v>1</v>
      </c>
      <c r="O330" s="5">
        <v>1</v>
      </c>
      <c r="P330" s="5">
        <v>0</v>
      </c>
      <c r="Q330" s="5">
        <v>1</v>
      </c>
      <c r="R330" s="5">
        <v>1</v>
      </c>
      <c r="S330" s="5">
        <v>1</v>
      </c>
      <c r="T330" s="5">
        <v>1</v>
      </c>
      <c r="U330" s="5">
        <v>0</v>
      </c>
      <c r="V330" s="5">
        <v>0</v>
      </c>
      <c r="W330" s="5">
        <v>1</v>
      </c>
      <c r="X330" s="7">
        <f t="shared" si="56"/>
        <v>13</v>
      </c>
      <c r="Y330" s="8">
        <f t="shared" si="50"/>
        <v>0.72222222222222232</v>
      </c>
      <c r="Z330" s="14" t="str">
        <f t="shared" si="51"/>
        <v>ADEQUADA</v>
      </c>
      <c r="AA330" s="5">
        <v>1</v>
      </c>
      <c r="AB330" s="5">
        <v>0</v>
      </c>
      <c r="AC330" s="5">
        <v>0</v>
      </c>
      <c r="AD330" s="5">
        <v>0</v>
      </c>
      <c r="AE330" s="5">
        <v>1</v>
      </c>
      <c r="AF330" s="5">
        <v>0</v>
      </c>
      <c r="AG330" s="5">
        <v>0</v>
      </c>
      <c r="AH330" s="5">
        <v>0</v>
      </c>
      <c r="AI330" s="5">
        <v>0</v>
      </c>
      <c r="AJ330" s="5">
        <v>1</v>
      </c>
      <c r="AK330" s="5">
        <v>0</v>
      </c>
      <c r="AL330" s="5">
        <v>1</v>
      </c>
      <c r="AM330" s="5">
        <v>0</v>
      </c>
      <c r="AN330" s="5">
        <v>1</v>
      </c>
      <c r="AO330" s="5">
        <v>0</v>
      </c>
      <c r="AP330" s="5">
        <v>0</v>
      </c>
      <c r="AQ330" s="5">
        <v>1</v>
      </c>
      <c r="AR330" s="5">
        <v>1</v>
      </c>
      <c r="AS330" s="7">
        <f t="shared" si="57"/>
        <v>7</v>
      </c>
      <c r="AT330" s="8">
        <f t="shared" si="58"/>
        <v>0.38888888888888884</v>
      </c>
      <c r="AU330" s="14" t="str">
        <f t="shared" si="53"/>
        <v>DEFASAGEM</v>
      </c>
      <c r="AV330" s="7">
        <f t="shared" si="54"/>
        <v>20</v>
      </c>
      <c r="AW330" s="8">
        <f t="shared" si="55"/>
        <v>0.55555555555555558</v>
      </c>
    </row>
    <row r="331" spans="1:49" ht="15.75" customHeight="1" x14ac:dyDescent="0.25">
      <c r="A331" s="5" t="s">
        <v>15</v>
      </c>
      <c r="B331" s="7" t="s">
        <v>1002</v>
      </c>
      <c r="C331" s="7" t="s">
        <v>1220</v>
      </c>
      <c r="D331" s="7" t="s">
        <v>1097</v>
      </c>
      <c r="E331" s="5" t="s">
        <v>1020</v>
      </c>
      <c r="F331" s="5">
        <v>1</v>
      </c>
      <c r="G331" s="5">
        <v>1</v>
      </c>
      <c r="H331" s="5">
        <v>1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  <c r="N331" s="5">
        <v>1</v>
      </c>
      <c r="O331" s="5">
        <v>1</v>
      </c>
      <c r="P331" s="5">
        <v>1</v>
      </c>
      <c r="Q331" s="5">
        <v>1</v>
      </c>
      <c r="R331" s="5">
        <v>1</v>
      </c>
      <c r="S331" s="5">
        <v>1</v>
      </c>
      <c r="T331" s="5">
        <v>1</v>
      </c>
      <c r="U331" s="5">
        <v>1</v>
      </c>
      <c r="V331" s="5">
        <v>1</v>
      </c>
      <c r="W331" s="5">
        <v>1</v>
      </c>
      <c r="X331" s="7">
        <f t="shared" si="56"/>
        <v>18</v>
      </c>
      <c r="Y331" s="8">
        <f t="shared" si="50"/>
        <v>1</v>
      </c>
      <c r="Z331" s="14" t="str">
        <f t="shared" si="51"/>
        <v>ADEQUADA</v>
      </c>
      <c r="AA331" s="5">
        <v>1</v>
      </c>
      <c r="AB331" s="5">
        <v>1</v>
      </c>
      <c r="AC331" s="5">
        <v>1</v>
      </c>
      <c r="AD331" s="5">
        <v>1</v>
      </c>
      <c r="AE331" s="5">
        <v>0</v>
      </c>
      <c r="AF331" s="5">
        <v>0</v>
      </c>
      <c r="AG331" s="5">
        <v>1</v>
      </c>
      <c r="AH331" s="5">
        <v>0</v>
      </c>
      <c r="AI331" s="5">
        <v>0</v>
      </c>
      <c r="AJ331" s="5">
        <v>1</v>
      </c>
      <c r="AK331" s="5">
        <v>0</v>
      </c>
      <c r="AL331" s="5">
        <v>0</v>
      </c>
      <c r="AM331" s="5">
        <v>1</v>
      </c>
      <c r="AN331" s="5">
        <v>1</v>
      </c>
      <c r="AO331" s="5">
        <v>0</v>
      </c>
      <c r="AP331" s="5">
        <v>0</v>
      </c>
      <c r="AQ331" s="5">
        <v>1</v>
      </c>
      <c r="AR331" s="5">
        <v>1</v>
      </c>
      <c r="AS331" s="7">
        <f t="shared" si="57"/>
        <v>10</v>
      </c>
      <c r="AT331" s="8">
        <f t="shared" si="58"/>
        <v>0.55555555555555558</v>
      </c>
      <c r="AU331" s="14" t="str">
        <f t="shared" si="53"/>
        <v>INTERMEDIÁRIO</v>
      </c>
      <c r="AV331" s="7">
        <f t="shared" si="54"/>
        <v>28</v>
      </c>
      <c r="AW331" s="8">
        <f t="shared" si="55"/>
        <v>0.77777777777777768</v>
      </c>
    </row>
    <row r="332" spans="1:49" ht="15.75" customHeight="1" x14ac:dyDescent="0.25">
      <c r="A332" s="5" t="s">
        <v>15</v>
      </c>
      <c r="B332" s="7" t="s">
        <v>1002</v>
      </c>
      <c r="C332" s="7" t="s">
        <v>1162</v>
      </c>
      <c r="D332" s="7" t="s">
        <v>1097</v>
      </c>
      <c r="E332" s="5" t="s">
        <v>1021</v>
      </c>
      <c r="F332" s="5">
        <v>0</v>
      </c>
      <c r="G332" s="5">
        <v>1</v>
      </c>
      <c r="H332" s="5">
        <v>1</v>
      </c>
      <c r="I332" s="5">
        <v>0</v>
      </c>
      <c r="J332" s="5">
        <v>0</v>
      </c>
      <c r="K332" s="5">
        <v>0</v>
      </c>
      <c r="L332" s="5">
        <v>1</v>
      </c>
      <c r="M332" s="5">
        <v>1</v>
      </c>
      <c r="N332" s="5">
        <v>0</v>
      </c>
      <c r="O332" s="5">
        <v>1</v>
      </c>
      <c r="P332" s="5">
        <v>1</v>
      </c>
      <c r="Q332" s="5">
        <v>0</v>
      </c>
      <c r="R332" s="5">
        <v>0</v>
      </c>
      <c r="S332" s="5">
        <v>1</v>
      </c>
      <c r="T332" s="5">
        <v>1</v>
      </c>
      <c r="U332" s="5">
        <v>1</v>
      </c>
      <c r="V332" s="5">
        <v>1</v>
      </c>
      <c r="W332" s="5">
        <v>0</v>
      </c>
      <c r="X332" s="7">
        <f t="shared" si="56"/>
        <v>10</v>
      </c>
      <c r="Y332" s="8">
        <f t="shared" si="50"/>
        <v>0.55555555555555558</v>
      </c>
      <c r="Z332" s="14" t="str">
        <f t="shared" si="51"/>
        <v>INTERMEDIÁRIO</v>
      </c>
      <c r="AA332" s="5">
        <v>1</v>
      </c>
      <c r="AB332" s="5">
        <v>1</v>
      </c>
      <c r="AC332" s="5">
        <v>1</v>
      </c>
      <c r="AD332" s="5">
        <v>0</v>
      </c>
      <c r="AE332" s="5">
        <v>1</v>
      </c>
      <c r="AF332" s="5">
        <v>1</v>
      </c>
      <c r="AG332" s="5">
        <v>1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1</v>
      </c>
      <c r="AR332" s="5">
        <v>0</v>
      </c>
      <c r="AS332" s="7">
        <f t="shared" si="57"/>
        <v>7</v>
      </c>
      <c r="AT332" s="8">
        <f t="shared" si="58"/>
        <v>0.38888888888888884</v>
      </c>
      <c r="AU332" s="14" t="str">
        <f t="shared" si="53"/>
        <v>DEFASAGEM</v>
      </c>
      <c r="AV332" s="7">
        <f t="shared" si="54"/>
        <v>17</v>
      </c>
      <c r="AW332" s="8">
        <f t="shared" si="55"/>
        <v>0.47222222222222221</v>
      </c>
    </row>
    <row r="333" spans="1:49" ht="15.75" customHeight="1" x14ac:dyDescent="0.25">
      <c r="A333" s="5" t="s">
        <v>15</v>
      </c>
      <c r="B333" s="7" t="s">
        <v>1002</v>
      </c>
      <c r="C333" s="7" t="s">
        <v>1104</v>
      </c>
      <c r="D333" s="7" t="s">
        <v>1097</v>
      </c>
      <c r="E333" s="5" t="s">
        <v>1022</v>
      </c>
      <c r="F333" s="5">
        <v>1</v>
      </c>
      <c r="G333" s="5">
        <v>0</v>
      </c>
      <c r="H333" s="5">
        <v>1</v>
      </c>
      <c r="I333" s="5">
        <v>1</v>
      </c>
      <c r="J333" s="5">
        <v>1</v>
      </c>
      <c r="K333" s="5">
        <v>1</v>
      </c>
      <c r="L333" s="5">
        <v>1</v>
      </c>
      <c r="M333" s="5">
        <v>1</v>
      </c>
      <c r="N333" s="5">
        <v>1</v>
      </c>
      <c r="O333" s="5">
        <v>0</v>
      </c>
      <c r="P333" s="5">
        <v>1</v>
      </c>
      <c r="Q333" s="5">
        <v>1</v>
      </c>
      <c r="R333" s="5">
        <v>0</v>
      </c>
      <c r="S333" s="5">
        <v>0</v>
      </c>
      <c r="T333" s="5">
        <v>0</v>
      </c>
      <c r="U333" s="5">
        <v>1</v>
      </c>
      <c r="V333" s="5">
        <v>1</v>
      </c>
      <c r="W333" s="5">
        <v>1</v>
      </c>
      <c r="X333" s="7">
        <f t="shared" si="56"/>
        <v>13</v>
      </c>
      <c r="Y333" s="8">
        <f t="shared" si="50"/>
        <v>0.72222222222222232</v>
      </c>
      <c r="Z333" s="14" t="str">
        <f t="shared" si="51"/>
        <v>ADEQUADA</v>
      </c>
      <c r="AA333" s="5">
        <v>1</v>
      </c>
      <c r="AB333" s="5">
        <v>1</v>
      </c>
      <c r="AC333" s="5">
        <v>1</v>
      </c>
      <c r="AD333" s="5">
        <v>1</v>
      </c>
      <c r="AE333" s="5">
        <v>0</v>
      </c>
      <c r="AF333" s="5">
        <v>1</v>
      </c>
      <c r="AG333" s="5">
        <v>1</v>
      </c>
      <c r="AH333" s="5">
        <v>0</v>
      </c>
      <c r="AI333" s="5">
        <v>0</v>
      </c>
      <c r="AJ333" s="5">
        <v>0</v>
      </c>
      <c r="AK333" s="5">
        <v>1</v>
      </c>
      <c r="AL333" s="5">
        <v>1</v>
      </c>
      <c r="AM333" s="5">
        <v>1</v>
      </c>
      <c r="AN333" s="5">
        <v>1</v>
      </c>
      <c r="AO333" s="5">
        <v>0</v>
      </c>
      <c r="AP333" s="5">
        <v>0</v>
      </c>
      <c r="AQ333" s="5">
        <v>1</v>
      </c>
      <c r="AR333" s="5">
        <v>1</v>
      </c>
      <c r="AS333" s="7">
        <f t="shared" si="57"/>
        <v>12</v>
      </c>
      <c r="AT333" s="8">
        <f t="shared" si="58"/>
        <v>0.66666666666666674</v>
      </c>
      <c r="AU333" s="14" t="str">
        <f t="shared" si="53"/>
        <v>INTERMEDIÁRIO</v>
      </c>
      <c r="AV333" s="7">
        <f t="shared" si="54"/>
        <v>25</v>
      </c>
      <c r="AW333" s="8">
        <f t="shared" si="55"/>
        <v>0.69444444444444442</v>
      </c>
    </row>
    <row r="334" spans="1:49" ht="15.75" customHeight="1" x14ac:dyDescent="0.25">
      <c r="A334" s="5" t="s">
        <v>15</v>
      </c>
      <c r="B334" s="7" t="s">
        <v>1002</v>
      </c>
      <c r="C334" s="7" t="s">
        <v>1162</v>
      </c>
      <c r="D334" s="7" t="s">
        <v>1097</v>
      </c>
      <c r="E334" s="5" t="s">
        <v>1023</v>
      </c>
      <c r="F334" s="5">
        <v>1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1</v>
      </c>
      <c r="N334" s="5">
        <v>1</v>
      </c>
      <c r="O334" s="5">
        <v>0</v>
      </c>
      <c r="P334" s="5">
        <v>1</v>
      </c>
      <c r="Q334" s="5">
        <v>1</v>
      </c>
      <c r="R334" s="5">
        <v>1</v>
      </c>
      <c r="S334" s="5">
        <v>1</v>
      </c>
      <c r="T334" s="5">
        <v>0</v>
      </c>
      <c r="U334" s="5">
        <v>1</v>
      </c>
      <c r="V334" s="5">
        <v>0</v>
      </c>
      <c r="W334" s="5">
        <v>1</v>
      </c>
      <c r="X334" s="7">
        <f t="shared" si="56"/>
        <v>15</v>
      </c>
      <c r="Y334" s="8">
        <f t="shared" si="50"/>
        <v>0.83333333333333326</v>
      </c>
      <c r="Z334" s="14" t="str">
        <f t="shared" si="51"/>
        <v>ADEQUADA</v>
      </c>
      <c r="AA334" s="5">
        <v>1</v>
      </c>
      <c r="AB334" s="5">
        <v>1</v>
      </c>
      <c r="AC334" s="5">
        <v>1</v>
      </c>
      <c r="AD334" s="5">
        <v>1</v>
      </c>
      <c r="AE334" s="5">
        <v>1</v>
      </c>
      <c r="AF334" s="5">
        <v>1</v>
      </c>
      <c r="AG334" s="5">
        <v>0</v>
      </c>
      <c r="AH334" s="5">
        <v>0</v>
      </c>
      <c r="AI334" s="5">
        <v>1</v>
      </c>
      <c r="AJ334" s="5">
        <v>0</v>
      </c>
      <c r="AK334" s="5">
        <v>1</v>
      </c>
      <c r="AL334" s="5">
        <v>1</v>
      </c>
      <c r="AM334" s="5">
        <v>0</v>
      </c>
      <c r="AN334" s="5">
        <v>0</v>
      </c>
      <c r="AO334" s="5">
        <v>0</v>
      </c>
      <c r="AP334" s="5">
        <v>0</v>
      </c>
      <c r="AQ334" s="5">
        <v>1</v>
      </c>
      <c r="AR334" s="5">
        <v>0</v>
      </c>
      <c r="AS334" s="7">
        <f t="shared" si="57"/>
        <v>10</v>
      </c>
      <c r="AT334" s="8">
        <f t="shared" si="58"/>
        <v>0.55555555555555558</v>
      </c>
      <c r="AU334" s="14" t="str">
        <f t="shared" si="53"/>
        <v>INTERMEDIÁRIO</v>
      </c>
      <c r="AV334" s="7">
        <f t="shared" si="54"/>
        <v>25</v>
      </c>
      <c r="AW334" s="8">
        <f t="shared" si="55"/>
        <v>0.69444444444444442</v>
      </c>
    </row>
    <row r="335" spans="1:49" ht="15.75" customHeight="1" x14ac:dyDescent="0.25">
      <c r="A335" s="5" t="s">
        <v>15</v>
      </c>
      <c r="B335" s="7" t="s">
        <v>1002</v>
      </c>
      <c r="C335" s="7" t="s">
        <v>1220</v>
      </c>
      <c r="D335" s="7" t="s">
        <v>1097</v>
      </c>
      <c r="E335" s="5" t="s">
        <v>1024</v>
      </c>
      <c r="F335" s="5">
        <v>1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5">
        <v>0</v>
      </c>
      <c r="U335" s="5">
        <v>1</v>
      </c>
      <c r="V335" s="5">
        <v>1</v>
      </c>
      <c r="W335" s="5">
        <v>1</v>
      </c>
      <c r="X335" s="7">
        <f t="shared" si="56"/>
        <v>17</v>
      </c>
      <c r="Y335" s="8">
        <f t="shared" si="50"/>
        <v>0.94444444444444442</v>
      </c>
      <c r="Z335" s="14" t="str">
        <f t="shared" si="51"/>
        <v>ADEQUADA</v>
      </c>
      <c r="AA335" s="5">
        <v>1</v>
      </c>
      <c r="AB335" s="5">
        <v>1</v>
      </c>
      <c r="AC335" s="5">
        <v>1</v>
      </c>
      <c r="AD335" s="5">
        <v>1</v>
      </c>
      <c r="AE335" s="5">
        <v>0</v>
      </c>
      <c r="AF335" s="5">
        <v>0</v>
      </c>
      <c r="AG335" s="5">
        <v>1</v>
      </c>
      <c r="AH335" s="5">
        <v>1</v>
      </c>
      <c r="AI335" s="5">
        <v>0</v>
      </c>
      <c r="AJ335" s="5">
        <v>1</v>
      </c>
      <c r="AK335" s="5">
        <v>1</v>
      </c>
      <c r="AL335" s="5">
        <v>0</v>
      </c>
      <c r="AM335" s="5">
        <v>1</v>
      </c>
      <c r="AN335" s="5">
        <v>1</v>
      </c>
      <c r="AO335" s="5">
        <v>0</v>
      </c>
      <c r="AP335" s="5">
        <v>1</v>
      </c>
      <c r="AQ335" s="5">
        <v>0</v>
      </c>
      <c r="AR335" s="5">
        <v>1</v>
      </c>
      <c r="AS335" s="7">
        <f t="shared" si="57"/>
        <v>12</v>
      </c>
      <c r="AT335" s="8">
        <f t="shared" si="58"/>
        <v>0.66666666666666674</v>
      </c>
      <c r="AU335" s="14" t="str">
        <f t="shared" si="53"/>
        <v>INTERMEDIÁRIO</v>
      </c>
      <c r="AV335" s="7">
        <f t="shared" si="54"/>
        <v>29</v>
      </c>
      <c r="AW335" s="8">
        <f t="shared" si="55"/>
        <v>0.80555555555555558</v>
      </c>
    </row>
    <row r="336" spans="1:49" ht="15.75" customHeight="1" x14ac:dyDescent="0.25">
      <c r="A336" s="5" t="s">
        <v>15</v>
      </c>
      <c r="B336" s="7" t="s">
        <v>1002</v>
      </c>
      <c r="C336" s="7" t="s">
        <v>1104</v>
      </c>
      <c r="D336" s="7" t="s">
        <v>1097</v>
      </c>
      <c r="E336" s="5" t="s">
        <v>1025</v>
      </c>
      <c r="F336" s="5">
        <v>1</v>
      </c>
      <c r="G336" s="5">
        <v>0</v>
      </c>
      <c r="H336" s="5">
        <v>1</v>
      </c>
      <c r="I336" s="5">
        <v>1</v>
      </c>
      <c r="J336" s="5">
        <v>1</v>
      </c>
      <c r="K336" s="5">
        <v>1</v>
      </c>
      <c r="L336" s="5">
        <v>1</v>
      </c>
      <c r="M336" s="5">
        <v>0</v>
      </c>
      <c r="N336" s="5">
        <v>0</v>
      </c>
      <c r="O336" s="5">
        <v>0</v>
      </c>
      <c r="P336" s="5">
        <v>1</v>
      </c>
      <c r="Q336" s="5">
        <v>0</v>
      </c>
      <c r="R336" s="5">
        <v>0</v>
      </c>
      <c r="S336" s="5">
        <v>1</v>
      </c>
      <c r="T336" s="5">
        <v>0</v>
      </c>
      <c r="U336" s="5">
        <v>1</v>
      </c>
      <c r="V336" s="5">
        <v>0</v>
      </c>
      <c r="W336" s="5">
        <v>0</v>
      </c>
      <c r="X336" s="7">
        <f t="shared" si="56"/>
        <v>9</v>
      </c>
      <c r="Y336" s="8">
        <f t="shared" ref="Y336:Y355" si="59">((X336*100)/18)/100</f>
        <v>0.5</v>
      </c>
      <c r="Z336" s="14" t="str">
        <f t="shared" ref="Z336:Z355" si="60">IF(Y336&lt;0.4,"DEFASAGEM",IF(Y336&lt;0.7,"INTERMEDIÁRIO","ADEQUADA"))</f>
        <v>INTERMEDIÁRIO</v>
      </c>
      <c r="AA336" s="5">
        <v>1</v>
      </c>
      <c r="AB336" s="5">
        <v>1</v>
      </c>
      <c r="AC336" s="5">
        <v>0</v>
      </c>
      <c r="AD336" s="5">
        <v>1</v>
      </c>
      <c r="AE336" s="5">
        <v>0</v>
      </c>
      <c r="AF336" s="5">
        <v>0</v>
      </c>
      <c r="AG336" s="5">
        <v>0</v>
      </c>
      <c r="AH336" s="5">
        <v>1</v>
      </c>
      <c r="AI336" s="5">
        <v>0</v>
      </c>
      <c r="AJ336" s="5">
        <v>0</v>
      </c>
      <c r="AK336" s="5">
        <v>0</v>
      </c>
      <c r="AL336" s="5">
        <v>1</v>
      </c>
      <c r="AM336" s="5">
        <v>0</v>
      </c>
      <c r="AN336" s="5">
        <v>0</v>
      </c>
      <c r="AO336" s="5">
        <v>0</v>
      </c>
      <c r="AP336" s="5">
        <v>0</v>
      </c>
      <c r="AQ336" s="5">
        <v>1</v>
      </c>
      <c r="AR336" s="5">
        <v>0</v>
      </c>
      <c r="AS336" s="7">
        <f t="shared" si="57"/>
        <v>6</v>
      </c>
      <c r="AT336" s="8">
        <f t="shared" si="58"/>
        <v>0.33333333333333337</v>
      </c>
      <c r="AU336" s="14" t="str">
        <f t="shared" ref="AU336:AU355" si="61">IF(AT336&lt;0.4,"DEFASAGEM",IF(AT336&lt;0.7,"INTERMEDIÁRIO","ADEQUADA"))</f>
        <v>DEFASAGEM</v>
      </c>
      <c r="AV336" s="7">
        <f t="shared" ref="AV336:AV355" si="62">SUM(F336:W336)+(SUM(AA336:AR336))</f>
        <v>15</v>
      </c>
      <c r="AW336" s="8">
        <f t="shared" ref="AW336:AW355" si="63">((AV336*100)/36)/100</f>
        <v>0.41666666666666663</v>
      </c>
    </row>
    <row r="337" spans="1:49" ht="15.75" customHeight="1" x14ac:dyDescent="0.25">
      <c r="A337" s="5" t="s">
        <v>15</v>
      </c>
      <c r="B337" s="7" t="s">
        <v>1026</v>
      </c>
      <c r="C337" s="7" t="s">
        <v>1104</v>
      </c>
      <c r="D337" s="7" t="s">
        <v>1097</v>
      </c>
      <c r="E337" s="5" t="s">
        <v>1027</v>
      </c>
      <c r="F337" s="5">
        <v>1</v>
      </c>
      <c r="G337" s="5">
        <v>0</v>
      </c>
      <c r="H337" s="5">
        <v>1</v>
      </c>
      <c r="I337" s="5">
        <v>1</v>
      </c>
      <c r="J337" s="5">
        <v>1</v>
      </c>
      <c r="K337" s="5">
        <v>0</v>
      </c>
      <c r="L337" s="5">
        <v>0</v>
      </c>
      <c r="M337" s="5">
        <v>0</v>
      </c>
      <c r="N337" s="5">
        <v>1</v>
      </c>
      <c r="O337" s="5">
        <v>0</v>
      </c>
      <c r="P337" s="5">
        <v>0</v>
      </c>
      <c r="Q337" s="5">
        <v>0</v>
      </c>
      <c r="R337" s="5">
        <v>1</v>
      </c>
      <c r="S337" s="5">
        <v>1</v>
      </c>
      <c r="T337" s="5">
        <v>1</v>
      </c>
      <c r="U337" s="5">
        <v>1</v>
      </c>
      <c r="V337" s="5">
        <v>0</v>
      </c>
      <c r="W337" s="5">
        <v>1</v>
      </c>
      <c r="X337" s="7">
        <f t="shared" si="56"/>
        <v>10</v>
      </c>
      <c r="Y337" s="8">
        <f t="shared" si="59"/>
        <v>0.55555555555555558</v>
      </c>
      <c r="Z337" s="14" t="str">
        <f t="shared" si="60"/>
        <v>INTERMEDIÁRIO</v>
      </c>
      <c r="AA337" s="5">
        <v>1</v>
      </c>
      <c r="AB337" s="5">
        <v>1</v>
      </c>
      <c r="AC337" s="5">
        <v>1</v>
      </c>
      <c r="AD337" s="5">
        <v>1</v>
      </c>
      <c r="AE337" s="5">
        <v>0</v>
      </c>
      <c r="AF337" s="5">
        <v>0</v>
      </c>
      <c r="AG337" s="5">
        <v>1</v>
      </c>
      <c r="AH337" s="5">
        <v>1</v>
      </c>
      <c r="AI337" s="5">
        <v>0</v>
      </c>
      <c r="AJ337" s="5">
        <v>1</v>
      </c>
      <c r="AK337" s="5">
        <v>1</v>
      </c>
      <c r="AL337" s="5">
        <v>0</v>
      </c>
      <c r="AM337" s="5">
        <v>0</v>
      </c>
      <c r="AN337" s="5">
        <v>1</v>
      </c>
      <c r="AO337" s="5">
        <v>1</v>
      </c>
      <c r="AP337" s="5">
        <v>0</v>
      </c>
      <c r="AQ337" s="5">
        <v>1</v>
      </c>
      <c r="AR337" s="5">
        <v>0</v>
      </c>
      <c r="AS337" s="7">
        <f t="shared" si="57"/>
        <v>11</v>
      </c>
      <c r="AT337" s="8">
        <f t="shared" si="58"/>
        <v>0.61111111111111116</v>
      </c>
      <c r="AU337" s="14" t="str">
        <f t="shared" si="61"/>
        <v>INTERMEDIÁRIO</v>
      </c>
      <c r="AV337" s="7">
        <f t="shared" si="62"/>
        <v>21</v>
      </c>
      <c r="AW337" s="8">
        <f t="shared" si="63"/>
        <v>0.58333333333333337</v>
      </c>
    </row>
    <row r="338" spans="1:49" ht="15.75" customHeight="1" x14ac:dyDescent="0.25">
      <c r="A338" s="5" t="s">
        <v>15</v>
      </c>
      <c r="B338" s="7" t="s">
        <v>1026</v>
      </c>
      <c r="C338" s="7" t="s">
        <v>1162</v>
      </c>
      <c r="D338" s="7" t="s">
        <v>1097</v>
      </c>
      <c r="E338" s="5" t="s">
        <v>1028</v>
      </c>
      <c r="F338" s="5">
        <v>1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0</v>
      </c>
      <c r="N338" s="5">
        <v>1</v>
      </c>
      <c r="O338" s="5">
        <v>0</v>
      </c>
      <c r="P338" s="5">
        <v>1</v>
      </c>
      <c r="Q338" s="5">
        <v>1</v>
      </c>
      <c r="R338" s="5">
        <v>1</v>
      </c>
      <c r="S338" s="5">
        <v>1</v>
      </c>
      <c r="T338" s="5">
        <v>1</v>
      </c>
      <c r="U338" s="5">
        <v>1</v>
      </c>
      <c r="V338" s="5">
        <v>1</v>
      </c>
      <c r="W338" s="5">
        <v>1</v>
      </c>
      <c r="X338" s="7">
        <f t="shared" si="56"/>
        <v>16</v>
      </c>
      <c r="Y338" s="8">
        <f t="shared" si="59"/>
        <v>0.88888888888888884</v>
      </c>
      <c r="Z338" s="14" t="str">
        <f t="shared" si="60"/>
        <v>ADEQUADA</v>
      </c>
      <c r="AA338" s="5">
        <v>1</v>
      </c>
      <c r="AB338" s="5">
        <v>1</v>
      </c>
      <c r="AC338" s="5">
        <v>1</v>
      </c>
      <c r="AD338" s="5">
        <v>1</v>
      </c>
      <c r="AE338" s="5">
        <v>0</v>
      </c>
      <c r="AF338" s="5">
        <v>0</v>
      </c>
      <c r="AG338" s="5">
        <v>0</v>
      </c>
      <c r="AH338" s="5">
        <v>1</v>
      </c>
      <c r="AI338" s="5">
        <v>0</v>
      </c>
      <c r="AJ338" s="5">
        <v>0</v>
      </c>
      <c r="AK338" s="5">
        <v>1</v>
      </c>
      <c r="AL338" s="5">
        <v>0</v>
      </c>
      <c r="AM338" s="5">
        <v>0</v>
      </c>
      <c r="AN338" s="5">
        <v>1</v>
      </c>
      <c r="AO338" s="5">
        <v>0</v>
      </c>
      <c r="AP338" s="5">
        <v>0</v>
      </c>
      <c r="AQ338" s="5">
        <v>0</v>
      </c>
      <c r="AR338" s="5">
        <v>1</v>
      </c>
      <c r="AS338" s="7">
        <f t="shared" si="57"/>
        <v>8</v>
      </c>
      <c r="AT338" s="8">
        <f t="shared" si="58"/>
        <v>0.44444444444444442</v>
      </c>
      <c r="AU338" s="14" t="str">
        <f t="shared" si="61"/>
        <v>INTERMEDIÁRIO</v>
      </c>
      <c r="AV338" s="7">
        <f t="shared" si="62"/>
        <v>24</v>
      </c>
      <c r="AW338" s="8">
        <f t="shared" si="63"/>
        <v>0.66666666666666674</v>
      </c>
    </row>
    <row r="339" spans="1:49" ht="15.75" customHeight="1" x14ac:dyDescent="0.25">
      <c r="A339" s="5" t="s">
        <v>15</v>
      </c>
      <c r="B339" s="7" t="s">
        <v>1026</v>
      </c>
      <c r="C339" s="7" t="s">
        <v>1104</v>
      </c>
      <c r="D339" s="7" t="s">
        <v>1097</v>
      </c>
      <c r="E339" s="5" t="s">
        <v>1029</v>
      </c>
      <c r="F339" s="5">
        <v>1</v>
      </c>
      <c r="G339" s="5">
        <v>0</v>
      </c>
      <c r="H339" s="5">
        <v>1</v>
      </c>
      <c r="I339" s="5">
        <v>1</v>
      </c>
      <c r="J339" s="5">
        <v>1</v>
      </c>
      <c r="K339" s="5">
        <v>1</v>
      </c>
      <c r="L339" s="5">
        <v>0</v>
      </c>
      <c r="M339" s="5">
        <v>1</v>
      </c>
      <c r="N339" s="5">
        <v>1</v>
      </c>
      <c r="O339" s="5">
        <v>1</v>
      </c>
      <c r="P339" s="5">
        <v>1</v>
      </c>
      <c r="Q339" s="5">
        <v>1</v>
      </c>
      <c r="R339" s="5">
        <v>1</v>
      </c>
      <c r="S339" s="5">
        <v>1</v>
      </c>
      <c r="T339" s="5">
        <v>0</v>
      </c>
      <c r="U339" s="5">
        <v>1</v>
      </c>
      <c r="V339" s="5">
        <v>1</v>
      </c>
      <c r="W339" s="5">
        <v>1</v>
      </c>
      <c r="X339" s="7">
        <f t="shared" si="56"/>
        <v>15</v>
      </c>
      <c r="Y339" s="8">
        <f t="shared" si="59"/>
        <v>0.83333333333333326</v>
      </c>
      <c r="Z339" s="14" t="str">
        <f t="shared" si="60"/>
        <v>ADEQUADA</v>
      </c>
      <c r="AA339" s="5">
        <v>1</v>
      </c>
      <c r="AB339" s="5">
        <v>1</v>
      </c>
      <c r="AC339" s="5">
        <v>1</v>
      </c>
      <c r="AD339" s="5">
        <v>1</v>
      </c>
      <c r="AE339" s="5">
        <v>0</v>
      </c>
      <c r="AF339" s="5">
        <v>0</v>
      </c>
      <c r="AG339" s="5">
        <v>1</v>
      </c>
      <c r="AH339" s="5">
        <v>1</v>
      </c>
      <c r="AI339" s="5">
        <v>1</v>
      </c>
      <c r="AJ339" s="5">
        <v>0</v>
      </c>
      <c r="AK339" s="5">
        <v>1</v>
      </c>
      <c r="AL339" s="5">
        <v>0</v>
      </c>
      <c r="AM339" s="5">
        <v>1</v>
      </c>
      <c r="AN339" s="5">
        <v>1</v>
      </c>
      <c r="AO339" s="5">
        <v>0</v>
      </c>
      <c r="AP339" s="5">
        <v>0</v>
      </c>
      <c r="AQ339" s="5">
        <v>1</v>
      </c>
      <c r="AR339" s="5">
        <v>1</v>
      </c>
      <c r="AS339" s="7">
        <f t="shared" si="57"/>
        <v>12</v>
      </c>
      <c r="AT339" s="8">
        <f t="shared" si="58"/>
        <v>0.66666666666666674</v>
      </c>
      <c r="AU339" s="14" t="str">
        <f t="shared" si="61"/>
        <v>INTERMEDIÁRIO</v>
      </c>
      <c r="AV339" s="7">
        <f t="shared" si="62"/>
        <v>27</v>
      </c>
      <c r="AW339" s="8">
        <f t="shared" si="63"/>
        <v>0.75</v>
      </c>
    </row>
    <row r="340" spans="1:49" ht="15.75" customHeight="1" x14ac:dyDescent="0.25">
      <c r="A340" s="5" t="s">
        <v>15</v>
      </c>
      <c r="B340" s="7" t="s">
        <v>1026</v>
      </c>
      <c r="C340" s="7" t="s">
        <v>1220</v>
      </c>
      <c r="D340" s="7" t="s">
        <v>1097</v>
      </c>
      <c r="E340" s="5" t="s">
        <v>1030</v>
      </c>
      <c r="F340" s="5">
        <v>1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1</v>
      </c>
      <c r="M340" s="5">
        <v>1</v>
      </c>
      <c r="N340" s="5">
        <v>1</v>
      </c>
      <c r="O340" s="5">
        <v>1</v>
      </c>
      <c r="P340" s="5">
        <v>1</v>
      </c>
      <c r="Q340" s="5">
        <v>0</v>
      </c>
      <c r="R340" s="5">
        <v>1</v>
      </c>
      <c r="S340" s="5">
        <v>1</v>
      </c>
      <c r="T340" s="5">
        <v>1</v>
      </c>
      <c r="U340" s="5">
        <v>1</v>
      </c>
      <c r="V340" s="5">
        <v>1</v>
      </c>
      <c r="W340" s="5">
        <v>1</v>
      </c>
      <c r="X340" s="7">
        <f t="shared" si="56"/>
        <v>17</v>
      </c>
      <c r="Y340" s="8">
        <f t="shared" si="59"/>
        <v>0.94444444444444442</v>
      </c>
      <c r="Z340" s="14" t="str">
        <f t="shared" si="60"/>
        <v>ADEQUADA</v>
      </c>
      <c r="AA340" s="5">
        <v>1</v>
      </c>
      <c r="AB340" s="5">
        <v>1</v>
      </c>
      <c r="AC340" s="5">
        <v>1</v>
      </c>
      <c r="AD340" s="5">
        <v>1</v>
      </c>
      <c r="AE340" s="5">
        <v>0</v>
      </c>
      <c r="AF340" s="5">
        <v>0</v>
      </c>
      <c r="AG340" s="5">
        <v>0</v>
      </c>
      <c r="AH340" s="5">
        <v>1</v>
      </c>
      <c r="AI340" s="5">
        <v>0</v>
      </c>
      <c r="AJ340" s="5">
        <v>0</v>
      </c>
      <c r="AK340" s="5">
        <v>1</v>
      </c>
      <c r="AL340" s="5">
        <v>0</v>
      </c>
      <c r="AM340" s="5">
        <v>0</v>
      </c>
      <c r="AN340" s="5">
        <v>1</v>
      </c>
      <c r="AO340" s="5">
        <v>0</v>
      </c>
      <c r="AP340" s="5">
        <v>0</v>
      </c>
      <c r="AQ340" s="5">
        <v>1</v>
      </c>
      <c r="AR340" s="5">
        <v>1</v>
      </c>
      <c r="AS340" s="7">
        <f t="shared" si="57"/>
        <v>9</v>
      </c>
      <c r="AT340" s="8">
        <f t="shared" si="58"/>
        <v>0.5</v>
      </c>
      <c r="AU340" s="14" t="str">
        <f t="shared" si="61"/>
        <v>INTERMEDIÁRIO</v>
      </c>
      <c r="AV340" s="7">
        <f t="shared" si="62"/>
        <v>26</v>
      </c>
      <c r="AW340" s="8">
        <f t="shared" si="63"/>
        <v>0.72222222222222232</v>
      </c>
    </row>
    <row r="341" spans="1:49" ht="15.75" customHeight="1" x14ac:dyDescent="0.25">
      <c r="A341" s="5" t="s">
        <v>15</v>
      </c>
      <c r="B341" s="7" t="s">
        <v>1026</v>
      </c>
      <c r="C341" s="7" t="s">
        <v>1162</v>
      </c>
      <c r="D341" s="7" t="s">
        <v>1097</v>
      </c>
      <c r="E341" s="5" t="s">
        <v>1031</v>
      </c>
      <c r="F341" s="5">
        <v>1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>
        <v>0</v>
      </c>
      <c r="M341" s="5">
        <v>0</v>
      </c>
      <c r="N341" s="5">
        <v>1</v>
      </c>
      <c r="O341" s="5">
        <v>1</v>
      </c>
      <c r="P341" s="5">
        <v>1</v>
      </c>
      <c r="Q341" s="5">
        <v>1</v>
      </c>
      <c r="R341" s="5">
        <v>1</v>
      </c>
      <c r="S341" s="5">
        <v>1</v>
      </c>
      <c r="T341" s="5">
        <v>1</v>
      </c>
      <c r="U341" s="5">
        <v>1</v>
      </c>
      <c r="V341" s="5">
        <v>1</v>
      </c>
      <c r="W341" s="5">
        <v>1</v>
      </c>
      <c r="X341" s="7">
        <f t="shared" si="56"/>
        <v>16</v>
      </c>
      <c r="Y341" s="8">
        <f t="shared" si="59"/>
        <v>0.88888888888888884</v>
      </c>
      <c r="Z341" s="14" t="str">
        <f t="shared" si="60"/>
        <v>ADEQUADA</v>
      </c>
      <c r="AA341" s="5">
        <v>1</v>
      </c>
      <c r="AB341" s="5">
        <v>1</v>
      </c>
      <c r="AC341" s="5">
        <v>1</v>
      </c>
      <c r="AD341" s="5">
        <v>1</v>
      </c>
      <c r="AE341" s="5">
        <v>0</v>
      </c>
      <c r="AF341" s="5">
        <v>0</v>
      </c>
      <c r="AG341" s="5">
        <v>1</v>
      </c>
      <c r="AH341" s="5">
        <v>1</v>
      </c>
      <c r="AI341" s="5">
        <v>0</v>
      </c>
      <c r="AJ341" s="5">
        <v>1</v>
      </c>
      <c r="AK341" s="5">
        <v>1</v>
      </c>
      <c r="AL341" s="5">
        <v>0</v>
      </c>
      <c r="AM341" s="5">
        <v>1</v>
      </c>
      <c r="AN341" s="5">
        <v>1</v>
      </c>
      <c r="AO341" s="5">
        <v>1</v>
      </c>
      <c r="AP341" s="5">
        <v>0</v>
      </c>
      <c r="AQ341" s="5">
        <v>0</v>
      </c>
      <c r="AR341" s="5">
        <v>1</v>
      </c>
      <c r="AS341" s="7">
        <f t="shared" si="57"/>
        <v>12</v>
      </c>
      <c r="AT341" s="8">
        <f t="shared" si="58"/>
        <v>0.66666666666666674</v>
      </c>
      <c r="AU341" s="14" t="str">
        <f t="shared" si="61"/>
        <v>INTERMEDIÁRIO</v>
      </c>
      <c r="AV341" s="7">
        <f t="shared" si="62"/>
        <v>28</v>
      </c>
      <c r="AW341" s="8">
        <f t="shared" si="63"/>
        <v>0.77777777777777768</v>
      </c>
    </row>
    <row r="342" spans="1:49" ht="15.75" customHeight="1" x14ac:dyDescent="0.25">
      <c r="A342" s="5" t="s">
        <v>15</v>
      </c>
      <c r="B342" s="7" t="s">
        <v>1026</v>
      </c>
      <c r="C342" s="7" t="s">
        <v>1104</v>
      </c>
      <c r="D342" s="7" t="s">
        <v>1097</v>
      </c>
      <c r="E342" s="5" t="s">
        <v>1032</v>
      </c>
      <c r="F342" s="5">
        <v>1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1</v>
      </c>
      <c r="N342" s="5">
        <v>1</v>
      </c>
      <c r="O342" s="5">
        <v>1</v>
      </c>
      <c r="P342" s="5">
        <v>1</v>
      </c>
      <c r="Q342" s="5">
        <v>1</v>
      </c>
      <c r="R342" s="5">
        <v>1</v>
      </c>
      <c r="S342" s="5">
        <v>1</v>
      </c>
      <c r="T342" s="5">
        <v>0</v>
      </c>
      <c r="U342" s="5">
        <v>1</v>
      </c>
      <c r="V342" s="5">
        <v>1</v>
      </c>
      <c r="W342" s="5">
        <v>1</v>
      </c>
      <c r="X342" s="7">
        <f t="shared" si="56"/>
        <v>17</v>
      </c>
      <c r="Y342" s="8">
        <f t="shared" si="59"/>
        <v>0.94444444444444442</v>
      </c>
      <c r="Z342" s="14" t="str">
        <f t="shared" si="60"/>
        <v>ADEQUADA</v>
      </c>
      <c r="AA342" s="5">
        <v>1</v>
      </c>
      <c r="AB342" s="5">
        <v>1</v>
      </c>
      <c r="AC342" s="5">
        <v>1</v>
      </c>
      <c r="AD342" s="5">
        <v>1</v>
      </c>
      <c r="AE342" s="5">
        <v>0</v>
      </c>
      <c r="AF342" s="5">
        <v>1</v>
      </c>
      <c r="AG342" s="5">
        <v>1</v>
      </c>
      <c r="AH342" s="5">
        <v>1</v>
      </c>
      <c r="AI342" s="5">
        <v>0</v>
      </c>
      <c r="AJ342" s="5">
        <v>1</v>
      </c>
      <c r="AK342" s="5">
        <v>1</v>
      </c>
      <c r="AL342" s="5">
        <v>0</v>
      </c>
      <c r="AM342" s="5">
        <v>0</v>
      </c>
      <c r="AN342" s="5">
        <v>1</v>
      </c>
      <c r="AO342" s="5">
        <v>0</v>
      </c>
      <c r="AP342" s="5">
        <v>0</v>
      </c>
      <c r="AQ342" s="5">
        <v>0</v>
      </c>
      <c r="AR342" s="5">
        <v>1</v>
      </c>
      <c r="AS342" s="7">
        <f t="shared" si="57"/>
        <v>11</v>
      </c>
      <c r="AT342" s="8">
        <f t="shared" si="58"/>
        <v>0.61111111111111116</v>
      </c>
      <c r="AU342" s="14" t="str">
        <f t="shared" si="61"/>
        <v>INTERMEDIÁRIO</v>
      </c>
      <c r="AV342" s="7">
        <f t="shared" si="62"/>
        <v>28</v>
      </c>
      <c r="AW342" s="8">
        <f t="shared" si="63"/>
        <v>0.77777777777777768</v>
      </c>
    </row>
    <row r="343" spans="1:49" ht="15.75" customHeight="1" x14ac:dyDescent="0.25">
      <c r="A343" s="5" t="s">
        <v>15</v>
      </c>
      <c r="B343" s="7" t="s">
        <v>1026</v>
      </c>
      <c r="C343" s="26" t="s">
        <v>1162</v>
      </c>
      <c r="D343" s="7" t="s">
        <v>1097</v>
      </c>
      <c r="E343" s="5" t="s">
        <v>1033</v>
      </c>
      <c r="F343" s="5">
        <v>1</v>
      </c>
      <c r="G343" s="5">
        <v>0</v>
      </c>
      <c r="H343" s="5">
        <v>1</v>
      </c>
      <c r="I343" s="5">
        <v>1</v>
      </c>
      <c r="J343" s="5">
        <v>1</v>
      </c>
      <c r="K343" s="5">
        <v>1</v>
      </c>
      <c r="L343" s="5">
        <v>1</v>
      </c>
      <c r="M343" s="5">
        <v>0</v>
      </c>
      <c r="N343" s="5">
        <v>1</v>
      </c>
      <c r="O343" s="5">
        <v>0</v>
      </c>
      <c r="P343" s="5">
        <v>1</v>
      </c>
      <c r="Q343" s="5">
        <v>1</v>
      </c>
      <c r="R343" s="5">
        <v>1</v>
      </c>
      <c r="S343" s="5">
        <v>1</v>
      </c>
      <c r="T343" s="5">
        <v>0</v>
      </c>
      <c r="U343" s="5">
        <v>1</v>
      </c>
      <c r="V343" s="5">
        <v>0</v>
      </c>
      <c r="W343" s="5">
        <v>0</v>
      </c>
      <c r="X343" s="7">
        <f t="shared" si="56"/>
        <v>12</v>
      </c>
      <c r="Y343" s="8">
        <f t="shared" si="59"/>
        <v>0.66666666666666674</v>
      </c>
      <c r="Z343" s="14" t="str">
        <f t="shared" si="60"/>
        <v>INTERMEDIÁRIO</v>
      </c>
      <c r="AA343" s="5">
        <v>1</v>
      </c>
      <c r="AB343" s="5">
        <v>1</v>
      </c>
      <c r="AC343" s="5">
        <v>1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1</v>
      </c>
      <c r="AM343" s="5">
        <v>0</v>
      </c>
      <c r="AN343" s="5">
        <v>0</v>
      </c>
      <c r="AO343" s="5">
        <v>0</v>
      </c>
      <c r="AP343" s="5">
        <v>0</v>
      </c>
      <c r="AQ343" s="5">
        <v>1</v>
      </c>
      <c r="AR343" s="5">
        <v>1</v>
      </c>
      <c r="AS343" s="7">
        <f t="shared" si="57"/>
        <v>6</v>
      </c>
      <c r="AT343" s="8">
        <f t="shared" si="58"/>
        <v>0.33333333333333337</v>
      </c>
      <c r="AU343" s="14" t="str">
        <f t="shared" si="61"/>
        <v>DEFASAGEM</v>
      </c>
      <c r="AV343" s="7">
        <f t="shared" si="62"/>
        <v>18</v>
      </c>
      <c r="AW343" s="8">
        <f t="shared" si="63"/>
        <v>0.5</v>
      </c>
    </row>
    <row r="344" spans="1:49" ht="15.75" customHeight="1" x14ac:dyDescent="0.25">
      <c r="A344" s="5" t="s">
        <v>15</v>
      </c>
      <c r="B344" s="27" t="s">
        <v>1026</v>
      </c>
      <c r="C344" s="28" t="s">
        <v>1099</v>
      </c>
      <c r="D344" s="29" t="s">
        <v>1100</v>
      </c>
      <c r="E344" s="5" t="s">
        <v>1254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7">
        <v>0</v>
      </c>
      <c r="Y344" s="8">
        <f t="shared" si="59"/>
        <v>0</v>
      </c>
      <c r="Z344" s="14" t="str">
        <f t="shared" si="60"/>
        <v>DEFASAGEM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7">
        <v>0</v>
      </c>
      <c r="AT344" s="8">
        <f t="shared" si="58"/>
        <v>0</v>
      </c>
      <c r="AU344" s="14" t="str">
        <f t="shared" si="61"/>
        <v>DEFASAGEM</v>
      </c>
      <c r="AV344" s="7">
        <f t="shared" si="62"/>
        <v>0</v>
      </c>
      <c r="AW344" s="8">
        <f t="shared" si="63"/>
        <v>0</v>
      </c>
    </row>
    <row r="345" spans="1:49" ht="15.75" customHeight="1" x14ac:dyDescent="0.25">
      <c r="A345" s="5" t="s">
        <v>15</v>
      </c>
      <c r="B345" s="7" t="s">
        <v>1026</v>
      </c>
      <c r="C345" s="30" t="s">
        <v>1162</v>
      </c>
      <c r="D345" s="7" t="s">
        <v>1097</v>
      </c>
      <c r="E345" s="5" t="s">
        <v>1034</v>
      </c>
      <c r="F345" s="5">
        <v>1</v>
      </c>
      <c r="G345" s="5">
        <v>1</v>
      </c>
      <c r="H345" s="5">
        <v>1</v>
      </c>
      <c r="I345" s="5">
        <v>0</v>
      </c>
      <c r="J345" s="5">
        <v>1</v>
      </c>
      <c r="K345" s="5">
        <v>1</v>
      </c>
      <c r="L345" s="5">
        <v>1</v>
      </c>
      <c r="M345" s="5">
        <v>1</v>
      </c>
      <c r="N345" s="5">
        <v>1</v>
      </c>
      <c r="O345" s="5">
        <v>1</v>
      </c>
      <c r="P345" s="5">
        <v>1</v>
      </c>
      <c r="Q345" s="5">
        <v>1</v>
      </c>
      <c r="R345" s="5">
        <v>0</v>
      </c>
      <c r="S345" s="5">
        <v>1</v>
      </c>
      <c r="T345" s="5">
        <v>0</v>
      </c>
      <c r="U345" s="5">
        <v>1</v>
      </c>
      <c r="V345" s="5">
        <v>1</v>
      </c>
      <c r="W345" s="5">
        <v>1</v>
      </c>
      <c r="X345" s="7">
        <f t="shared" ref="X345:X355" si="64">SUM(F345:W345)</f>
        <v>15</v>
      </c>
      <c r="Y345" s="8">
        <f t="shared" si="59"/>
        <v>0.83333333333333326</v>
      </c>
      <c r="Z345" s="14" t="str">
        <f t="shared" si="60"/>
        <v>ADEQUADA</v>
      </c>
      <c r="AA345" s="5">
        <v>1</v>
      </c>
      <c r="AB345" s="5">
        <v>1</v>
      </c>
      <c r="AC345" s="5">
        <v>1</v>
      </c>
      <c r="AD345" s="5">
        <v>0</v>
      </c>
      <c r="AE345" s="5">
        <v>1</v>
      </c>
      <c r="AF345" s="5">
        <v>1</v>
      </c>
      <c r="AG345" s="5">
        <v>1</v>
      </c>
      <c r="AH345" s="5">
        <v>1</v>
      </c>
      <c r="AI345" s="5">
        <v>1</v>
      </c>
      <c r="AJ345" s="5">
        <v>0</v>
      </c>
      <c r="AK345" s="5">
        <v>1</v>
      </c>
      <c r="AL345" s="5">
        <v>0</v>
      </c>
      <c r="AM345" s="5">
        <v>1</v>
      </c>
      <c r="AN345" s="5">
        <v>0</v>
      </c>
      <c r="AO345" s="5">
        <v>0</v>
      </c>
      <c r="AP345" s="5">
        <v>0</v>
      </c>
      <c r="AQ345" s="5">
        <v>1</v>
      </c>
      <c r="AR345" s="5">
        <v>1</v>
      </c>
      <c r="AS345" s="7">
        <f t="shared" ref="AS345:AS355" si="65">SUM(AA345:AR345)</f>
        <v>12</v>
      </c>
      <c r="AT345" s="8">
        <f t="shared" si="58"/>
        <v>0.66666666666666674</v>
      </c>
      <c r="AU345" s="14" t="str">
        <f t="shared" si="61"/>
        <v>INTERMEDIÁRIO</v>
      </c>
      <c r="AV345" s="7">
        <f t="shared" si="62"/>
        <v>27</v>
      </c>
      <c r="AW345" s="8">
        <f t="shared" si="63"/>
        <v>0.75</v>
      </c>
    </row>
    <row r="346" spans="1:49" ht="15.75" customHeight="1" x14ac:dyDescent="0.25">
      <c r="A346" s="5" t="s">
        <v>15</v>
      </c>
      <c r="B346" s="7" t="s">
        <v>1026</v>
      </c>
      <c r="C346" s="7" t="s">
        <v>1220</v>
      </c>
      <c r="D346" s="7" t="s">
        <v>1097</v>
      </c>
      <c r="E346" s="5" t="s">
        <v>1012</v>
      </c>
      <c r="F346" s="5">
        <v>1</v>
      </c>
      <c r="G346" s="5">
        <v>1</v>
      </c>
      <c r="H346" s="5">
        <v>1</v>
      </c>
      <c r="I346" s="5">
        <v>1</v>
      </c>
      <c r="J346" s="5">
        <v>1</v>
      </c>
      <c r="K346" s="5">
        <v>1</v>
      </c>
      <c r="L346" s="5">
        <v>1</v>
      </c>
      <c r="M346" s="5">
        <v>1</v>
      </c>
      <c r="N346" s="5">
        <v>1</v>
      </c>
      <c r="O346" s="5">
        <v>1</v>
      </c>
      <c r="P346" s="5">
        <v>1</v>
      </c>
      <c r="Q346" s="5">
        <v>1</v>
      </c>
      <c r="R346" s="5">
        <v>1</v>
      </c>
      <c r="S346" s="5">
        <v>1</v>
      </c>
      <c r="T346" s="5">
        <v>1</v>
      </c>
      <c r="U346" s="5">
        <v>1</v>
      </c>
      <c r="V346" s="5">
        <v>1</v>
      </c>
      <c r="W346" s="5">
        <v>1</v>
      </c>
      <c r="X346" s="7">
        <f t="shared" si="64"/>
        <v>18</v>
      </c>
      <c r="Y346" s="8">
        <f t="shared" si="59"/>
        <v>1</v>
      </c>
      <c r="Z346" s="14" t="str">
        <f t="shared" si="60"/>
        <v>ADEQUADA</v>
      </c>
      <c r="AA346" s="5">
        <v>1</v>
      </c>
      <c r="AB346" s="5">
        <v>1</v>
      </c>
      <c r="AC346" s="5">
        <v>1</v>
      </c>
      <c r="AD346" s="5">
        <v>0</v>
      </c>
      <c r="AE346" s="5">
        <v>1</v>
      </c>
      <c r="AF346" s="5">
        <v>0</v>
      </c>
      <c r="AG346" s="5">
        <v>1</v>
      </c>
      <c r="AH346" s="5">
        <v>1</v>
      </c>
      <c r="AI346" s="5">
        <v>0</v>
      </c>
      <c r="AJ346" s="5">
        <v>1</v>
      </c>
      <c r="AK346" s="5">
        <v>1</v>
      </c>
      <c r="AL346" s="5">
        <v>0</v>
      </c>
      <c r="AM346" s="5">
        <v>0</v>
      </c>
      <c r="AN346" s="5">
        <v>1</v>
      </c>
      <c r="AO346" s="5">
        <v>0</v>
      </c>
      <c r="AP346" s="5">
        <v>0</v>
      </c>
      <c r="AQ346" s="5">
        <v>0</v>
      </c>
      <c r="AR346" s="5">
        <v>1</v>
      </c>
      <c r="AS346" s="7">
        <f t="shared" si="65"/>
        <v>10</v>
      </c>
      <c r="AT346" s="8">
        <f t="shared" si="58"/>
        <v>0.55555555555555558</v>
      </c>
      <c r="AU346" s="14" t="str">
        <f t="shared" si="61"/>
        <v>INTERMEDIÁRIO</v>
      </c>
      <c r="AV346" s="7">
        <f t="shared" si="62"/>
        <v>28</v>
      </c>
      <c r="AW346" s="8">
        <f t="shared" si="63"/>
        <v>0.77777777777777768</v>
      </c>
    </row>
    <row r="347" spans="1:49" ht="15.75" customHeight="1" x14ac:dyDescent="0.25">
      <c r="A347" s="5" t="s">
        <v>15</v>
      </c>
      <c r="B347" s="7" t="s">
        <v>1026</v>
      </c>
      <c r="C347" s="7" t="s">
        <v>1105</v>
      </c>
      <c r="D347" s="7" t="s">
        <v>1097</v>
      </c>
      <c r="E347" s="5" t="s">
        <v>1036</v>
      </c>
      <c r="F347" s="5">
        <v>1</v>
      </c>
      <c r="G347" s="5">
        <v>1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1</v>
      </c>
      <c r="N347" s="5">
        <v>0</v>
      </c>
      <c r="O347" s="5">
        <v>1</v>
      </c>
      <c r="P347" s="5">
        <v>1</v>
      </c>
      <c r="Q347" s="5">
        <v>1</v>
      </c>
      <c r="R347" s="5">
        <v>1</v>
      </c>
      <c r="S347" s="5">
        <v>1</v>
      </c>
      <c r="T347" s="5">
        <v>1</v>
      </c>
      <c r="U347" s="5">
        <v>1</v>
      </c>
      <c r="V347" s="5">
        <v>1</v>
      </c>
      <c r="W347" s="5">
        <v>1</v>
      </c>
      <c r="X347" s="7">
        <f t="shared" si="64"/>
        <v>17</v>
      </c>
      <c r="Y347" s="8">
        <f t="shared" si="59"/>
        <v>0.94444444444444442</v>
      </c>
      <c r="Z347" s="14" t="str">
        <f t="shared" si="60"/>
        <v>ADEQUADA</v>
      </c>
      <c r="AA347" s="5">
        <v>1</v>
      </c>
      <c r="AB347" s="5">
        <v>1</v>
      </c>
      <c r="AC347" s="5">
        <v>0</v>
      </c>
      <c r="AD347" s="5">
        <v>1</v>
      </c>
      <c r="AE347" s="5">
        <v>0</v>
      </c>
      <c r="AF347" s="5">
        <v>0</v>
      </c>
      <c r="AG347" s="5">
        <v>1</v>
      </c>
      <c r="AH347" s="5">
        <v>1</v>
      </c>
      <c r="AI347" s="5">
        <v>0</v>
      </c>
      <c r="AJ347" s="5">
        <v>1</v>
      </c>
      <c r="AK347" s="5">
        <v>1</v>
      </c>
      <c r="AL347" s="5">
        <v>1</v>
      </c>
      <c r="AM347" s="5">
        <v>1</v>
      </c>
      <c r="AN347" s="5">
        <v>1</v>
      </c>
      <c r="AO347" s="5">
        <v>0</v>
      </c>
      <c r="AP347" s="5">
        <v>0</v>
      </c>
      <c r="AQ347" s="5">
        <v>1</v>
      </c>
      <c r="AR347" s="5">
        <v>1</v>
      </c>
      <c r="AS347" s="7">
        <f t="shared" si="65"/>
        <v>12</v>
      </c>
      <c r="AT347" s="8">
        <f t="shared" si="58"/>
        <v>0.66666666666666674</v>
      </c>
      <c r="AU347" s="14" t="str">
        <f t="shared" si="61"/>
        <v>INTERMEDIÁRIO</v>
      </c>
      <c r="AV347" s="7">
        <f t="shared" si="62"/>
        <v>29</v>
      </c>
      <c r="AW347" s="8">
        <f t="shared" si="63"/>
        <v>0.80555555555555558</v>
      </c>
    </row>
    <row r="348" spans="1:49" ht="15.75" customHeight="1" x14ac:dyDescent="0.25">
      <c r="A348" s="5" t="s">
        <v>15</v>
      </c>
      <c r="B348" s="7" t="s">
        <v>1026</v>
      </c>
      <c r="C348" s="7" t="s">
        <v>1105</v>
      </c>
      <c r="D348" s="7" t="s">
        <v>1097</v>
      </c>
      <c r="E348" s="5" t="s">
        <v>1037</v>
      </c>
      <c r="F348" s="5">
        <v>1</v>
      </c>
      <c r="G348" s="5">
        <v>0</v>
      </c>
      <c r="H348" s="5">
        <v>0</v>
      </c>
      <c r="I348" s="5">
        <v>0</v>
      </c>
      <c r="J348" s="5">
        <v>1</v>
      </c>
      <c r="K348" s="5">
        <v>1</v>
      </c>
      <c r="L348" s="5">
        <v>0</v>
      </c>
      <c r="M348" s="5">
        <v>0</v>
      </c>
      <c r="N348" s="5">
        <v>0</v>
      </c>
      <c r="O348" s="5">
        <v>0</v>
      </c>
      <c r="P348" s="5">
        <v>1</v>
      </c>
      <c r="Q348" s="5">
        <v>1</v>
      </c>
      <c r="R348" s="5">
        <v>1</v>
      </c>
      <c r="S348" s="5">
        <v>0</v>
      </c>
      <c r="T348" s="5">
        <v>0</v>
      </c>
      <c r="U348" s="5">
        <v>1</v>
      </c>
      <c r="V348" s="5">
        <v>0</v>
      </c>
      <c r="W348" s="5">
        <v>1</v>
      </c>
      <c r="X348" s="7">
        <f t="shared" si="64"/>
        <v>8</v>
      </c>
      <c r="Y348" s="8">
        <f t="shared" si="59"/>
        <v>0.44444444444444442</v>
      </c>
      <c r="Z348" s="14" t="str">
        <f t="shared" si="60"/>
        <v>INTERMEDIÁRIO</v>
      </c>
      <c r="AA348" s="5">
        <v>1</v>
      </c>
      <c r="AB348" s="5">
        <v>1</v>
      </c>
      <c r="AC348" s="5">
        <v>1</v>
      </c>
      <c r="AD348" s="5">
        <v>1</v>
      </c>
      <c r="AE348" s="5">
        <v>0</v>
      </c>
      <c r="AF348" s="5">
        <v>0</v>
      </c>
      <c r="AG348" s="5">
        <v>0</v>
      </c>
      <c r="AH348" s="5">
        <v>0</v>
      </c>
      <c r="AI348" s="5">
        <v>1</v>
      </c>
      <c r="AJ348" s="5">
        <v>1</v>
      </c>
      <c r="AK348" s="5">
        <v>1</v>
      </c>
      <c r="AL348" s="5">
        <v>0</v>
      </c>
      <c r="AM348" s="5">
        <v>1</v>
      </c>
      <c r="AN348" s="5">
        <v>0</v>
      </c>
      <c r="AO348" s="5">
        <v>0</v>
      </c>
      <c r="AP348" s="5">
        <v>0</v>
      </c>
      <c r="AQ348" s="5">
        <v>0</v>
      </c>
      <c r="AR348" s="5">
        <v>1</v>
      </c>
      <c r="AS348" s="7">
        <f t="shared" si="65"/>
        <v>9</v>
      </c>
      <c r="AT348" s="8">
        <f t="shared" si="58"/>
        <v>0.5</v>
      </c>
      <c r="AU348" s="14" t="str">
        <f t="shared" si="61"/>
        <v>INTERMEDIÁRIO</v>
      </c>
      <c r="AV348" s="7">
        <f t="shared" si="62"/>
        <v>17</v>
      </c>
      <c r="AW348" s="8">
        <f t="shared" si="63"/>
        <v>0.47222222222222221</v>
      </c>
    </row>
    <row r="349" spans="1:49" ht="15.75" customHeight="1" x14ac:dyDescent="0.25">
      <c r="A349" s="5" t="s">
        <v>15</v>
      </c>
      <c r="B349" s="7" t="s">
        <v>1026</v>
      </c>
      <c r="C349" s="7" t="s">
        <v>1162</v>
      </c>
      <c r="D349" s="7" t="s">
        <v>1097</v>
      </c>
      <c r="E349" s="5" t="s">
        <v>1038</v>
      </c>
      <c r="F349" s="5">
        <v>0</v>
      </c>
      <c r="G349" s="5">
        <v>0</v>
      </c>
      <c r="H349" s="5">
        <v>1</v>
      </c>
      <c r="I349" s="5">
        <v>1</v>
      </c>
      <c r="J349" s="5">
        <v>0</v>
      </c>
      <c r="K349" s="5">
        <v>1</v>
      </c>
      <c r="L349" s="5">
        <v>0</v>
      </c>
      <c r="M349" s="5">
        <v>1</v>
      </c>
      <c r="N349" s="5">
        <v>0</v>
      </c>
      <c r="O349" s="5">
        <v>1</v>
      </c>
      <c r="P349" s="5">
        <v>1</v>
      </c>
      <c r="Q349" s="5">
        <v>0</v>
      </c>
      <c r="R349" s="5">
        <v>1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7">
        <f t="shared" si="64"/>
        <v>7</v>
      </c>
      <c r="Y349" s="8">
        <f t="shared" si="59"/>
        <v>0.38888888888888884</v>
      </c>
      <c r="Z349" s="14" t="str">
        <f t="shared" si="60"/>
        <v>DEFASAGEM</v>
      </c>
      <c r="AA349" s="5">
        <v>1</v>
      </c>
      <c r="AB349" s="5">
        <v>1</v>
      </c>
      <c r="AC349" s="5">
        <v>1</v>
      </c>
      <c r="AD349" s="5">
        <v>1</v>
      </c>
      <c r="AE349" s="5">
        <v>1</v>
      </c>
      <c r="AF349" s="5">
        <v>1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</v>
      </c>
      <c r="AM349" s="5">
        <v>1</v>
      </c>
      <c r="AN349" s="5">
        <v>0</v>
      </c>
      <c r="AO349" s="5">
        <v>0</v>
      </c>
      <c r="AP349" s="5">
        <v>1</v>
      </c>
      <c r="AQ349" s="5">
        <v>1</v>
      </c>
      <c r="AR349" s="5">
        <v>1</v>
      </c>
      <c r="AS349" s="7">
        <f t="shared" si="65"/>
        <v>11</v>
      </c>
      <c r="AT349" s="8">
        <f t="shared" si="58"/>
        <v>0.61111111111111116</v>
      </c>
      <c r="AU349" s="14" t="str">
        <f t="shared" si="61"/>
        <v>INTERMEDIÁRIO</v>
      </c>
      <c r="AV349" s="7">
        <f t="shared" si="62"/>
        <v>18</v>
      </c>
      <c r="AW349" s="8">
        <f t="shared" si="63"/>
        <v>0.5</v>
      </c>
    </row>
    <row r="350" spans="1:49" ht="15.75" customHeight="1" x14ac:dyDescent="0.25">
      <c r="A350" s="5" t="s">
        <v>15</v>
      </c>
      <c r="B350" s="7" t="s">
        <v>1026</v>
      </c>
      <c r="C350" s="7" t="s">
        <v>1162</v>
      </c>
      <c r="D350" s="7" t="s">
        <v>1097</v>
      </c>
      <c r="E350" s="5" t="s">
        <v>1039</v>
      </c>
      <c r="F350" s="5">
        <v>1</v>
      </c>
      <c r="G350" s="5">
        <v>1</v>
      </c>
      <c r="H350" s="5">
        <v>1</v>
      </c>
      <c r="I350" s="5">
        <v>1</v>
      </c>
      <c r="J350" s="5">
        <v>1</v>
      </c>
      <c r="K350" s="5">
        <v>1</v>
      </c>
      <c r="L350" s="5">
        <v>1</v>
      </c>
      <c r="M350" s="5">
        <v>1</v>
      </c>
      <c r="N350" s="5">
        <v>0</v>
      </c>
      <c r="O350" s="5">
        <v>0</v>
      </c>
      <c r="P350" s="5">
        <v>1</v>
      </c>
      <c r="Q350" s="5">
        <v>1</v>
      </c>
      <c r="R350" s="5">
        <v>1</v>
      </c>
      <c r="S350" s="5">
        <v>1</v>
      </c>
      <c r="T350" s="5">
        <v>1</v>
      </c>
      <c r="U350" s="5">
        <v>1</v>
      </c>
      <c r="V350" s="5">
        <v>0</v>
      </c>
      <c r="W350" s="5">
        <v>1</v>
      </c>
      <c r="X350" s="7">
        <f t="shared" si="64"/>
        <v>15</v>
      </c>
      <c r="Y350" s="8">
        <f t="shared" si="59"/>
        <v>0.83333333333333326</v>
      </c>
      <c r="Z350" s="14" t="str">
        <f t="shared" si="60"/>
        <v>ADEQUADA</v>
      </c>
      <c r="AA350" s="5">
        <v>1</v>
      </c>
      <c r="AB350" s="5">
        <v>1</v>
      </c>
      <c r="AC350" s="5">
        <v>1</v>
      </c>
      <c r="AD350" s="5">
        <v>1</v>
      </c>
      <c r="AE350" s="5">
        <v>0</v>
      </c>
      <c r="AF350" s="5">
        <v>0</v>
      </c>
      <c r="AG350" s="5">
        <v>1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1</v>
      </c>
      <c r="AO350" s="5">
        <v>1</v>
      </c>
      <c r="AP350" s="5">
        <v>1</v>
      </c>
      <c r="AQ350" s="5">
        <v>0</v>
      </c>
      <c r="AR350" s="5">
        <v>1</v>
      </c>
      <c r="AS350" s="7">
        <f t="shared" si="65"/>
        <v>9</v>
      </c>
      <c r="AT350" s="8">
        <f t="shared" si="58"/>
        <v>0.5</v>
      </c>
      <c r="AU350" s="14" t="str">
        <f t="shared" si="61"/>
        <v>INTERMEDIÁRIO</v>
      </c>
      <c r="AV350" s="7">
        <f t="shared" si="62"/>
        <v>24</v>
      </c>
      <c r="AW350" s="8">
        <f t="shared" si="63"/>
        <v>0.66666666666666674</v>
      </c>
    </row>
    <row r="351" spans="1:49" ht="15.75" customHeight="1" x14ac:dyDescent="0.25">
      <c r="A351" s="5" t="s">
        <v>15</v>
      </c>
      <c r="B351" s="7" t="s">
        <v>1026</v>
      </c>
      <c r="C351" s="7" t="s">
        <v>1104</v>
      </c>
      <c r="D351" s="7" t="s">
        <v>1097</v>
      </c>
      <c r="E351" s="5" t="s">
        <v>1255</v>
      </c>
      <c r="F351" s="5">
        <v>0</v>
      </c>
      <c r="G351" s="5">
        <v>1</v>
      </c>
      <c r="H351" s="5">
        <v>1</v>
      </c>
      <c r="I351" s="5">
        <v>1</v>
      </c>
      <c r="J351" s="5">
        <v>0</v>
      </c>
      <c r="K351" s="5">
        <v>0</v>
      </c>
      <c r="L351" s="5">
        <v>1</v>
      </c>
      <c r="M351" s="5">
        <v>0</v>
      </c>
      <c r="N351" s="5"/>
      <c r="O351" s="5">
        <v>0</v>
      </c>
      <c r="P351" s="5">
        <v>1</v>
      </c>
      <c r="Q351" s="5">
        <v>0</v>
      </c>
      <c r="R351" s="5">
        <v>1</v>
      </c>
      <c r="S351" s="5">
        <v>0</v>
      </c>
      <c r="T351" s="5">
        <v>0</v>
      </c>
      <c r="U351" s="5">
        <v>0</v>
      </c>
      <c r="V351" s="5">
        <v>1</v>
      </c>
      <c r="W351" s="5">
        <v>1</v>
      </c>
      <c r="X351" s="7">
        <f t="shared" si="64"/>
        <v>8</v>
      </c>
      <c r="Y351" s="8">
        <f t="shared" si="59"/>
        <v>0.44444444444444442</v>
      </c>
      <c r="Z351" s="14" t="str">
        <f t="shared" si="60"/>
        <v>INTERMEDIÁRIO</v>
      </c>
      <c r="AA351" s="5">
        <v>0</v>
      </c>
      <c r="AB351" s="5">
        <v>0</v>
      </c>
      <c r="AC351" s="5">
        <v>1</v>
      </c>
      <c r="AD351" s="5">
        <v>1</v>
      </c>
      <c r="AE351" s="5">
        <v>0</v>
      </c>
      <c r="AF351" s="5">
        <v>1</v>
      </c>
      <c r="AG351" s="5">
        <v>0</v>
      </c>
      <c r="AH351" s="5">
        <v>0</v>
      </c>
      <c r="AI351" s="5">
        <v>1</v>
      </c>
      <c r="AJ351" s="5">
        <v>0</v>
      </c>
      <c r="AK351" s="5">
        <v>0</v>
      </c>
      <c r="AL351" s="5">
        <v>0</v>
      </c>
      <c r="AM351" s="5">
        <v>1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7">
        <f t="shared" si="65"/>
        <v>5</v>
      </c>
      <c r="AT351" s="8">
        <f t="shared" si="58"/>
        <v>0.27777777777777779</v>
      </c>
      <c r="AU351" s="14" t="str">
        <f t="shared" si="61"/>
        <v>DEFASAGEM</v>
      </c>
      <c r="AV351" s="7">
        <f t="shared" si="62"/>
        <v>13</v>
      </c>
      <c r="AW351" s="8">
        <f t="shared" si="63"/>
        <v>0.36111111111111116</v>
      </c>
    </row>
    <row r="352" spans="1:49" ht="15.75" customHeight="1" x14ac:dyDescent="0.25">
      <c r="A352" s="5" t="s">
        <v>15</v>
      </c>
      <c r="B352" s="7" t="s">
        <v>1026</v>
      </c>
      <c r="C352" s="7" t="s">
        <v>1104</v>
      </c>
      <c r="D352" s="7" t="s">
        <v>1097</v>
      </c>
      <c r="E352" s="5" t="s">
        <v>1040</v>
      </c>
      <c r="F352" s="5">
        <v>1</v>
      </c>
      <c r="G352" s="5">
        <v>1</v>
      </c>
      <c r="H352" s="5">
        <v>1</v>
      </c>
      <c r="I352" s="5">
        <v>1</v>
      </c>
      <c r="J352" s="5">
        <v>1</v>
      </c>
      <c r="K352" s="5">
        <v>1</v>
      </c>
      <c r="L352" s="5">
        <v>1</v>
      </c>
      <c r="M352" s="5">
        <v>1</v>
      </c>
      <c r="N352" s="5">
        <v>1</v>
      </c>
      <c r="O352" s="5">
        <v>1</v>
      </c>
      <c r="P352" s="5">
        <v>1</v>
      </c>
      <c r="Q352" s="5">
        <v>1</v>
      </c>
      <c r="R352" s="5">
        <v>1</v>
      </c>
      <c r="S352" s="5">
        <v>1</v>
      </c>
      <c r="T352" s="5">
        <v>0</v>
      </c>
      <c r="U352" s="5">
        <v>1</v>
      </c>
      <c r="V352" s="5">
        <v>1</v>
      </c>
      <c r="W352" s="5">
        <v>1</v>
      </c>
      <c r="X352" s="7">
        <f t="shared" si="64"/>
        <v>17</v>
      </c>
      <c r="Y352" s="8">
        <f t="shared" si="59"/>
        <v>0.94444444444444442</v>
      </c>
      <c r="Z352" s="14" t="str">
        <f t="shared" si="60"/>
        <v>ADEQUADA</v>
      </c>
      <c r="AA352" s="5">
        <v>1</v>
      </c>
      <c r="AB352" s="5">
        <v>1</v>
      </c>
      <c r="AC352" s="5">
        <v>1</v>
      </c>
      <c r="AD352" s="5">
        <v>1</v>
      </c>
      <c r="AE352" s="5">
        <v>0</v>
      </c>
      <c r="AF352" s="5">
        <v>0</v>
      </c>
      <c r="AG352" s="5">
        <v>1</v>
      </c>
      <c r="AH352" s="5">
        <v>1</v>
      </c>
      <c r="AI352" s="5">
        <v>0</v>
      </c>
      <c r="AJ352" s="5">
        <v>0</v>
      </c>
      <c r="AK352" s="5">
        <v>1</v>
      </c>
      <c r="AL352" s="5">
        <v>1</v>
      </c>
      <c r="AM352" s="5">
        <v>1</v>
      </c>
      <c r="AN352" s="5">
        <v>1</v>
      </c>
      <c r="AO352" s="5">
        <v>1</v>
      </c>
      <c r="AP352" s="5">
        <v>1</v>
      </c>
      <c r="AQ352" s="5">
        <v>0</v>
      </c>
      <c r="AR352" s="5">
        <v>1</v>
      </c>
      <c r="AS352" s="7">
        <f t="shared" si="65"/>
        <v>13</v>
      </c>
      <c r="AT352" s="8">
        <f t="shared" si="58"/>
        <v>0.72222222222222232</v>
      </c>
      <c r="AU352" s="14" t="str">
        <f t="shared" si="61"/>
        <v>ADEQUADA</v>
      </c>
      <c r="AV352" s="7">
        <f t="shared" si="62"/>
        <v>30</v>
      </c>
      <c r="AW352" s="8">
        <f t="shared" si="63"/>
        <v>0.83333333333333326</v>
      </c>
    </row>
    <row r="353" spans="1:49" ht="15.75" customHeight="1" x14ac:dyDescent="0.25">
      <c r="A353" s="5" t="s">
        <v>15</v>
      </c>
      <c r="B353" s="7" t="s">
        <v>1026</v>
      </c>
      <c r="C353" s="7" t="s">
        <v>1104</v>
      </c>
      <c r="D353" s="7" t="s">
        <v>1097</v>
      </c>
      <c r="E353" s="5" t="s">
        <v>1041</v>
      </c>
      <c r="F353" s="5">
        <v>1</v>
      </c>
      <c r="G353" s="5">
        <v>1</v>
      </c>
      <c r="H353" s="5">
        <v>1</v>
      </c>
      <c r="I353" s="5">
        <v>1</v>
      </c>
      <c r="J353" s="5">
        <v>1</v>
      </c>
      <c r="K353" s="5">
        <v>1</v>
      </c>
      <c r="L353" s="5">
        <v>1</v>
      </c>
      <c r="M353" s="5">
        <v>1</v>
      </c>
      <c r="N353" s="5">
        <v>1</v>
      </c>
      <c r="O353" s="5">
        <v>1</v>
      </c>
      <c r="P353" s="5">
        <v>1</v>
      </c>
      <c r="Q353" s="5">
        <v>0</v>
      </c>
      <c r="R353" s="5">
        <v>1</v>
      </c>
      <c r="S353" s="5">
        <v>1</v>
      </c>
      <c r="T353" s="5">
        <v>1</v>
      </c>
      <c r="U353" s="5">
        <v>0</v>
      </c>
      <c r="V353" s="5">
        <v>0</v>
      </c>
      <c r="W353" s="5">
        <v>1</v>
      </c>
      <c r="X353" s="7">
        <f t="shared" si="64"/>
        <v>15</v>
      </c>
      <c r="Y353" s="8">
        <f t="shared" si="59"/>
        <v>0.83333333333333326</v>
      </c>
      <c r="Z353" s="14" t="str">
        <f t="shared" si="60"/>
        <v>ADEQUADA</v>
      </c>
      <c r="AA353" s="5">
        <v>1</v>
      </c>
      <c r="AB353" s="5">
        <v>1</v>
      </c>
      <c r="AC353" s="5">
        <v>1</v>
      </c>
      <c r="AD353" s="5">
        <v>1</v>
      </c>
      <c r="AE353" s="5">
        <v>0</v>
      </c>
      <c r="AF353" s="5">
        <v>0</v>
      </c>
      <c r="AG353" s="5">
        <v>1</v>
      </c>
      <c r="AH353" s="5">
        <v>0</v>
      </c>
      <c r="AI353" s="5">
        <v>0</v>
      </c>
      <c r="AJ353" s="5">
        <v>1</v>
      </c>
      <c r="AK353" s="5">
        <v>1</v>
      </c>
      <c r="AL353" s="5">
        <v>0</v>
      </c>
      <c r="AM353" s="5">
        <v>1</v>
      </c>
      <c r="AN353" s="5">
        <v>1</v>
      </c>
      <c r="AO353" s="5">
        <v>0</v>
      </c>
      <c r="AP353" s="5">
        <v>0</v>
      </c>
      <c r="AQ353" s="5">
        <v>1</v>
      </c>
      <c r="AR353" s="5">
        <v>1</v>
      </c>
      <c r="AS353" s="7">
        <f t="shared" si="65"/>
        <v>11</v>
      </c>
      <c r="AT353" s="8">
        <f t="shared" si="58"/>
        <v>0.61111111111111116</v>
      </c>
      <c r="AU353" s="14" t="str">
        <f t="shared" si="61"/>
        <v>INTERMEDIÁRIO</v>
      </c>
      <c r="AV353" s="7">
        <f t="shared" si="62"/>
        <v>26</v>
      </c>
      <c r="AW353" s="8">
        <f t="shared" si="63"/>
        <v>0.72222222222222232</v>
      </c>
    </row>
    <row r="354" spans="1:49" ht="15.75" customHeight="1" x14ac:dyDescent="0.25">
      <c r="A354" s="5" t="s">
        <v>15</v>
      </c>
      <c r="B354" s="7" t="s">
        <v>1026</v>
      </c>
      <c r="C354" s="26" t="s">
        <v>1220</v>
      </c>
      <c r="D354" s="7" t="s">
        <v>1097</v>
      </c>
      <c r="E354" s="5" t="s">
        <v>1042</v>
      </c>
      <c r="F354" s="5">
        <v>0</v>
      </c>
      <c r="G354" s="5">
        <v>1</v>
      </c>
      <c r="H354" s="5">
        <v>1</v>
      </c>
      <c r="I354" s="5">
        <v>1</v>
      </c>
      <c r="J354" s="5">
        <v>1</v>
      </c>
      <c r="K354" s="5">
        <v>1</v>
      </c>
      <c r="L354" s="5">
        <v>1</v>
      </c>
      <c r="M354" s="5">
        <v>1</v>
      </c>
      <c r="N354" s="5">
        <v>1</v>
      </c>
      <c r="O354" s="5">
        <v>1</v>
      </c>
      <c r="P354" s="5">
        <v>1</v>
      </c>
      <c r="Q354" s="5">
        <v>1</v>
      </c>
      <c r="R354" s="5">
        <v>1</v>
      </c>
      <c r="S354" s="5">
        <v>1</v>
      </c>
      <c r="T354" s="5">
        <v>0</v>
      </c>
      <c r="U354" s="5">
        <v>1</v>
      </c>
      <c r="V354" s="5">
        <v>0</v>
      </c>
      <c r="W354" s="5">
        <v>1</v>
      </c>
      <c r="X354" s="7">
        <f t="shared" si="64"/>
        <v>15</v>
      </c>
      <c r="Y354" s="8">
        <f t="shared" si="59"/>
        <v>0.83333333333333326</v>
      </c>
      <c r="Z354" s="14" t="str">
        <f t="shared" si="60"/>
        <v>ADEQUADA</v>
      </c>
      <c r="AA354" s="5">
        <v>1</v>
      </c>
      <c r="AB354" s="5">
        <v>1</v>
      </c>
      <c r="AC354" s="5">
        <v>1</v>
      </c>
      <c r="AD354" s="5">
        <v>0</v>
      </c>
      <c r="AE354" s="5">
        <v>0</v>
      </c>
      <c r="AF354" s="5">
        <v>1</v>
      </c>
      <c r="AG354" s="5">
        <v>1</v>
      </c>
      <c r="AH354" s="5">
        <v>1</v>
      </c>
      <c r="AI354" s="5">
        <v>0</v>
      </c>
      <c r="AJ354" s="5">
        <v>0</v>
      </c>
      <c r="AK354" s="5">
        <v>1</v>
      </c>
      <c r="AL354" s="5">
        <v>0</v>
      </c>
      <c r="AM354" s="5">
        <v>1</v>
      </c>
      <c r="AN354" s="5">
        <v>1</v>
      </c>
      <c r="AO354" s="5">
        <v>1</v>
      </c>
      <c r="AP354" s="5">
        <v>0</v>
      </c>
      <c r="AQ354" s="5">
        <v>1</v>
      </c>
      <c r="AR354" s="5">
        <v>1</v>
      </c>
      <c r="AS354" s="7">
        <f t="shared" si="65"/>
        <v>12</v>
      </c>
      <c r="AT354" s="8">
        <f t="shared" si="58"/>
        <v>0.66666666666666674</v>
      </c>
      <c r="AU354" s="14" t="str">
        <f t="shared" si="61"/>
        <v>INTERMEDIÁRIO</v>
      </c>
      <c r="AV354" s="7">
        <f t="shared" si="62"/>
        <v>27</v>
      </c>
      <c r="AW354" s="8">
        <f t="shared" si="63"/>
        <v>0.75</v>
      </c>
    </row>
    <row r="355" spans="1:49" ht="15.75" customHeight="1" x14ac:dyDescent="0.25">
      <c r="A355" s="5" t="s">
        <v>15</v>
      </c>
      <c r="B355" s="27" t="s">
        <v>1026</v>
      </c>
      <c r="C355" s="28" t="s">
        <v>1099</v>
      </c>
      <c r="D355" s="29" t="s">
        <v>1097</v>
      </c>
      <c r="E355" s="5" t="s">
        <v>1043</v>
      </c>
      <c r="F355" s="5">
        <v>1</v>
      </c>
      <c r="G355" s="5">
        <v>1</v>
      </c>
      <c r="H355" s="5">
        <v>1</v>
      </c>
      <c r="I355" s="5">
        <v>1</v>
      </c>
      <c r="J355" s="5">
        <v>1</v>
      </c>
      <c r="K355" s="5">
        <v>1</v>
      </c>
      <c r="L355" s="5">
        <v>0</v>
      </c>
      <c r="M355" s="5">
        <v>0</v>
      </c>
      <c r="N355" s="5">
        <v>1</v>
      </c>
      <c r="O355" s="5">
        <v>1</v>
      </c>
      <c r="P355" s="5">
        <v>1</v>
      </c>
      <c r="Q355" s="5">
        <v>0</v>
      </c>
      <c r="R355" s="5">
        <v>1</v>
      </c>
      <c r="S355" s="5">
        <v>1</v>
      </c>
      <c r="T355" s="5">
        <v>1</v>
      </c>
      <c r="U355" s="5">
        <v>1</v>
      </c>
      <c r="V355" s="5">
        <v>0</v>
      </c>
      <c r="W355" s="5">
        <v>0</v>
      </c>
      <c r="X355" s="7">
        <f t="shared" si="64"/>
        <v>13</v>
      </c>
      <c r="Y355" s="8">
        <f t="shared" si="59"/>
        <v>0.72222222222222232</v>
      </c>
      <c r="Z355" s="14" t="str">
        <f t="shared" si="60"/>
        <v>ADEQUADA</v>
      </c>
      <c r="AA355" s="5">
        <v>1</v>
      </c>
      <c r="AB355" s="5">
        <v>1</v>
      </c>
      <c r="AC355" s="5">
        <v>1</v>
      </c>
      <c r="AD355" s="5">
        <v>1</v>
      </c>
      <c r="AE355" s="5">
        <v>0</v>
      </c>
      <c r="AF355" s="5">
        <v>1</v>
      </c>
      <c r="AG355" s="5">
        <v>0</v>
      </c>
      <c r="AH355" s="5">
        <v>0</v>
      </c>
      <c r="AI355" s="5">
        <v>0</v>
      </c>
      <c r="AJ355" s="5">
        <v>0</v>
      </c>
      <c r="AK355" s="5">
        <v>1</v>
      </c>
      <c r="AL355" s="5">
        <v>1</v>
      </c>
      <c r="AM355" s="5">
        <v>1</v>
      </c>
      <c r="AN355" s="5">
        <v>1</v>
      </c>
      <c r="AO355" s="5">
        <v>0</v>
      </c>
      <c r="AP355" s="5">
        <v>0</v>
      </c>
      <c r="AQ355" s="5">
        <v>1</v>
      </c>
      <c r="AR355" s="5">
        <v>1</v>
      </c>
      <c r="AS355" s="7">
        <f t="shared" si="65"/>
        <v>11</v>
      </c>
      <c r="AT355" s="8">
        <f t="shared" si="58"/>
        <v>0.61111111111111116</v>
      </c>
      <c r="AU355" s="14" t="str">
        <f t="shared" si="61"/>
        <v>INTERMEDIÁRIO</v>
      </c>
      <c r="AV355" s="7">
        <f t="shared" si="62"/>
        <v>24</v>
      </c>
      <c r="AW355" s="8">
        <f t="shared" si="63"/>
        <v>0.66666666666666674</v>
      </c>
    </row>
    <row r="356" spans="1:49" ht="15.75" customHeight="1" x14ac:dyDescent="0.25">
      <c r="A356" s="4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7">
        <f t="shared" ref="V356:V370" si="66">SUM(D356:U356)</f>
        <v>0</v>
      </c>
      <c r="W356" s="8">
        <f t="shared" ref="W356:W370" si="67">((V356*100)/18)/100</f>
        <v>0</v>
      </c>
      <c r="X356" s="14" t="str">
        <f t="shared" ref="X356:X370" si="68">IF(W356&lt;0.4,"DEFASAGEM",IF(W356&lt;0.7,"INTERMEDIÁRIO","ADEQUADA"))</f>
        <v>DEFASAGEM</v>
      </c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7">
        <f t="shared" ref="AQ356:AQ370" si="69">SUM(Y356:AP356)</f>
        <v>0</v>
      </c>
      <c r="AR356" s="8">
        <f t="shared" ref="AR356:AR370" si="70">((AQ356*100)/18)/100</f>
        <v>0</v>
      </c>
      <c r="AS356" s="14" t="str">
        <f t="shared" ref="AS356:AS370" si="71">IF(AR356&lt;0.4,"DEFASAGEM",IF(AR356&lt;0.7,"INTERMEDIÁRIO","ADEQUADA"))</f>
        <v>DEFASAGEM</v>
      </c>
      <c r="AT356" s="7">
        <f t="shared" ref="AT356:AT370" si="72">SUM(D356:U356)+(SUM(Y356:AP356))</f>
        <v>0</v>
      </c>
      <c r="AU356" s="8">
        <f t="shared" ref="AU356:AU369" si="73">((AT356*100)/36)/100</f>
        <v>0</v>
      </c>
    </row>
    <row r="357" spans="1:49" ht="15.75" customHeight="1" x14ac:dyDescent="0.25">
      <c r="V357" s="7">
        <f t="shared" si="66"/>
        <v>0</v>
      </c>
      <c r="W357" s="8">
        <f t="shared" si="67"/>
        <v>0</v>
      </c>
      <c r="X357" s="14" t="str">
        <f t="shared" si="68"/>
        <v>DEFASAGEM</v>
      </c>
      <c r="AQ357" s="7">
        <f t="shared" si="69"/>
        <v>0</v>
      </c>
      <c r="AR357" s="8">
        <f t="shared" si="70"/>
        <v>0</v>
      </c>
      <c r="AS357" s="14" t="str">
        <f t="shared" si="71"/>
        <v>DEFASAGEM</v>
      </c>
      <c r="AT357" s="7">
        <f t="shared" si="72"/>
        <v>0</v>
      </c>
      <c r="AU357" s="8">
        <f t="shared" si="73"/>
        <v>0</v>
      </c>
    </row>
    <row r="358" spans="1:49" ht="15.75" customHeight="1" x14ac:dyDescent="0.25">
      <c r="V358" s="7">
        <f t="shared" si="66"/>
        <v>0</v>
      </c>
      <c r="W358" s="8">
        <f t="shared" si="67"/>
        <v>0</v>
      </c>
      <c r="X358" s="14" t="str">
        <f t="shared" si="68"/>
        <v>DEFASAGEM</v>
      </c>
      <c r="AQ358" s="7">
        <f t="shared" si="69"/>
        <v>0</v>
      </c>
      <c r="AR358" s="8">
        <f t="shared" si="70"/>
        <v>0</v>
      </c>
      <c r="AS358" s="14" t="str">
        <f t="shared" si="71"/>
        <v>DEFASAGEM</v>
      </c>
      <c r="AT358" s="7">
        <f t="shared" si="72"/>
        <v>0</v>
      </c>
      <c r="AU358" s="8">
        <f t="shared" si="73"/>
        <v>0</v>
      </c>
    </row>
    <row r="359" spans="1:49" ht="15.75" customHeight="1" x14ac:dyDescent="0.25">
      <c r="V359" s="7">
        <f t="shared" si="66"/>
        <v>0</v>
      </c>
      <c r="W359" s="8">
        <f t="shared" si="67"/>
        <v>0</v>
      </c>
      <c r="X359" s="14" t="str">
        <f t="shared" si="68"/>
        <v>DEFASAGEM</v>
      </c>
      <c r="AQ359" s="7">
        <f t="shared" si="69"/>
        <v>0</v>
      </c>
      <c r="AR359" s="8">
        <f t="shared" si="70"/>
        <v>0</v>
      </c>
      <c r="AS359" s="14" t="str">
        <f t="shared" si="71"/>
        <v>DEFASAGEM</v>
      </c>
      <c r="AT359" s="7">
        <f t="shared" si="72"/>
        <v>0</v>
      </c>
      <c r="AU359" s="8">
        <f t="shared" si="73"/>
        <v>0</v>
      </c>
    </row>
    <row r="360" spans="1:49" ht="15.75" customHeight="1" x14ac:dyDescent="0.25">
      <c r="V360" s="7">
        <f t="shared" si="66"/>
        <v>0</v>
      </c>
      <c r="W360" s="8">
        <f t="shared" si="67"/>
        <v>0</v>
      </c>
      <c r="X360" s="14" t="str">
        <f t="shared" si="68"/>
        <v>DEFASAGEM</v>
      </c>
      <c r="AQ360" s="7">
        <f t="shared" si="69"/>
        <v>0</v>
      </c>
      <c r="AR360" s="8">
        <f t="shared" si="70"/>
        <v>0</v>
      </c>
      <c r="AS360" s="14" t="str">
        <f t="shared" si="71"/>
        <v>DEFASAGEM</v>
      </c>
      <c r="AT360" s="7">
        <f t="shared" si="72"/>
        <v>0</v>
      </c>
      <c r="AU360" s="8">
        <f t="shared" si="73"/>
        <v>0</v>
      </c>
    </row>
    <row r="361" spans="1:49" ht="15.75" customHeight="1" x14ac:dyDescent="0.25">
      <c r="V361" s="7">
        <f t="shared" si="66"/>
        <v>0</v>
      </c>
      <c r="W361" s="8">
        <f t="shared" si="67"/>
        <v>0</v>
      </c>
      <c r="X361" s="14" t="str">
        <f t="shared" si="68"/>
        <v>DEFASAGEM</v>
      </c>
      <c r="AQ361" s="7">
        <f t="shared" si="69"/>
        <v>0</v>
      </c>
      <c r="AR361" s="8">
        <f t="shared" si="70"/>
        <v>0</v>
      </c>
      <c r="AS361" s="14" t="str">
        <f t="shared" si="71"/>
        <v>DEFASAGEM</v>
      </c>
      <c r="AT361" s="7">
        <f t="shared" si="72"/>
        <v>0</v>
      </c>
      <c r="AU361" s="8">
        <f t="shared" si="73"/>
        <v>0</v>
      </c>
    </row>
    <row r="362" spans="1:49" ht="15.75" customHeight="1" x14ac:dyDescent="0.25">
      <c r="V362" s="7">
        <f t="shared" si="66"/>
        <v>0</v>
      </c>
      <c r="W362" s="8">
        <f t="shared" si="67"/>
        <v>0</v>
      </c>
      <c r="X362" s="14" t="str">
        <f t="shared" si="68"/>
        <v>DEFASAGEM</v>
      </c>
      <c r="AQ362" s="7">
        <f t="shared" si="69"/>
        <v>0</v>
      </c>
      <c r="AR362" s="8">
        <f t="shared" si="70"/>
        <v>0</v>
      </c>
      <c r="AS362" s="14" t="str">
        <f t="shared" si="71"/>
        <v>DEFASAGEM</v>
      </c>
      <c r="AT362" s="7">
        <f t="shared" si="72"/>
        <v>0</v>
      </c>
      <c r="AU362" s="8">
        <f t="shared" si="73"/>
        <v>0</v>
      </c>
    </row>
    <row r="363" spans="1:49" ht="15.75" customHeight="1" x14ac:dyDescent="0.25">
      <c r="V363" s="7">
        <f t="shared" si="66"/>
        <v>0</v>
      </c>
      <c r="W363" s="8">
        <f t="shared" si="67"/>
        <v>0</v>
      </c>
      <c r="X363" s="14" t="str">
        <f t="shared" si="68"/>
        <v>DEFASAGEM</v>
      </c>
      <c r="AQ363" s="7">
        <f t="shared" si="69"/>
        <v>0</v>
      </c>
      <c r="AR363" s="8">
        <f t="shared" si="70"/>
        <v>0</v>
      </c>
      <c r="AS363" s="14" t="str">
        <f t="shared" si="71"/>
        <v>DEFASAGEM</v>
      </c>
      <c r="AT363" s="7">
        <f t="shared" si="72"/>
        <v>0</v>
      </c>
      <c r="AU363" s="8">
        <f t="shared" si="73"/>
        <v>0</v>
      </c>
    </row>
    <row r="364" spans="1:49" ht="15.75" customHeight="1" x14ac:dyDescent="0.25">
      <c r="V364" s="7">
        <f t="shared" si="66"/>
        <v>0</v>
      </c>
      <c r="W364" s="8">
        <f t="shared" si="67"/>
        <v>0</v>
      </c>
      <c r="X364" s="14" t="str">
        <f t="shared" si="68"/>
        <v>DEFASAGEM</v>
      </c>
      <c r="AQ364" s="7">
        <f t="shared" si="69"/>
        <v>0</v>
      </c>
      <c r="AR364" s="8">
        <f t="shared" si="70"/>
        <v>0</v>
      </c>
      <c r="AS364" s="14" t="str">
        <f t="shared" si="71"/>
        <v>DEFASAGEM</v>
      </c>
      <c r="AT364" s="7">
        <f t="shared" si="72"/>
        <v>0</v>
      </c>
      <c r="AU364" s="8">
        <f t="shared" si="73"/>
        <v>0</v>
      </c>
    </row>
    <row r="365" spans="1:49" ht="15.75" customHeight="1" x14ac:dyDescent="0.25">
      <c r="V365" s="7">
        <f t="shared" si="66"/>
        <v>0</v>
      </c>
      <c r="W365" s="8">
        <f t="shared" si="67"/>
        <v>0</v>
      </c>
      <c r="X365" s="14" t="str">
        <f t="shared" si="68"/>
        <v>DEFASAGEM</v>
      </c>
      <c r="AQ365" s="7">
        <f t="shared" si="69"/>
        <v>0</v>
      </c>
      <c r="AR365" s="8">
        <f t="shared" si="70"/>
        <v>0</v>
      </c>
      <c r="AS365" s="14" t="str">
        <f t="shared" si="71"/>
        <v>DEFASAGEM</v>
      </c>
      <c r="AT365" s="7">
        <f t="shared" si="72"/>
        <v>0</v>
      </c>
      <c r="AU365" s="8">
        <f t="shared" si="73"/>
        <v>0</v>
      </c>
    </row>
    <row r="366" spans="1:49" ht="15.75" customHeight="1" x14ac:dyDescent="0.25">
      <c r="V366" s="7">
        <f t="shared" si="66"/>
        <v>0</v>
      </c>
      <c r="W366" s="8">
        <f t="shared" si="67"/>
        <v>0</v>
      </c>
      <c r="X366" s="14" t="str">
        <f t="shared" si="68"/>
        <v>DEFASAGEM</v>
      </c>
      <c r="AQ366" s="7">
        <f t="shared" si="69"/>
        <v>0</v>
      </c>
      <c r="AR366" s="8">
        <f t="shared" si="70"/>
        <v>0</v>
      </c>
      <c r="AS366" s="14" t="str">
        <f t="shared" si="71"/>
        <v>DEFASAGEM</v>
      </c>
      <c r="AT366" s="7">
        <f t="shared" si="72"/>
        <v>0</v>
      </c>
      <c r="AU366" s="8">
        <f t="shared" si="73"/>
        <v>0</v>
      </c>
    </row>
    <row r="367" spans="1:49" ht="15.75" customHeight="1" x14ac:dyDescent="0.25">
      <c r="V367" s="7">
        <f t="shared" si="66"/>
        <v>0</v>
      </c>
      <c r="W367" s="8">
        <f t="shared" si="67"/>
        <v>0</v>
      </c>
      <c r="X367" s="14" t="str">
        <f t="shared" si="68"/>
        <v>DEFASAGEM</v>
      </c>
      <c r="AQ367" s="7">
        <f t="shared" si="69"/>
        <v>0</v>
      </c>
      <c r="AR367" s="8">
        <f t="shared" si="70"/>
        <v>0</v>
      </c>
      <c r="AS367" s="14" t="str">
        <f t="shared" si="71"/>
        <v>DEFASAGEM</v>
      </c>
      <c r="AT367" s="7">
        <f t="shared" si="72"/>
        <v>0</v>
      </c>
      <c r="AU367" s="8">
        <f t="shared" si="73"/>
        <v>0</v>
      </c>
    </row>
    <row r="368" spans="1:49" ht="15.75" customHeight="1" x14ac:dyDescent="0.25">
      <c r="V368" s="7">
        <f t="shared" si="66"/>
        <v>0</v>
      </c>
      <c r="W368" s="8">
        <f t="shared" si="67"/>
        <v>0</v>
      </c>
      <c r="X368" s="14" t="str">
        <f t="shared" si="68"/>
        <v>DEFASAGEM</v>
      </c>
      <c r="AQ368" s="7">
        <f t="shared" si="69"/>
        <v>0</v>
      </c>
      <c r="AR368" s="8">
        <f t="shared" si="70"/>
        <v>0</v>
      </c>
      <c r="AS368" s="14" t="str">
        <f t="shared" si="71"/>
        <v>DEFASAGEM</v>
      </c>
      <c r="AT368" s="7">
        <f t="shared" si="72"/>
        <v>0</v>
      </c>
      <c r="AU368" s="8">
        <f t="shared" si="73"/>
        <v>0</v>
      </c>
    </row>
    <row r="369" spans="22:47" ht="15.75" customHeight="1" x14ac:dyDescent="0.25">
      <c r="V369" s="7">
        <f t="shared" si="66"/>
        <v>0</v>
      </c>
      <c r="W369" s="8">
        <f t="shared" si="67"/>
        <v>0</v>
      </c>
      <c r="X369" s="14" t="str">
        <f t="shared" si="68"/>
        <v>DEFASAGEM</v>
      </c>
      <c r="AQ369" s="7">
        <f t="shared" si="69"/>
        <v>0</v>
      </c>
      <c r="AR369" s="8">
        <f t="shared" si="70"/>
        <v>0</v>
      </c>
      <c r="AS369" s="14" t="str">
        <f t="shared" si="71"/>
        <v>DEFASAGEM</v>
      </c>
      <c r="AT369" s="7">
        <f t="shared" si="72"/>
        <v>0</v>
      </c>
      <c r="AU369" s="8">
        <f t="shared" si="73"/>
        <v>0</v>
      </c>
    </row>
    <row r="370" spans="22:47" ht="15.75" customHeight="1" x14ac:dyDescent="0.25">
      <c r="V370" s="7">
        <f t="shared" si="66"/>
        <v>0</v>
      </c>
      <c r="W370" s="8">
        <f t="shared" si="67"/>
        <v>0</v>
      </c>
      <c r="X370" s="14" t="str">
        <f t="shared" si="68"/>
        <v>DEFASAGEM</v>
      </c>
      <c r="AQ370" s="7">
        <f t="shared" si="69"/>
        <v>0</v>
      </c>
      <c r="AR370" s="8">
        <f t="shared" si="70"/>
        <v>0</v>
      </c>
      <c r="AS370" s="14" t="str">
        <f t="shared" si="71"/>
        <v>DEFASAGEM</v>
      </c>
      <c r="AT370" s="7">
        <f t="shared" si="72"/>
        <v>0</v>
      </c>
      <c r="AU370" s="8">
        <f t="shared" ref="AU370:AU395" si="74">((AT370*100)/36)/100</f>
        <v>0</v>
      </c>
    </row>
    <row r="371" spans="22:47" ht="15.75" customHeight="1" x14ac:dyDescent="0.25">
      <c r="V371" s="7">
        <f t="shared" ref="V371:V395" si="75">SUM(D371:U371)</f>
        <v>0</v>
      </c>
      <c r="W371" s="8">
        <f t="shared" ref="W371:W395" si="76">((V371*100)/18)/100</f>
        <v>0</v>
      </c>
      <c r="X371" s="14" t="str">
        <f t="shared" ref="X371:X395" si="77">IF(W371&lt;0.4,"DEFASAGEM",IF(W371&lt;0.7,"INTERMEDIÁRIO","ADEQUADA"))</f>
        <v>DEFASAGEM</v>
      </c>
      <c r="AQ371" s="7">
        <f t="shared" ref="AQ371:AQ395" si="78">SUM(Y371:AP371)</f>
        <v>0</v>
      </c>
      <c r="AR371" s="8">
        <f t="shared" ref="AR371:AR395" si="79">((AQ371*100)/18)/100</f>
        <v>0</v>
      </c>
      <c r="AS371" s="14" t="str">
        <f t="shared" ref="AS371:AS395" si="80">IF(AR371&lt;0.4,"DEFASAGEM",IF(AR371&lt;0.7,"INTERMEDIÁRIO","ADEQUADA"))</f>
        <v>DEFASAGEM</v>
      </c>
      <c r="AT371" s="7">
        <f t="shared" ref="AT371:AT395" si="81">SUM(D371:U371)+(SUM(Y371:AP371))</f>
        <v>0</v>
      </c>
      <c r="AU371" s="8">
        <f t="shared" si="74"/>
        <v>0</v>
      </c>
    </row>
    <row r="372" spans="22:47" ht="15.75" customHeight="1" x14ac:dyDescent="0.25">
      <c r="V372" s="7">
        <f t="shared" si="75"/>
        <v>0</v>
      </c>
      <c r="W372" s="8">
        <f t="shared" si="76"/>
        <v>0</v>
      </c>
      <c r="X372" s="14" t="str">
        <f t="shared" si="77"/>
        <v>DEFASAGEM</v>
      </c>
      <c r="AQ372" s="7">
        <f t="shared" si="78"/>
        <v>0</v>
      </c>
      <c r="AR372" s="8">
        <f t="shared" si="79"/>
        <v>0</v>
      </c>
      <c r="AS372" s="14" t="str">
        <f t="shared" si="80"/>
        <v>DEFASAGEM</v>
      </c>
      <c r="AT372" s="7">
        <f t="shared" si="81"/>
        <v>0</v>
      </c>
      <c r="AU372" s="8">
        <f t="shared" si="74"/>
        <v>0</v>
      </c>
    </row>
    <row r="373" spans="22:47" ht="15.75" customHeight="1" x14ac:dyDescent="0.25">
      <c r="V373" s="7">
        <f t="shared" si="75"/>
        <v>0</v>
      </c>
      <c r="W373" s="8">
        <f t="shared" si="76"/>
        <v>0</v>
      </c>
      <c r="X373" s="14" t="str">
        <f t="shared" si="77"/>
        <v>DEFASAGEM</v>
      </c>
      <c r="AQ373" s="7">
        <f t="shared" si="78"/>
        <v>0</v>
      </c>
      <c r="AR373" s="8">
        <f t="shared" si="79"/>
        <v>0</v>
      </c>
      <c r="AS373" s="14" t="str">
        <f t="shared" si="80"/>
        <v>DEFASAGEM</v>
      </c>
      <c r="AT373" s="7">
        <f t="shared" si="81"/>
        <v>0</v>
      </c>
      <c r="AU373" s="8">
        <f t="shared" si="74"/>
        <v>0</v>
      </c>
    </row>
    <row r="374" spans="22:47" ht="15.75" customHeight="1" x14ac:dyDescent="0.25">
      <c r="V374" s="7">
        <f t="shared" si="75"/>
        <v>0</v>
      </c>
      <c r="W374" s="8">
        <f t="shared" si="76"/>
        <v>0</v>
      </c>
      <c r="X374" s="14" t="str">
        <f t="shared" si="77"/>
        <v>DEFASAGEM</v>
      </c>
      <c r="AQ374" s="7">
        <f t="shared" si="78"/>
        <v>0</v>
      </c>
      <c r="AR374" s="8">
        <f t="shared" si="79"/>
        <v>0</v>
      </c>
      <c r="AS374" s="14" t="str">
        <f t="shared" si="80"/>
        <v>DEFASAGEM</v>
      </c>
      <c r="AT374" s="7">
        <f t="shared" si="81"/>
        <v>0</v>
      </c>
      <c r="AU374" s="8">
        <f t="shared" si="74"/>
        <v>0</v>
      </c>
    </row>
    <row r="375" spans="22:47" ht="15.75" customHeight="1" x14ac:dyDescent="0.25">
      <c r="V375" s="7">
        <f t="shared" si="75"/>
        <v>0</v>
      </c>
      <c r="W375" s="8">
        <f t="shared" si="76"/>
        <v>0</v>
      </c>
      <c r="X375" s="14" t="str">
        <f t="shared" si="77"/>
        <v>DEFASAGEM</v>
      </c>
      <c r="AQ375" s="7">
        <f t="shared" si="78"/>
        <v>0</v>
      </c>
      <c r="AR375" s="8">
        <f t="shared" si="79"/>
        <v>0</v>
      </c>
      <c r="AS375" s="14" t="str">
        <f t="shared" si="80"/>
        <v>DEFASAGEM</v>
      </c>
      <c r="AT375" s="7">
        <f t="shared" si="81"/>
        <v>0</v>
      </c>
      <c r="AU375" s="8">
        <f t="shared" si="74"/>
        <v>0</v>
      </c>
    </row>
    <row r="376" spans="22:47" ht="15.75" customHeight="1" x14ac:dyDescent="0.25">
      <c r="V376" s="7">
        <f t="shared" si="75"/>
        <v>0</v>
      </c>
      <c r="W376" s="8">
        <f t="shared" si="76"/>
        <v>0</v>
      </c>
      <c r="X376" s="14" t="str">
        <f t="shared" si="77"/>
        <v>DEFASAGEM</v>
      </c>
      <c r="AQ376" s="7">
        <f t="shared" si="78"/>
        <v>0</v>
      </c>
      <c r="AR376" s="8">
        <f t="shared" si="79"/>
        <v>0</v>
      </c>
      <c r="AS376" s="14" t="str">
        <f t="shared" si="80"/>
        <v>DEFASAGEM</v>
      </c>
      <c r="AT376" s="7">
        <f t="shared" si="81"/>
        <v>0</v>
      </c>
      <c r="AU376" s="8">
        <f t="shared" si="74"/>
        <v>0</v>
      </c>
    </row>
    <row r="377" spans="22:47" ht="15.75" customHeight="1" x14ac:dyDescent="0.25">
      <c r="V377" s="7">
        <f t="shared" si="75"/>
        <v>0</v>
      </c>
      <c r="W377" s="8">
        <f t="shared" si="76"/>
        <v>0</v>
      </c>
      <c r="X377" s="14" t="str">
        <f t="shared" si="77"/>
        <v>DEFASAGEM</v>
      </c>
      <c r="AQ377" s="7">
        <f t="shared" si="78"/>
        <v>0</v>
      </c>
      <c r="AR377" s="8">
        <f t="shared" si="79"/>
        <v>0</v>
      </c>
      <c r="AS377" s="14" t="str">
        <f t="shared" si="80"/>
        <v>DEFASAGEM</v>
      </c>
      <c r="AT377" s="7">
        <f t="shared" si="81"/>
        <v>0</v>
      </c>
      <c r="AU377" s="8">
        <f t="shared" si="74"/>
        <v>0</v>
      </c>
    </row>
    <row r="378" spans="22:47" ht="15.75" customHeight="1" x14ac:dyDescent="0.25">
      <c r="V378" s="7">
        <f t="shared" si="75"/>
        <v>0</v>
      </c>
      <c r="W378" s="8">
        <f t="shared" si="76"/>
        <v>0</v>
      </c>
      <c r="X378" s="14" t="str">
        <f t="shared" si="77"/>
        <v>DEFASAGEM</v>
      </c>
      <c r="AQ378" s="7">
        <f t="shared" si="78"/>
        <v>0</v>
      </c>
      <c r="AR378" s="8">
        <f t="shared" si="79"/>
        <v>0</v>
      </c>
      <c r="AS378" s="14" t="str">
        <f t="shared" si="80"/>
        <v>DEFASAGEM</v>
      </c>
      <c r="AT378" s="7">
        <f t="shared" si="81"/>
        <v>0</v>
      </c>
      <c r="AU378" s="8">
        <f t="shared" si="74"/>
        <v>0</v>
      </c>
    </row>
    <row r="379" spans="22:47" ht="15.75" customHeight="1" x14ac:dyDescent="0.25">
      <c r="V379" s="7">
        <f t="shared" si="75"/>
        <v>0</v>
      </c>
      <c r="W379" s="8">
        <f t="shared" si="76"/>
        <v>0</v>
      </c>
      <c r="X379" s="14" t="str">
        <f t="shared" si="77"/>
        <v>DEFASAGEM</v>
      </c>
      <c r="AQ379" s="7">
        <f t="shared" si="78"/>
        <v>0</v>
      </c>
      <c r="AR379" s="8">
        <f t="shared" si="79"/>
        <v>0</v>
      </c>
      <c r="AS379" s="14" t="str">
        <f t="shared" si="80"/>
        <v>DEFASAGEM</v>
      </c>
      <c r="AT379" s="7">
        <f t="shared" si="81"/>
        <v>0</v>
      </c>
      <c r="AU379" s="8">
        <f t="shared" si="74"/>
        <v>0</v>
      </c>
    </row>
    <row r="380" spans="22:47" ht="15.75" customHeight="1" x14ac:dyDescent="0.25">
      <c r="V380" s="7">
        <f t="shared" si="75"/>
        <v>0</v>
      </c>
      <c r="W380" s="8">
        <f t="shared" si="76"/>
        <v>0</v>
      </c>
      <c r="X380" s="14" t="str">
        <f t="shared" si="77"/>
        <v>DEFASAGEM</v>
      </c>
      <c r="AQ380" s="7">
        <f t="shared" si="78"/>
        <v>0</v>
      </c>
      <c r="AR380" s="8">
        <f t="shared" si="79"/>
        <v>0</v>
      </c>
      <c r="AS380" s="14" t="str">
        <f t="shared" si="80"/>
        <v>DEFASAGEM</v>
      </c>
      <c r="AT380" s="7">
        <f t="shared" si="81"/>
        <v>0</v>
      </c>
      <c r="AU380" s="8">
        <f t="shared" si="74"/>
        <v>0</v>
      </c>
    </row>
    <row r="381" spans="22:47" ht="15.75" customHeight="1" x14ac:dyDescent="0.25">
      <c r="V381" s="7">
        <f t="shared" si="75"/>
        <v>0</v>
      </c>
      <c r="W381" s="8">
        <f t="shared" si="76"/>
        <v>0</v>
      </c>
      <c r="X381" s="14" t="str">
        <f t="shared" si="77"/>
        <v>DEFASAGEM</v>
      </c>
      <c r="AQ381" s="7">
        <f t="shared" si="78"/>
        <v>0</v>
      </c>
      <c r="AR381" s="8">
        <f t="shared" si="79"/>
        <v>0</v>
      </c>
      <c r="AS381" s="14" t="str">
        <f t="shared" si="80"/>
        <v>DEFASAGEM</v>
      </c>
      <c r="AT381" s="7">
        <f t="shared" si="81"/>
        <v>0</v>
      </c>
      <c r="AU381" s="8">
        <f t="shared" si="74"/>
        <v>0</v>
      </c>
    </row>
    <row r="382" spans="22:47" ht="15.75" customHeight="1" x14ac:dyDescent="0.25">
      <c r="V382" s="7">
        <f t="shared" si="75"/>
        <v>0</v>
      </c>
      <c r="W382" s="8">
        <f t="shared" si="76"/>
        <v>0</v>
      </c>
      <c r="X382" s="14" t="str">
        <f t="shared" si="77"/>
        <v>DEFASAGEM</v>
      </c>
      <c r="AQ382" s="7">
        <f t="shared" si="78"/>
        <v>0</v>
      </c>
      <c r="AR382" s="8">
        <f t="shared" si="79"/>
        <v>0</v>
      </c>
      <c r="AS382" s="14" t="str">
        <f t="shared" si="80"/>
        <v>DEFASAGEM</v>
      </c>
      <c r="AT382" s="7">
        <f t="shared" si="81"/>
        <v>0</v>
      </c>
      <c r="AU382" s="8">
        <f t="shared" si="74"/>
        <v>0</v>
      </c>
    </row>
    <row r="383" spans="22:47" ht="15.75" customHeight="1" x14ac:dyDescent="0.25">
      <c r="V383" s="7">
        <f t="shared" si="75"/>
        <v>0</v>
      </c>
      <c r="W383" s="8">
        <f t="shared" si="76"/>
        <v>0</v>
      </c>
      <c r="X383" s="14" t="str">
        <f t="shared" si="77"/>
        <v>DEFASAGEM</v>
      </c>
      <c r="AQ383" s="7">
        <f t="shared" si="78"/>
        <v>0</v>
      </c>
      <c r="AR383" s="8">
        <f t="shared" si="79"/>
        <v>0</v>
      </c>
      <c r="AS383" s="14" t="str">
        <f t="shared" si="80"/>
        <v>DEFASAGEM</v>
      </c>
      <c r="AT383" s="7">
        <f t="shared" si="81"/>
        <v>0</v>
      </c>
      <c r="AU383" s="8">
        <f t="shared" si="74"/>
        <v>0</v>
      </c>
    </row>
    <row r="384" spans="22:47" ht="15.75" customHeight="1" x14ac:dyDescent="0.25">
      <c r="V384" s="7">
        <f t="shared" si="75"/>
        <v>0</v>
      </c>
      <c r="W384" s="8">
        <f t="shared" si="76"/>
        <v>0</v>
      </c>
      <c r="X384" s="14" t="str">
        <f t="shared" si="77"/>
        <v>DEFASAGEM</v>
      </c>
      <c r="AQ384" s="7">
        <f t="shared" si="78"/>
        <v>0</v>
      </c>
      <c r="AR384" s="8">
        <f t="shared" si="79"/>
        <v>0</v>
      </c>
      <c r="AS384" s="14" t="str">
        <f t="shared" si="80"/>
        <v>DEFASAGEM</v>
      </c>
      <c r="AT384" s="7">
        <f t="shared" si="81"/>
        <v>0</v>
      </c>
      <c r="AU384" s="8">
        <f t="shared" si="74"/>
        <v>0</v>
      </c>
    </row>
    <row r="385" spans="22:47" ht="15.75" customHeight="1" x14ac:dyDescent="0.25">
      <c r="V385" s="7">
        <f t="shared" si="75"/>
        <v>0</v>
      </c>
      <c r="W385" s="8">
        <f t="shared" si="76"/>
        <v>0</v>
      </c>
      <c r="X385" s="14" t="str">
        <f t="shared" si="77"/>
        <v>DEFASAGEM</v>
      </c>
      <c r="AQ385" s="7">
        <f t="shared" si="78"/>
        <v>0</v>
      </c>
      <c r="AR385" s="8">
        <f t="shared" si="79"/>
        <v>0</v>
      </c>
      <c r="AS385" s="14" t="str">
        <f t="shared" si="80"/>
        <v>DEFASAGEM</v>
      </c>
      <c r="AT385" s="7">
        <f t="shared" si="81"/>
        <v>0</v>
      </c>
      <c r="AU385" s="8">
        <f t="shared" si="74"/>
        <v>0</v>
      </c>
    </row>
    <row r="386" spans="22:47" ht="15.75" customHeight="1" x14ac:dyDescent="0.25">
      <c r="V386" s="7">
        <f t="shared" si="75"/>
        <v>0</v>
      </c>
      <c r="W386" s="8">
        <f t="shared" si="76"/>
        <v>0</v>
      </c>
      <c r="X386" s="14" t="str">
        <f t="shared" si="77"/>
        <v>DEFASAGEM</v>
      </c>
      <c r="AQ386" s="7">
        <f t="shared" si="78"/>
        <v>0</v>
      </c>
      <c r="AR386" s="8">
        <f t="shared" si="79"/>
        <v>0</v>
      </c>
      <c r="AS386" s="14" t="str">
        <f t="shared" si="80"/>
        <v>DEFASAGEM</v>
      </c>
      <c r="AT386" s="7">
        <f t="shared" si="81"/>
        <v>0</v>
      </c>
      <c r="AU386" s="8">
        <f t="shared" si="74"/>
        <v>0</v>
      </c>
    </row>
    <row r="387" spans="22:47" ht="15.75" customHeight="1" x14ac:dyDescent="0.25">
      <c r="V387" s="7">
        <f t="shared" si="75"/>
        <v>0</v>
      </c>
      <c r="W387" s="8">
        <f t="shared" si="76"/>
        <v>0</v>
      </c>
      <c r="X387" s="14" t="str">
        <f t="shared" si="77"/>
        <v>DEFASAGEM</v>
      </c>
      <c r="AQ387" s="7">
        <f t="shared" si="78"/>
        <v>0</v>
      </c>
      <c r="AR387" s="8">
        <f t="shared" si="79"/>
        <v>0</v>
      </c>
      <c r="AS387" s="14" t="str">
        <f t="shared" si="80"/>
        <v>DEFASAGEM</v>
      </c>
      <c r="AT387" s="7">
        <f t="shared" si="81"/>
        <v>0</v>
      </c>
      <c r="AU387" s="8">
        <f t="shared" si="74"/>
        <v>0</v>
      </c>
    </row>
    <row r="388" spans="22:47" ht="15.75" customHeight="1" x14ac:dyDescent="0.25">
      <c r="V388" s="7">
        <f t="shared" si="75"/>
        <v>0</v>
      </c>
      <c r="W388" s="8">
        <f t="shared" si="76"/>
        <v>0</v>
      </c>
      <c r="X388" s="14" t="str">
        <f t="shared" si="77"/>
        <v>DEFASAGEM</v>
      </c>
      <c r="AQ388" s="7">
        <f t="shared" si="78"/>
        <v>0</v>
      </c>
      <c r="AR388" s="8">
        <f t="shared" si="79"/>
        <v>0</v>
      </c>
      <c r="AS388" s="14" t="str">
        <f t="shared" si="80"/>
        <v>DEFASAGEM</v>
      </c>
      <c r="AT388" s="7">
        <f t="shared" si="81"/>
        <v>0</v>
      </c>
      <c r="AU388" s="8">
        <f t="shared" si="74"/>
        <v>0</v>
      </c>
    </row>
    <row r="389" spans="22:47" ht="15.75" customHeight="1" x14ac:dyDescent="0.25">
      <c r="V389" s="7">
        <f t="shared" si="75"/>
        <v>0</v>
      </c>
      <c r="W389" s="8">
        <f t="shared" si="76"/>
        <v>0</v>
      </c>
      <c r="X389" s="14" t="str">
        <f t="shared" si="77"/>
        <v>DEFASAGEM</v>
      </c>
      <c r="AQ389" s="7">
        <f t="shared" si="78"/>
        <v>0</v>
      </c>
      <c r="AR389" s="8">
        <f t="shared" si="79"/>
        <v>0</v>
      </c>
      <c r="AS389" s="14" t="str">
        <f t="shared" si="80"/>
        <v>DEFASAGEM</v>
      </c>
      <c r="AT389" s="7">
        <f t="shared" si="81"/>
        <v>0</v>
      </c>
      <c r="AU389" s="8">
        <f t="shared" si="74"/>
        <v>0</v>
      </c>
    </row>
    <row r="390" spans="22:47" ht="15.75" customHeight="1" x14ac:dyDescent="0.25">
      <c r="V390" s="7">
        <f t="shared" si="75"/>
        <v>0</v>
      </c>
      <c r="W390" s="8">
        <f t="shared" si="76"/>
        <v>0</v>
      </c>
      <c r="X390" s="14" t="str">
        <f t="shared" si="77"/>
        <v>DEFASAGEM</v>
      </c>
      <c r="AQ390" s="7">
        <f t="shared" si="78"/>
        <v>0</v>
      </c>
      <c r="AR390" s="8">
        <f t="shared" si="79"/>
        <v>0</v>
      </c>
      <c r="AS390" s="14" t="str">
        <f t="shared" si="80"/>
        <v>DEFASAGEM</v>
      </c>
      <c r="AT390" s="7">
        <f t="shared" si="81"/>
        <v>0</v>
      </c>
      <c r="AU390" s="8">
        <f t="shared" si="74"/>
        <v>0</v>
      </c>
    </row>
    <row r="391" spans="22:47" ht="15.75" customHeight="1" x14ac:dyDescent="0.25">
      <c r="V391" s="7">
        <f t="shared" si="75"/>
        <v>0</v>
      </c>
      <c r="W391" s="8">
        <f t="shared" si="76"/>
        <v>0</v>
      </c>
      <c r="X391" s="14" t="str">
        <f t="shared" si="77"/>
        <v>DEFASAGEM</v>
      </c>
      <c r="AQ391" s="7">
        <f t="shared" si="78"/>
        <v>0</v>
      </c>
      <c r="AR391" s="8">
        <f t="shared" si="79"/>
        <v>0</v>
      </c>
      <c r="AS391" s="14" t="str">
        <f t="shared" si="80"/>
        <v>DEFASAGEM</v>
      </c>
      <c r="AT391" s="7">
        <f t="shared" si="81"/>
        <v>0</v>
      </c>
      <c r="AU391" s="8">
        <f t="shared" si="74"/>
        <v>0</v>
      </c>
    </row>
    <row r="392" spans="22:47" ht="15.75" customHeight="1" x14ac:dyDescent="0.25">
      <c r="V392" s="7">
        <f t="shared" si="75"/>
        <v>0</v>
      </c>
      <c r="W392" s="8">
        <f t="shared" si="76"/>
        <v>0</v>
      </c>
      <c r="X392" s="14" t="str">
        <f t="shared" si="77"/>
        <v>DEFASAGEM</v>
      </c>
      <c r="AQ392" s="7">
        <f t="shared" si="78"/>
        <v>0</v>
      </c>
      <c r="AR392" s="8">
        <f t="shared" si="79"/>
        <v>0</v>
      </c>
      <c r="AS392" s="14" t="str">
        <f t="shared" si="80"/>
        <v>DEFASAGEM</v>
      </c>
      <c r="AT392" s="7">
        <f t="shared" si="81"/>
        <v>0</v>
      </c>
      <c r="AU392" s="8">
        <f t="shared" si="74"/>
        <v>0</v>
      </c>
    </row>
    <row r="393" spans="22:47" ht="15.75" customHeight="1" x14ac:dyDescent="0.25">
      <c r="V393" s="7">
        <f t="shared" si="75"/>
        <v>0</v>
      </c>
      <c r="W393" s="8">
        <f t="shared" si="76"/>
        <v>0</v>
      </c>
      <c r="X393" s="14" t="str">
        <f t="shared" si="77"/>
        <v>DEFASAGEM</v>
      </c>
      <c r="AQ393" s="7">
        <f t="shared" si="78"/>
        <v>0</v>
      </c>
      <c r="AR393" s="8">
        <f t="shared" si="79"/>
        <v>0</v>
      </c>
      <c r="AS393" s="14" t="str">
        <f t="shared" si="80"/>
        <v>DEFASAGEM</v>
      </c>
      <c r="AT393" s="7">
        <f t="shared" si="81"/>
        <v>0</v>
      </c>
      <c r="AU393" s="8">
        <f t="shared" si="74"/>
        <v>0</v>
      </c>
    </row>
    <row r="394" spans="22:47" ht="15.75" customHeight="1" x14ac:dyDescent="0.25">
      <c r="V394" s="7">
        <f t="shared" si="75"/>
        <v>0</v>
      </c>
      <c r="W394" s="8">
        <f t="shared" si="76"/>
        <v>0</v>
      </c>
      <c r="X394" s="14" t="str">
        <f t="shared" si="77"/>
        <v>DEFASAGEM</v>
      </c>
      <c r="AQ394" s="7">
        <f t="shared" si="78"/>
        <v>0</v>
      </c>
      <c r="AR394" s="8">
        <f t="shared" si="79"/>
        <v>0</v>
      </c>
      <c r="AS394" s="14" t="str">
        <f t="shared" si="80"/>
        <v>DEFASAGEM</v>
      </c>
      <c r="AT394" s="7">
        <f t="shared" si="81"/>
        <v>0</v>
      </c>
      <c r="AU394" s="8">
        <f t="shared" si="74"/>
        <v>0</v>
      </c>
    </row>
    <row r="395" spans="22:47" ht="15.75" customHeight="1" x14ac:dyDescent="0.25">
      <c r="V395" s="7">
        <f t="shared" si="75"/>
        <v>0</v>
      </c>
      <c r="W395" s="8">
        <f t="shared" si="76"/>
        <v>0</v>
      </c>
      <c r="X395" s="14" t="str">
        <f t="shared" si="77"/>
        <v>DEFASAGEM</v>
      </c>
      <c r="AQ395" s="7">
        <f t="shared" si="78"/>
        <v>0</v>
      </c>
      <c r="AR395" s="8">
        <f t="shared" si="79"/>
        <v>0</v>
      </c>
      <c r="AS395" s="14" t="str">
        <f t="shared" si="80"/>
        <v>DEFASAGEM</v>
      </c>
      <c r="AT395" s="7">
        <f t="shared" si="81"/>
        <v>0</v>
      </c>
      <c r="AU395" s="8">
        <f t="shared" si="74"/>
        <v>0</v>
      </c>
    </row>
    <row r="396" spans="22:47" ht="15.75" customHeight="1" x14ac:dyDescent="0.25">
      <c r="V396" s="13"/>
      <c r="W396" s="13"/>
      <c r="X396" s="13"/>
    </row>
    <row r="397" spans="22:47" ht="15.75" customHeight="1" x14ac:dyDescent="0.25">
      <c r="V397" s="13"/>
      <c r="W397" s="13"/>
      <c r="X397" s="13"/>
    </row>
    <row r="398" spans="22:47" ht="15.75" customHeight="1" x14ac:dyDescent="0.25">
      <c r="V398" s="13"/>
      <c r="W398" s="13"/>
      <c r="X398" s="13"/>
    </row>
    <row r="399" spans="22:47" ht="15.75" customHeight="1" x14ac:dyDescent="0.25">
      <c r="V399" s="13"/>
      <c r="W399" s="13"/>
      <c r="X399" s="13"/>
    </row>
    <row r="400" spans="22:47" ht="15.75" customHeight="1" x14ac:dyDescent="0.25">
      <c r="V400" s="13"/>
      <c r="W400" s="13"/>
      <c r="X400" s="13"/>
    </row>
    <row r="401" spans="22:24" ht="15.75" customHeight="1" x14ac:dyDescent="0.25">
      <c r="V401" s="13"/>
      <c r="W401" s="13"/>
      <c r="X401" s="13"/>
    </row>
    <row r="402" spans="22:24" ht="15.75" customHeight="1" x14ac:dyDescent="0.25">
      <c r="V402" s="13"/>
      <c r="W402" s="13"/>
      <c r="X402" s="13"/>
    </row>
    <row r="403" spans="22:24" ht="15.75" customHeight="1" x14ac:dyDescent="0.25">
      <c r="V403" s="13"/>
      <c r="W403" s="13"/>
      <c r="X403" s="13"/>
    </row>
    <row r="404" spans="22:24" ht="15.75" customHeight="1" x14ac:dyDescent="0.25">
      <c r="V404" s="13"/>
      <c r="W404" s="13"/>
      <c r="X404" s="13"/>
    </row>
    <row r="405" spans="22:24" ht="15.75" customHeight="1" x14ac:dyDescent="0.25">
      <c r="V405" s="13"/>
      <c r="W405" s="13"/>
      <c r="X405" s="13"/>
    </row>
    <row r="406" spans="22:24" ht="15.75" customHeight="1" x14ac:dyDescent="0.25">
      <c r="V406" s="13"/>
      <c r="W406" s="13"/>
      <c r="X406" s="13"/>
    </row>
    <row r="407" spans="22:24" ht="15.75" customHeight="1" x14ac:dyDescent="0.25">
      <c r="V407" s="13"/>
      <c r="W407" s="13"/>
      <c r="X407" s="13"/>
    </row>
    <row r="408" spans="22:24" ht="15.75" customHeight="1" x14ac:dyDescent="0.25">
      <c r="V408" s="13"/>
      <c r="W408" s="13"/>
      <c r="X408" s="13"/>
    </row>
    <row r="409" spans="22:24" ht="15.75" customHeight="1" x14ac:dyDescent="0.25">
      <c r="V409" s="13"/>
      <c r="W409" s="13"/>
      <c r="X409" s="13"/>
    </row>
    <row r="410" spans="22:24" ht="15.75" customHeight="1" x14ac:dyDescent="0.25">
      <c r="V410" s="13"/>
      <c r="W410" s="13"/>
      <c r="X410" s="13"/>
    </row>
    <row r="411" spans="22:24" ht="15.75" customHeight="1" x14ac:dyDescent="0.25">
      <c r="V411" s="13"/>
      <c r="W411" s="13"/>
      <c r="X411" s="13"/>
    </row>
    <row r="412" spans="22:24" ht="15.75" customHeight="1" x14ac:dyDescent="0.25">
      <c r="V412" s="13"/>
      <c r="W412" s="13"/>
      <c r="X412" s="13"/>
    </row>
    <row r="413" spans="22:24" ht="15.75" customHeight="1" x14ac:dyDescent="0.25">
      <c r="V413" s="13"/>
      <c r="W413" s="13"/>
      <c r="X413" s="13"/>
    </row>
    <row r="414" spans="22:24" ht="15.75" customHeight="1" x14ac:dyDescent="0.25">
      <c r="V414" s="13"/>
      <c r="W414" s="13"/>
      <c r="X414" s="13"/>
    </row>
    <row r="415" spans="22:24" ht="15.75" customHeight="1" x14ac:dyDescent="0.25">
      <c r="V415" s="13"/>
      <c r="W415" s="13"/>
      <c r="X415" s="13"/>
    </row>
    <row r="416" spans="22:24" ht="15.75" customHeight="1" x14ac:dyDescent="0.25">
      <c r="V416" s="13"/>
      <c r="W416" s="13"/>
      <c r="X416" s="13"/>
    </row>
    <row r="417" spans="22:24" ht="15.75" customHeight="1" x14ac:dyDescent="0.25">
      <c r="V417" s="13"/>
      <c r="W417" s="13"/>
      <c r="X417" s="13"/>
    </row>
    <row r="418" spans="22:24" ht="15.75" customHeight="1" x14ac:dyDescent="0.25">
      <c r="V418" s="13"/>
      <c r="W418" s="13"/>
      <c r="X418" s="13"/>
    </row>
    <row r="419" spans="22:24" ht="15.75" customHeight="1" x14ac:dyDescent="0.25">
      <c r="V419" s="13"/>
      <c r="W419" s="13"/>
      <c r="X419" s="13"/>
    </row>
    <row r="420" spans="22:24" ht="15.75" customHeight="1" x14ac:dyDescent="0.25">
      <c r="V420" s="13"/>
      <c r="W420" s="13"/>
      <c r="X420" s="13"/>
    </row>
    <row r="421" spans="22:24" ht="15.75" customHeight="1" x14ac:dyDescent="0.25">
      <c r="V421" s="13"/>
      <c r="W421" s="13"/>
      <c r="X421" s="13"/>
    </row>
    <row r="422" spans="22:24" ht="15.75" customHeight="1" x14ac:dyDescent="0.25">
      <c r="V422" s="13"/>
      <c r="W422" s="13"/>
      <c r="X422" s="13"/>
    </row>
    <row r="423" spans="22:24" ht="15.75" customHeight="1" x14ac:dyDescent="0.25">
      <c r="V423" s="13"/>
      <c r="W423" s="13"/>
      <c r="X423" s="13"/>
    </row>
    <row r="424" spans="22:24" ht="15.75" customHeight="1" x14ac:dyDescent="0.25">
      <c r="V424" s="13"/>
      <c r="W424" s="13"/>
      <c r="X424" s="13"/>
    </row>
    <row r="425" spans="22:24" ht="15.75" customHeight="1" x14ac:dyDescent="0.25">
      <c r="V425" s="13"/>
      <c r="W425" s="13"/>
      <c r="X425" s="13"/>
    </row>
    <row r="426" spans="22:24" ht="15.75" customHeight="1" x14ac:dyDescent="0.25">
      <c r="V426" s="13"/>
      <c r="W426" s="13"/>
      <c r="X426" s="13"/>
    </row>
    <row r="427" spans="22:24" ht="15.75" customHeight="1" x14ac:dyDescent="0.25">
      <c r="V427" s="13"/>
      <c r="W427" s="13"/>
      <c r="X427" s="13"/>
    </row>
    <row r="428" spans="22:24" ht="15.75" customHeight="1" x14ac:dyDescent="0.25">
      <c r="V428" s="13"/>
      <c r="W428" s="13"/>
      <c r="X428" s="13"/>
    </row>
    <row r="429" spans="22:24" ht="15.75" customHeight="1" x14ac:dyDescent="0.25">
      <c r="V429" s="13"/>
      <c r="W429" s="13"/>
      <c r="X429" s="13"/>
    </row>
    <row r="430" spans="22:24" ht="15.75" customHeight="1" x14ac:dyDescent="0.25">
      <c r="V430" s="13"/>
      <c r="W430" s="13"/>
      <c r="X430" s="13"/>
    </row>
    <row r="431" spans="22:24" ht="15.75" customHeight="1" x14ac:dyDescent="0.25">
      <c r="V431" s="13"/>
      <c r="W431" s="13"/>
      <c r="X431" s="13"/>
    </row>
    <row r="432" spans="22:24" ht="15.75" customHeight="1" x14ac:dyDescent="0.25">
      <c r="V432" s="13"/>
      <c r="W432" s="13"/>
      <c r="X432" s="13"/>
    </row>
    <row r="433" spans="22:24" ht="15.75" customHeight="1" x14ac:dyDescent="0.25">
      <c r="V433" s="13"/>
      <c r="W433" s="13"/>
      <c r="X433" s="13"/>
    </row>
    <row r="434" spans="22:24" ht="15.75" customHeight="1" x14ac:dyDescent="0.25">
      <c r="V434" s="13"/>
      <c r="W434" s="13"/>
      <c r="X434" s="13"/>
    </row>
    <row r="435" spans="22:24" ht="15.75" customHeight="1" x14ac:dyDescent="0.25">
      <c r="V435" s="13"/>
      <c r="W435" s="13"/>
      <c r="X435" s="13"/>
    </row>
    <row r="436" spans="22:24" ht="15.75" customHeight="1" x14ac:dyDescent="0.25">
      <c r="V436" s="13"/>
      <c r="W436" s="13"/>
      <c r="X436" s="13"/>
    </row>
    <row r="437" spans="22:24" ht="15.75" customHeight="1" x14ac:dyDescent="0.25">
      <c r="V437" s="13"/>
      <c r="W437" s="13"/>
      <c r="X437" s="13"/>
    </row>
    <row r="438" spans="22:24" ht="15.75" customHeight="1" x14ac:dyDescent="0.25">
      <c r="V438" s="13"/>
      <c r="W438" s="13"/>
      <c r="X438" s="13"/>
    </row>
    <row r="439" spans="22:24" ht="15.75" customHeight="1" x14ac:dyDescent="0.25">
      <c r="V439" s="13"/>
      <c r="W439" s="13"/>
      <c r="X439" s="13"/>
    </row>
    <row r="440" spans="22:24" ht="15.75" customHeight="1" x14ac:dyDescent="0.25">
      <c r="V440" s="13"/>
      <c r="W440" s="13"/>
      <c r="X440" s="13"/>
    </row>
    <row r="441" spans="22:24" ht="15.75" customHeight="1" x14ac:dyDescent="0.25">
      <c r="V441" s="13"/>
      <c r="W441" s="13"/>
      <c r="X441" s="13"/>
    </row>
    <row r="442" spans="22:24" ht="15.75" customHeight="1" x14ac:dyDescent="0.25">
      <c r="V442" s="13"/>
      <c r="W442" s="13"/>
      <c r="X442" s="13"/>
    </row>
    <row r="443" spans="22:24" ht="15.75" customHeight="1" x14ac:dyDescent="0.25">
      <c r="V443" s="13"/>
      <c r="W443" s="13"/>
      <c r="X443" s="13"/>
    </row>
    <row r="444" spans="22:24" ht="15.75" customHeight="1" x14ac:dyDescent="0.25">
      <c r="V444" s="13"/>
      <c r="W444" s="13"/>
      <c r="X444" s="13"/>
    </row>
    <row r="445" spans="22:24" ht="15.75" customHeight="1" x14ac:dyDescent="0.25">
      <c r="V445" s="13"/>
      <c r="W445" s="13"/>
      <c r="X445" s="13"/>
    </row>
    <row r="446" spans="22:24" ht="15.75" customHeight="1" x14ac:dyDescent="0.25">
      <c r="V446" s="13"/>
      <c r="W446" s="13"/>
      <c r="X446" s="13"/>
    </row>
    <row r="447" spans="22:24" ht="15.75" customHeight="1" x14ac:dyDescent="0.25">
      <c r="V447" s="13"/>
      <c r="W447" s="13"/>
      <c r="X447" s="13"/>
    </row>
    <row r="448" spans="22:24" ht="15.75" customHeight="1" x14ac:dyDescent="0.25">
      <c r="V448" s="13"/>
      <c r="W448" s="13"/>
      <c r="X448" s="13"/>
    </row>
    <row r="449" spans="22:24" ht="15.75" customHeight="1" x14ac:dyDescent="0.25">
      <c r="V449" s="13"/>
      <c r="W449" s="13"/>
      <c r="X449" s="13"/>
    </row>
    <row r="450" spans="22:24" ht="15.75" customHeight="1" x14ac:dyDescent="0.25">
      <c r="V450" s="13"/>
      <c r="W450" s="13"/>
      <c r="X450" s="13"/>
    </row>
    <row r="451" spans="22:24" ht="15.75" customHeight="1" x14ac:dyDescent="0.25">
      <c r="V451" s="13"/>
      <c r="W451" s="13"/>
      <c r="X451" s="13"/>
    </row>
    <row r="452" spans="22:24" ht="15.75" customHeight="1" x14ac:dyDescent="0.25">
      <c r="V452" s="13"/>
      <c r="W452" s="13"/>
      <c r="X452" s="13"/>
    </row>
    <row r="453" spans="22:24" ht="15.75" customHeight="1" x14ac:dyDescent="0.25">
      <c r="V453" s="13"/>
      <c r="W453" s="13"/>
      <c r="X453" s="13"/>
    </row>
    <row r="454" spans="22:24" ht="15.75" customHeight="1" x14ac:dyDescent="0.25">
      <c r="V454" s="13"/>
      <c r="W454" s="13"/>
      <c r="X454" s="13"/>
    </row>
    <row r="455" spans="22:24" ht="15.75" customHeight="1" x14ac:dyDescent="0.25">
      <c r="V455" s="13"/>
      <c r="W455" s="13"/>
      <c r="X455" s="13"/>
    </row>
    <row r="456" spans="22:24" ht="15.75" customHeight="1" x14ac:dyDescent="0.25">
      <c r="V456" s="13"/>
      <c r="W456" s="13"/>
      <c r="X456" s="13"/>
    </row>
    <row r="457" spans="22:24" ht="15.75" customHeight="1" x14ac:dyDescent="0.25">
      <c r="V457" s="13"/>
      <c r="W457" s="13"/>
      <c r="X457" s="13"/>
    </row>
    <row r="458" spans="22:24" ht="15.75" customHeight="1" x14ac:dyDescent="0.25">
      <c r="V458" s="13"/>
      <c r="W458" s="13"/>
      <c r="X458" s="13"/>
    </row>
    <row r="459" spans="22:24" ht="15.75" customHeight="1" x14ac:dyDescent="0.25">
      <c r="V459" s="13"/>
      <c r="W459" s="13"/>
      <c r="X459" s="13"/>
    </row>
    <row r="460" spans="22:24" ht="15.75" customHeight="1" x14ac:dyDescent="0.25">
      <c r="V460" s="13"/>
      <c r="W460" s="13"/>
      <c r="X460" s="13"/>
    </row>
    <row r="461" spans="22:24" ht="15.75" customHeight="1" x14ac:dyDescent="0.25">
      <c r="V461" s="13"/>
      <c r="W461" s="13"/>
      <c r="X461" s="13"/>
    </row>
    <row r="462" spans="22:24" ht="15.75" customHeight="1" x14ac:dyDescent="0.25">
      <c r="V462" s="13"/>
      <c r="W462" s="13"/>
      <c r="X462" s="13"/>
    </row>
    <row r="463" spans="22:24" ht="15.75" customHeight="1" x14ac:dyDescent="0.25">
      <c r="V463" s="13"/>
      <c r="W463" s="13"/>
      <c r="X463" s="13"/>
    </row>
    <row r="464" spans="22:24" ht="15.75" customHeight="1" x14ac:dyDescent="0.25">
      <c r="V464" s="13"/>
      <c r="W464" s="13"/>
      <c r="X464" s="13"/>
    </row>
    <row r="465" spans="22:24" ht="15.75" customHeight="1" x14ac:dyDescent="0.25">
      <c r="V465" s="13"/>
      <c r="W465" s="13"/>
      <c r="X465" s="13"/>
    </row>
    <row r="466" spans="22:24" ht="15.75" customHeight="1" x14ac:dyDescent="0.25">
      <c r="V466" s="13"/>
      <c r="W466" s="13"/>
      <c r="X466" s="13"/>
    </row>
    <row r="467" spans="22:24" ht="15.75" customHeight="1" x14ac:dyDescent="0.25">
      <c r="V467" s="13"/>
      <c r="W467" s="13"/>
      <c r="X467" s="13"/>
    </row>
    <row r="468" spans="22:24" ht="15.75" customHeight="1" x14ac:dyDescent="0.25">
      <c r="V468" s="13"/>
      <c r="W468" s="13"/>
      <c r="X468" s="13"/>
    </row>
    <row r="469" spans="22:24" ht="15.75" customHeight="1" x14ac:dyDescent="0.25">
      <c r="V469" s="13"/>
      <c r="W469" s="13"/>
      <c r="X469" s="13"/>
    </row>
    <row r="470" spans="22:24" ht="15.75" customHeight="1" x14ac:dyDescent="0.25">
      <c r="V470" s="13"/>
      <c r="W470" s="13"/>
      <c r="X470" s="13"/>
    </row>
    <row r="471" spans="22:24" ht="15.75" customHeight="1" x14ac:dyDescent="0.25">
      <c r="V471" s="13"/>
      <c r="W471" s="13"/>
      <c r="X471" s="13"/>
    </row>
    <row r="472" spans="22:24" ht="15.75" customHeight="1" x14ac:dyDescent="0.25">
      <c r="V472" s="13"/>
      <c r="W472" s="13"/>
      <c r="X472" s="13"/>
    </row>
    <row r="473" spans="22:24" ht="15.75" customHeight="1" x14ac:dyDescent="0.25">
      <c r="V473" s="13"/>
      <c r="W473" s="13"/>
      <c r="X473" s="13"/>
    </row>
    <row r="474" spans="22:24" ht="15.75" customHeight="1" x14ac:dyDescent="0.25">
      <c r="V474" s="13"/>
      <c r="W474" s="13"/>
      <c r="X474" s="13"/>
    </row>
    <row r="475" spans="22:24" ht="15.75" customHeight="1" x14ac:dyDescent="0.25">
      <c r="V475" s="13"/>
      <c r="W475" s="13"/>
      <c r="X475" s="13"/>
    </row>
    <row r="476" spans="22:24" ht="15.75" customHeight="1" x14ac:dyDescent="0.25">
      <c r="V476" s="13"/>
      <c r="W476" s="13"/>
      <c r="X476" s="13"/>
    </row>
    <row r="477" spans="22:24" ht="15.75" customHeight="1" x14ac:dyDescent="0.25">
      <c r="V477" s="13"/>
      <c r="W477" s="13"/>
      <c r="X477" s="13"/>
    </row>
    <row r="478" spans="22:24" ht="15.75" customHeight="1" x14ac:dyDescent="0.25">
      <c r="V478" s="13"/>
      <c r="W478" s="13"/>
      <c r="X478" s="13"/>
    </row>
    <row r="479" spans="22:24" ht="15.75" customHeight="1" x14ac:dyDescent="0.25">
      <c r="V479" s="13"/>
      <c r="W479" s="13"/>
      <c r="X479" s="13"/>
    </row>
    <row r="480" spans="22:24" ht="15.75" customHeight="1" x14ac:dyDescent="0.25">
      <c r="V480" s="13"/>
      <c r="W480" s="13"/>
      <c r="X480" s="13"/>
    </row>
    <row r="481" spans="22:24" ht="15.75" customHeight="1" x14ac:dyDescent="0.25">
      <c r="V481" s="13"/>
      <c r="W481" s="13"/>
      <c r="X481" s="13"/>
    </row>
    <row r="482" spans="22:24" ht="15.75" customHeight="1" x14ac:dyDescent="0.25">
      <c r="V482" s="13"/>
      <c r="W482" s="13"/>
      <c r="X482" s="13"/>
    </row>
    <row r="483" spans="22:24" ht="15.75" customHeight="1" x14ac:dyDescent="0.25">
      <c r="V483" s="13"/>
      <c r="W483" s="13"/>
      <c r="X483" s="13"/>
    </row>
    <row r="484" spans="22:24" ht="15.75" customHeight="1" x14ac:dyDescent="0.25">
      <c r="V484" s="13"/>
      <c r="W484" s="13"/>
      <c r="X484" s="13"/>
    </row>
    <row r="485" spans="22:24" ht="15.75" customHeight="1" x14ac:dyDescent="0.25">
      <c r="V485" s="13"/>
      <c r="W485" s="13"/>
      <c r="X485" s="13"/>
    </row>
    <row r="486" spans="22:24" ht="15.75" customHeight="1" x14ac:dyDescent="0.25">
      <c r="V486" s="13"/>
      <c r="W486" s="13"/>
      <c r="X486" s="13"/>
    </row>
    <row r="487" spans="22:24" ht="15.75" customHeight="1" x14ac:dyDescent="0.25">
      <c r="V487" s="13"/>
      <c r="W487" s="13"/>
      <c r="X487" s="13"/>
    </row>
    <row r="488" spans="22:24" ht="15.75" customHeight="1" x14ac:dyDescent="0.25">
      <c r="V488" s="13"/>
      <c r="W488" s="13"/>
      <c r="X488" s="13"/>
    </row>
    <row r="489" spans="22:24" ht="15.75" customHeight="1" x14ac:dyDescent="0.25">
      <c r="V489" s="13"/>
      <c r="W489" s="13"/>
      <c r="X489" s="13"/>
    </row>
    <row r="490" spans="22:24" ht="15.75" customHeight="1" x14ac:dyDescent="0.25">
      <c r="V490" s="13"/>
      <c r="W490" s="13"/>
      <c r="X490" s="13"/>
    </row>
    <row r="491" spans="22:24" ht="15.75" customHeight="1" x14ac:dyDescent="0.25">
      <c r="V491" s="13"/>
      <c r="W491" s="13"/>
      <c r="X491" s="13"/>
    </row>
    <row r="492" spans="22:24" ht="15.75" customHeight="1" x14ac:dyDescent="0.25">
      <c r="V492" s="13"/>
      <c r="W492" s="13"/>
      <c r="X492" s="13"/>
    </row>
    <row r="493" spans="22:24" ht="15.75" customHeight="1" x14ac:dyDescent="0.25">
      <c r="V493" s="13"/>
      <c r="W493" s="13"/>
      <c r="X493" s="13"/>
    </row>
    <row r="494" spans="22:24" ht="15.75" customHeight="1" x14ac:dyDescent="0.25">
      <c r="V494" s="13"/>
      <c r="W494" s="13"/>
      <c r="X494" s="13"/>
    </row>
    <row r="495" spans="22:24" ht="15.75" customHeight="1" x14ac:dyDescent="0.25">
      <c r="V495" s="13"/>
      <c r="W495" s="13"/>
      <c r="X495" s="13"/>
    </row>
    <row r="496" spans="22:24" ht="15.75" customHeight="1" x14ac:dyDescent="0.25">
      <c r="V496" s="13"/>
      <c r="W496" s="13"/>
      <c r="X496" s="13"/>
    </row>
    <row r="497" spans="22:24" ht="15.75" customHeight="1" x14ac:dyDescent="0.25">
      <c r="V497" s="13"/>
      <c r="W497" s="13"/>
      <c r="X497" s="13"/>
    </row>
    <row r="498" spans="22:24" ht="15.75" customHeight="1" x14ac:dyDescent="0.25">
      <c r="V498" s="13"/>
      <c r="W498" s="13"/>
      <c r="X498" s="13"/>
    </row>
    <row r="499" spans="22:24" ht="15.75" customHeight="1" x14ac:dyDescent="0.25">
      <c r="V499" s="13"/>
      <c r="W499" s="13"/>
      <c r="X499" s="13"/>
    </row>
    <row r="500" spans="22:24" ht="15.75" customHeight="1" x14ac:dyDescent="0.25">
      <c r="V500" s="13"/>
      <c r="W500" s="13"/>
      <c r="X500" s="13"/>
    </row>
    <row r="501" spans="22:24" ht="15.75" customHeight="1" x14ac:dyDescent="0.25">
      <c r="V501" s="13"/>
      <c r="W501" s="13"/>
      <c r="X501" s="13"/>
    </row>
    <row r="502" spans="22:24" ht="15.75" customHeight="1" x14ac:dyDescent="0.25">
      <c r="V502" s="13"/>
      <c r="W502" s="13"/>
      <c r="X502" s="13"/>
    </row>
    <row r="503" spans="22:24" ht="15.75" customHeight="1" x14ac:dyDescent="0.25">
      <c r="V503" s="13"/>
      <c r="W503" s="13"/>
      <c r="X503" s="13"/>
    </row>
    <row r="504" spans="22:24" ht="15.75" customHeight="1" x14ac:dyDescent="0.25">
      <c r="V504" s="13"/>
      <c r="W504" s="13"/>
      <c r="X504" s="13"/>
    </row>
    <row r="505" spans="22:24" ht="15.75" customHeight="1" x14ac:dyDescent="0.25">
      <c r="V505" s="13"/>
      <c r="W505" s="13"/>
      <c r="X505" s="13"/>
    </row>
    <row r="506" spans="22:24" ht="15.75" customHeight="1" x14ac:dyDescent="0.25">
      <c r="V506" s="13"/>
      <c r="W506" s="13"/>
      <c r="X506" s="13"/>
    </row>
    <row r="507" spans="22:24" ht="15.75" customHeight="1" x14ac:dyDescent="0.25">
      <c r="V507" s="13"/>
      <c r="W507" s="13"/>
      <c r="X507" s="13"/>
    </row>
    <row r="508" spans="22:24" ht="15.75" customHeight="1" x14ac:dyDescent="0.25">
      <c r="V508" s="13"/>
      <c r="W508" s="13"/>
      <c r="X508" s="13"/>
    </row>
    <row r="509" spans="22:24" ht="15.75" customHeight="1" x14ac:dyDescent="0.25">
      <c r="V509" s="13"/>
      <c r="W509" s="13"/>
      <c r="X509" s="13"/>
    </row>
    <row r="510" spans="22:24" ht="15.75" customHeight="1" x14ac:dyDescent="0.25">
      <c r="V510" s="13"/>
      <c r="W510" s="13"/>
      <c r="X510" s="13"/>
    </row>
    <row r="511" spans="22:24" ht="15.75" customHeight="1" x14ac:dyDescent="0.25">
      <c r="V511" s="13"/>
      <c r="W511" s="13"/>
      <c r="X511" s="13"/>
    </row>
    <row r="512" spans="22:24" ht="15.75" customHeight="1" x14ac:dyDescent="0.25">
      <c r="V512" s="13"/>
      <c r="W512" s="13"/>
      <c r="X512" s="13"/>
    </row>
    <row r="513" spans="22:24" ht="15.75" customHeight="1" x14ac:dyDescent="0.25">
      <c r="V513" s="13"/>
      <c r="W513" s="13"/>
      <c r="X513" s="13"/>
    </row>
    <row r="514" spans="22:24" ht="15.75" customHeight="1" x14ac:dyDescent="0.25">
      <c r="V514" s="13"/>
      <c r="W514" s="13"/>
      <c r="X514" s="13"/>
    </row>
    <row r="515" spans="22:24" ht="15.75" customHeight="1" x14ac:dyDescent="0.25">
      <c r="V515" s="13"/>
      <c r="W515" s="13"/>
      <c r="X515" s="13"/>
    </row>
    <row r="516" spans="22:24" ht="15.75" customHeight="1" x14ac:dyDescent="0.25">
      <c r="V516" s="13"/>
      <c r="W516" s="13"/>
      <c r="X516" s="13"/>
    </row>
    <row r="517" spans="22:24" ht="15.75" customHeight="1" x14ac:dyDescent="0.25">
      <c r="V517" s="13"/>
      <c r="W517" s="13"/>
      <c r="X517" s="13"/>
    </row>
    <row r="518" spans="22:24" ht="15.75" customHeight="1" x14ac:dyDescent="0.25">
      <c r="V518" s="13"/>
      <c r="W518" s="13"/>
      <c r="X518" s="13"/>
    </row>
    <row r="519" spans="22:24" ht="15.75" customHeight="1" x14ac:dyDescent="0.25">
      <c r="V519" s="13"/>
      <c r="W519" s="13"/>
      <c r="X519" s="13"/>
    </row>
    <row r="520" spans="22:24" ht="15.75" customHeight="1" x14ac:dyDescent="0.25">
      <c r="V520" s="13"/>
      <c r="W520" s="13"/>
      <c r="X520" s="13"/>
    </row>
    <row r="521" spans="22:24" ht="15.75" customHeight="1" x14ac:dyDescent="0.25">
      <c r="V521" s="13"/>
      <c r="W521" s="13"/>
      <c r="X521" s="13"/>
    </row>
    <row r="522" spans="22:24" ht="15.75" customHeight="1" x14ac:dyDescent="0.25">
      <c r="V522" s="13"/>
      <c r="W522" s="13"/>
      <c r="X522" s="13"/>
    </row>
    <row r="523" spans="22:24" ht="15.75" customHeight="1" x14ac:dyDescent="0.25">
      <c r="V523" s="13"/>
      <c r="W523" s="13"/>
      <c r="X523" s="13"/>
    </row>
    <row r="524" spans="22:24" ht="15.75" customHeight="1" x14ac:dyDescent="0.25">
      <c r="V524" s="13"/>
      <c r="W524" s="13"/>
      <c r="X524" s="13"/>
    </row>
    <row r="525" spans="22:24" ht="15.75" customHeight="1" x14ac:dyDescent="0.25">
      <c r="V525" s="13"/>
      <c r="W525" s="13"/>
      <c r="X525" s="13"/>
    </row>
    <row r="526" spans="22:24" ht="15.75" customHeight="1" x14ac:dyDescent="0.25">
      <c r="V526" s="13"/>
      <c r="W526" s="13"/>
      <c r="X526" s="13"/>
    </row>
    <row r="527" spans="22:24" ht="15.75" customHeight="1" x14ac:dyDescent="0.25">
      <c r="V527" s="13"/>
      <c r="W527" s="13"/>
      <c r="X527" s="13"/>
    </row>
    <row r="528" spans="22:24" ht="15.75" customHeight="1" x14ac:dyDescent="0.25">
      <c r="V528" s="13"/>
      <c r="W528" s="13"/>
      <c r="X528" s="13"/>
    </row>
    <row r="529" spans="22:24" ht="15.75" customHeight="1" x14ac:dyDescent="0.25">
      <c r="V529" s="13"/>
      <c r="W529" s="13"/>
      <c r="X529" s="13"/>
    </row>
    <row r="530" spans="22:24" ht="15.75" customHeight="1" x14ac:dyDescent="0.25">
      <c r="V530" s="13"/>
      <c r="W530" s="13"/>
      <c r="X530" s="13"/>
    </row>
    <row r="531" spans="22:24" ht="15.75" customHeight="1" x14ac:dyDescent="0.25">
      <c r="V531" s="13"/>
      <c r="W531" s="13"/>
      <c r="X531" s="13"/>
    </row>
    <row r="532" spans="22:24" ht="15.75" customHeight="1" x14ac:dyDescent="0.25">
      <c r="V532" s="13"/>
      <c r="W532" s="13"/>
      <c r="X532" s="13"/>
    </row>
    <row r="533" spans="22:24" ht="15.75" customHeight="1" x14ac:dyDescent="0.25">
      <c r="V533" s="13"/>
      <c r="W533" s="13"/>
      <c r="X533" s="13"/>
    </row>
    <row r="534" spans="22:24" ht="15.75" customHeight="1" x14ac:dyDescent="0.25">
      <c r="V534" s="13"/>
      <c r="W534" s="13"/>
      <c r="X534" s="13"/>
    </row>
    <row r="535" spans="22:24" ht="15.75" customHeight="1" x14ac:dyDescent="0.25">
      <c r="V535" s="13"/>
      <c r="W535" s="13"/>
      <c r="X535" s="13"/>
    </row>
    <row r="536" spans="22:24" ht="15.75" customHeight="1" x14ac:dyDescent="0.25">
      <c r="V536" s="13"/>
      <c r="W536" s="13"/>
      <c r="X536" s="13"/>
    </row>
    <row r="537" spans="22:24" ht="15.75" customHeight="1" x14ac:dyDescent="0.25">
      <c r="V537" s="13"/>
      <c r="W537" s="13"/>
      <c r="X537" s="13"/>
    </row>
    <row r="538" spans="22:24" ht="15.75" customHeight="1" x14ac:dyDescent="0.25">
      <c r="V538" s="13"/>
      <c r="W538" s="13"/>
      <c r="X538" s="13"/>
    </row>
    <row r="539" spans="22:24" ht="15.75" customHeight="1" x14ac:dyDescent="0.25">
      <c r="V539" s="13"/>
      <c r="W539" s="13"/>
      <c r="X539" s="13"/>
    </row>
    <row r="540" spans="22:24" ht="15.75" customHeight="1" x14ac:dyDescent="0.25">
      <c r="V540" s="13"/>
      <c r="W540" s="13"/>
      <c r="X540" s="13"/>
    </row>
    <row r="541" spans="22:24" ht="15.75" customHeight="1" x14ac:dyDescent="0.25">
      <c r="V541" s="13"/>
      <c r="W541" s="13"/>
      <c r="X541" s="13"/>
    </row>
    <row r="542" spans="22:24" ht="15.75" customHeight="1" x14ac:dyDescent="0.25">
      <c r="V542" s="13"/>
      <c r="W542" s="13"/>
      <c r="X542" s="13"/>
    </row>
    <row r="543" spans="22:24" ht="15.75" customHeight="1" x14ac:dyDescent="0.25">
      <c r="V543" s="13"/>
      <c r="W543" s="13"/>
      <c r="X543" s="13"/>
    </row>
    <row r="544" spans="22:24" ht="15.75" customHeight="1" x14ac:dyDescent="0.25">
      <c r="V544" s="13"/>
      <c r="W544" s="13"/>
      <c r="X544" s="13"/>
    </row>
    <row r="545" spans="22:24" ht="15.75" customHeight="1" x14ac:dyDescent="0.25">
      <c r="V545" s="13"/>
      <c r="W545" s="13"/>
      <c r="X545" s="13"/>
    </row>
    <row r="546" spans="22:24" ht="15.75" customHeight="1" x14ac:dyDescent="0.25">
      <c r="V546" s="13"/>
      <c r="W546" s="13"/>
      <c r="X546" s="13"/>
    </row>
    <row r="547" spans="22:24" ht="15.75" customHeight="1" x14ac:dyDescent="0.25">
      <c r="V547" s="13"/>
      <c r="W547" s="13"/>
      <c r="X547" s="13"/>
    </row>
    <row r="548" spans="22:24" ht="15.75" customHeight="1" x14ac:dyDescent="0.25">
      <c r="V548" s="13"/>
      <c r="W548" s="13"/>
      <c r="X548" s="13"/>
    </row>
    <row r="549" spans="22:24" ht="15.75" customHeight="1" x14ac:dyDescent="0.25">
      <c r="V549" s="13"/>
      <c r="W549" s="13"/>
      <c r="X549" s="13"/>
    </row>
    <row r="550" spans="22:24" ht="15.75" customHeight="1" x14ac:dyDescent="0.25">
      <c r="V550" s="13"/>
      <c r="W550" s="13"/>
      <c r="X550" s="13"/>
    </row>
    <row r="551" spans="22:24" ht="15.75" customHeight="1" x14ac:dyDescent="0.25">
      <c r="V551" s="13"/>
      <c r="W551" s="13"/>
      <c r="X551" s="13"/>
    </row>
    <row r="552" spans="22:24" ht="15.75" customHeight="1" x14ac:dyDescent="0.25">
      <c r="V552" s="13"/>
      <c r="W552" s="13"/>
      <c r="X552" s="13"/>
    </row>
    <row r="553" spans="22:24" ht="15.75" customHeight="1" x14ac:dyDescent="0.25">
      <c r="V553" s="13"/>
      <c r="W553" s="13"/>
      <c r="X553" s="13"/>
    </row>
    <row r="554" spans="22:24" ht="15.75" customHeight="1" x14ac:dyDescent="0.25">
      <c r="V554" s="13"/>
      <c r="W554" s="13"/>
      <c r="X554" s="13"/>
    </row>
    <row r="555" spans="22:24" ht="15.75" customHeight="1" x14ac:dyDescent="0.25">
      <c r="V555" s="13"/>
      <c r="W555" s="13"/>
      <c r="X555" s="13"/>
    </row>
    <row r="556" spans="22:24" ht="15.75" customHeight="1" x14ac:dyDescent="0.25">
      <c r="V556" s="13"/>
      <c r="W556" s="13"/>
      <c r="X556" s="13"/>
    </row>
    <row r="557" spans="22:24" ht="15.75" customHeight="1" x14ac:dyDescent="0.25">
      <c r="V557" s="13"/>
      <c r="W557" s="13"/>
      <c r="X557" s="13"/>
    </row>
    <row r="558" spans="22:24" ht="15.75" customHeight="1" x14ac:dyDescent="0.25">
      <c r="V558" s="13"/>
      <c r="W558" s="13"/>
      <c r="X558" s="13"/>
    </row>
    <row r="559" spans="22:24" ht="15.75" customHeight="1" x14ac:dyDescent="0.25">
      <c r="V559" s="13"/>
      <c r="W559" s="13"/>
      <c r="X559" s="13"/>
    </row>
    <row r="560" spans="22:24" ht="15.75" customHeight="1" x14ac:dyDescent="0.25">
      <c r="V560" s="13"/>
      <c r="W560" s="13"/>
      <c r="X560" s="13"/>
    </row>
    <row r="561" spans="22:24" ht="15.75" customHeight="1" x14ac:dyDescent="0.25">
      <c r="V561" s="13"/>
      <c r="W561" s="13"/>
      <c r="X561" s="13"/>
    </row>
    <row r="562" spans="22:24" ht="15.75" customHeight="1" x14ac:dyDescent="0.25">
      <c r="V562" s="13"/>
      <c r="W562" s="13"/>
      <c r="X562" s="13"/>
    </row>
    <row r="563" spans="22:24" ht="15.75" customHeight="1" x14ac:dyDescent="0.25">
      <c r="V563" s="13"/>
      <c r="W563" s="13"/>
      <c r="X563" s="13"/>
    </row>
    <row r="564" spans="22:24" ht="15.75" customHeight="1" x14ac:dyDescent="0.25">
      <c r="V564" s="13"/>
      <c r="W564" s="13"/>
      <c r="X564" s="13"/>
    </row>
    <row r="565" spans="22:24" ht="15.75" customHeight="1" x14ac:dyDescent="0.25">
      <c r="V565" s="13"/>
      <c r="W565" s="13"/>
      <c r="X565" s="13"/>
    </row>
    <row r="566" spans="22:24" ht="15.75" customHeight="1" x14ac:dyDescent="0.25">
      <c r="V566" s="13"/>
      <c r="W566" s="13"/>
      <c r="X566" s="13"/>
    </row>
    <row r="567" spans="22:24" ht="15.75" customHeight="1" x14ac:dyDescent="0.25">
      <c r="V567" s="13"/>
      <c r="W567" s="13"/>
      <c r="X567" s="13"/>
    </row>
    <row r="568" spans="22:24" ht="15.75" customHeight="1" x14ac:dyDescent="0.25">
      <c r="V568" s="13"/>
      <c r="W568" s="13"/>
      <c r="X568" s="13"/>
    </row>
    <row r="569" spans="22:24" ht="15.75" customHeight="1" x14ac:dyDescent="0.25">
      <c r="V569" s="13"/>
      <c r="W569" s="13"/>
      <c r="X569" s="13"/>
    </row>
    <row r="570" spans="22:24" ht="15.75" customHeight="1" x14ac:dyDescent="0.25">
      <c r="V570" s="13"/>
      <c r="W570" s="13"/>
      <c r="X570" s="13"/>
    </row>
    <row r="571" spans="22:24" ht="15.75" customHeight="1" x14ac:dyDescent="0.25">
      <c r="V571" s="13"/>
      <c r="W571" s="13"/>
      <c r="X571" s="13"/>
    </row>
    <row r="572" spans="22:24" ht="15.75" customHeight="1" x14ac:dyDescent="0.25">
      <c r="V572" s="13"/>
      <c r="W572" s="13"/>
      <c r="X572" s="13"/>
    </row>
    <row r="573" spans="22:24" ht="15.75" customHeight="1" x14ac:dyDescent="0.25">
      <c r="V573" s="13"/>
      <c r="W573" s="13"/>
      <c r="X573" s="13"/>
    </row>
    <row r="574" spans="22:24" ht="15.75" customHeight="1" x14ac:dyDescent="0.25">
      <c r="V574" s="13"/>
      <c r="W574" s="13"/>
      <c r="X574" s="13"/>
    </row>
    <row r="575" spans="22:24" ht="15.75" customHeight="1" x14ac:dyDescent="0.25">
      <c r="V575" s="13"/>
      <c r="W575" s="13"/>
      <c r="X575" s="13"/>
    </row>
    <row r="576" spans="22:24" ht="15.75" customHeight="1" x14ac:dyDescent="0.25">
      <c r="V576" s="13"/>
      <c r="W576" s="13"/>
      <c r="X576" s="13"/>
    </row>
    <row r="577" spans="22:24" ht="15.75" customHeight="1" x14ac:dyDescent="0.25">
      <c r="V577" s="13"/>
      <c r="W577" s="13"/>
      <c r="X577" s="13"/>
    </row>
    <row r="578" spans="22:24" ht="15.75" customHeight="1" x14ac:dyDescent="0.25">
      <c r="V578" s="13"/>
      <c r="W578" s="13"/>
      <c r="X578" s="13"/>
    </row>
    <row r="579" spans="22:24" ht="15.75" customHeight="1" x14ac:dyDescent="0.25">
      <c r="V579" s="13"/>
      <c r="W579" s="13"/>
      <c r="X579" s="13"/>
    </row>
    <row r="580" spans="22:24" ht="15.75" customHeight="1" x14ac:dyDescent="0.25">
      <c r="V580" s="13"/>
      <c r="W580" s="13"/>
      <c r="X580" s="13"/>
    </row>
    <row r="581" spans="22:24" ht="15.75" customHeight="1" x14ac:dyDescent="0.25">
      <c r="V581" s="13"/>
      <c r="W581" s="13"/>
      <c r="X581" s="13"/>
    </row>
    <row r="582" spans="22:24" ht="15.75" customHeight="1" x14ac:dyDescent="0.25">
      <c r="V582" s="13"/>
      <c r="W582" s="13"/>
      <c r="X582" s="13"/>
    </row>
    <row r="583" spans="22:24" ht="15.75" customHeight="1" x14ac:dyDescent="0.25">
      <c r="V583" s="13"/>
      <c r="W583" s="13"/>
      <c r="X583" s="13"/>
    </row>
    <row r="584" spans="22:24" ht="15.75" customHeight="1" x14ac:dyDescent="0.25">
      <c r="V584" s="13"/>
      <c r="W584" s="13"/>
      <c r="X584" s="13"/>
    </row>
    <row r="585" spans="22:24" ht="15.75" customHeight="1" x14ac:dyDescent="0.25">
      <c r="V585" s="13"/>
      <c r="W585" s="13"/>
      <c r="X585" s="13"/>
    </row>
    <row r="586" spans="22:24" ht="15.75" customHeight="1" x14ac:dyDescent="0.25">
      <c r="V586" s="13"/>
      <c r="W586" s="13"/>
      <c r="X586" s="13"/>
    </row>
    <row r="587" spans="22:24" ht="15.75" customHeight="1" x14ac:dyDescent="0.25">
      <c r="V587" s="13"/>
      <c r="W587" s="13"/>
      <c r="X587" s="13"/>
    </row>
    <row r="588" spans="22:24" ht="15.75" customHeight="1" x14ac:dyDescent="0.25">
      <c r="V588" s="13"/>
      <c r="W588" s="13"/>
      <c r="X588" s="13"/>
    </row>
    <row r="589" spans="22:24" ht="15.75" customHeight="1" x14ac:dyDescent="0.25">
      <c r="V589" s="13"/>
      <c r="W589" s="13"/>
      <c r="X589" s="13"/>
    </row>
    <row r="590" spans="22:24" ht="15.75" customHeight="1" x14ac:dyDescent="0.25">
      <c r="V590" s="13"/>
      <c r="W590" s="13"/>
      <c r="X590" s="13"/>
    </row>
    <row r="591" spans="22:24" ht="15.75" customHeight="1" x14ac:dyDescent="0.25">
      <c r="V591" s="13"/>
      <c r="W591" s="13"/>
      <c r="X591" s="13"/>
    </row>
    <row r="592" spans="22:24" ht="15.75" customHeight="1" x14ac:dyDescent="0.25">
      <c r="V592" s="13"/>
      <c r="W592" s="13"/>
      <c r="X592" s="13"/>
    </row>
    <row r="593" spans="22:24" ht="15.75" customHeight="1" x14ac:dyDescent="0.25">
      <c r="V593" s="13"/>
      <c r="W593" s="13"/>
      <c r="X593" s="13"/>
    </row>
    <row r="594" spans="22:24" ht="15.75" customHeight="1" x14ac:dyDescent="0.25">
      <c r="V594" s="13"/>
      <c r="W594" s="13"/>
      <c r="X594" s="13"/>
    </row>
    <row r="595" spans="22:24" ht="15.75" customHeight="1" x14ac:dyDescent="0.25">
      <c r="V595" s="13"/>
      <c r="W595" s="13"/>
      <c r="X595" s="13"/>
    </row>
    <row r="596" spans="22:24" ht="15.75" customHeight="1" x14ac:dyDescent="0.25">
      <c r="V596" s="13"/>
      <c r="W596" s="13"/>
      <c r="X596" s="13"/>
    </row>
    <row r="597" spans="22:24" ht="15.75" customHeight="1" x14ac:dyDescent="0.25">
      <c r="V597" s="13"/>
      <c r="W597" s="13"/>
      <c r="X597" s="13"/>
    </row>
    <row r="598" spans="22:24" ht="15.75" customHeight="1" x14ac:dyDescent="0.25">
      <c r="V598" s="13"/>
      <c r="W598" s="13"/>
      <c r="X598" s="13"/>
    </row>
    <row r="599" spans="22:24" ht="15.75" customHeight="1" x14ac:dyDescent="0.25">
      <c r="V599" s="13"/>
      <c r="W599" s="13"/>
      <c r="X599" s="13"/>
    </row>
    <row r="600" spans="22:24" ht="15.75" customHeight="1" x14ac:dyDescent="0.25">
      <c r="V600" s="13"/>
      <c r="W600" s="13"/>
      <c r="X600" s="13"/>
    </row>
    <row r="601" spans="22:24" ht="15.75" customHeight="1" x14ac:dyDescent="0.25">
      <c r="V601" s="13"/>
      <c r="W601" s="13"/>
      <c r="X601" s="13"/>
    </row>
    <row r="602" spans="22:24" ht="15.75" customHeight="1" x14ac:dyDescent="0.25">
      <c r="V602" s="13"/>
      <c r="W602" s="13"/>
      <c r="X602" s="13"/>
    </row>
    <row r="603" spans="22:24" ht="15.75" customHeight="1" x14ac:dyDescent="0.25">
      <c r="V603" s="13"/>
      <c r="W603" s="13"/>
      <c r="X603" s="13"/>
    </row>
    <row r="604" spans="22:24" ht="15.75" customHeight="1" x14ac:dyDescent="0.25">
      <c r="V604" s="13"/>
      <c r="W604" s="13"/>
      <c r="X604" s="13"/>
    </row>
    <row r="605" spans="22:24" ht="15.75" customHeight="1" x14ac:dyDescent="0.25">
      <c r="V605" s="13"/>
      <c r="W605" s="13"/>
      <c r="X605" s="13"/>
    </row>
    <row r="606" spans="22:24" ht="15.75" customHeight="1" x14ac:dyDescent="0.25">
      <c r="V606" s="13"/>
      <c r="W606" s="13"/>
      <c r="X606" s="13"/>
    </row>
    <row r="607" spans="22:24" ht="15.75" customHeight="1" x14ac:dyDescent="0.25">
      <c r="V607" s="13"/>
      <c r="W607" s="13"/>
      <c r="X607" s="13"/>
    </row>
    <row r="608" spans="22:24" ht="15.75" customHeight="1" x14ac:dyDescent="0.25">
      <c r="V608" s="13"/>
      <c r="W608" s="13"/>
      <c r="X608" s="13"/>
    </row>
    <row r="609" spans="22:24" ht="15.75" customHeight="1" x14ac:dyDescent="0.25">
      <c r="V609" s="13"/>
      <c r="W609" s="13"/>
      <c r="X609" s="13"/>
    </row>
    <row r="610" spans="22:24" ht="15.75" customHeight="1" x14ac:dyDescent="0.25">
      <c r="V610" s="13"/>
      <c r="W610" s="13"/>
      <c r="X610" s="13"/>
    </row>
    <row r="611" spans="22:24" ht="15.75" customHeight="1" x14ac:dyDescent="0.25">
      <c r="V611" s="13"/>
      <c r="W611" s="13"/>
      <c r="X611" s="13"/>
    </row>
    <row r="612" spans="22:24" ht="15.75" customHeight="1" x14ac:dyDescent="0.25">
      <c r="V612" s="13"/>
      <c r="W612" s="13"/>
      <c r="X612" s="13"/>
    </row>
    <row r="613" spans="22:24" ht="15.75" customHeight="1" x14ac:dyDescent="0.25">
      <c r="V613" s="13"/>
      <c r="W613" s="13"/>
      <c r="X613" s="13"/>
    </row>
    <row r="614" spans="22:24" ht="15.75" customHeight="1" x14ac:dyDescent="0.25">
      <c r="V614" s="13"/>
      <c r="W614" s="13"/>
      <c r="X614" s="13"/>
    </row>
    <row r="615" spans="22:24" ht="15.75" customHeight="1" x14ac:dyDescent="0.25">
      <c r="V615" s="13"/>
      <c r="W615" s="13"/>
      <c r="X615" s="13"/>
    </row>
    <row r="616" spans="22:24" ht="15.75" customHeight="1" x14ac:dyDescent="0.25">
      <c r="V616" s="13"/>
      <c r="W616" s="13"/>
      <c r="X616" s="13"/>
    </row>
    <row r="617" spans="22:24" ht="15.75" customHeight="1" x14ac:dyDescent="0.25">
      <c r="V617" s="13"/>
      <c r="W617" s="13"/>
      <c r="X617" s="13"/>
    </row>
    <row r="618" spans="22:24" ht="15.75" customHeight="1" x14ac:dyDescent="0.25">
      <c r="V618" s="13"/>
      <c r="W618" s="13"/>
      <c r="X618" s="13"/>
    </row>
    <row r="619" spans="22:24" ht="15.75" customHeight="1" x14ac:dyDescent="0.25">
      <c r="V619" s="13"/>
      <c r="W619" s="13"/>
      <c r="X619" s="13"/>
    </row>
    <row r="620" spans="22:24" ht="15.75" customHeight="1" x14ac:dyDescent="0.25">
      <c r="V620" s="13"/>
      <c r="W620" s="13"/>
      <c r="X620" s="13"/>
    </row>
    <row r="621" spans="22:24" ht="15.75" customHeight="1" x14ac:dyDescent="0.25">
      <c r="V621" s="13"/>
      <c r="W621" s="13"/>
      <c r="X621" s="13"/>
    </row>
    <row r="622" spans="22:24" ht="15.75" customHeight="1" x14ac:dyDescent="0.25">
      <c r="V622" s="13"/>
      <c r="W622" s="13"/>
      <c r="X622" s="13"/>
    </row>
    <row r="623" spans="22:24" ht="15.75" customHeight="1" x14ac:dyDescent="0.25">
      <c r="V623" s="13"/>
      <c r="W623" s="13"/>
      <c r="X623" s="13"/>
    </row>
    <row r="624" spans="22:24" ht="15.75" customHeight="1" x14ac:dyDescent="0.25">
      <c r="V624" s="13"/>
      <c r="W624" s="13"/>
      <c r="X624" s="13"/>
    </row>
    <row r="625" spans="22:24" ht="15.75" customHeight="1" x14ac:dyDescent="0.25">
      <c r="V625" s="13"/>
      <c r="W625" s="13"/>
      <c r="X625" s="13"/>
    </row>
    <row r="626" spans="22:24" ht="15.75" customHeight="1" x14ac:dyDescent="0.25">
      <c r="V626" s="13"/>
      <c r="W626" s="13"/>
      <c r="X626" s="13"/>
    </row>
    <row r="627" spans="22:24" ht="15.75" customHeight="1" x14ac:dyDescent="0.25">
      <c r="V627" s="13"/>
      <c r="W627" s="13"/>
      <c r="X627" s="13"/>
    </row>
    <row r="628" spans="22:24" ht="15.75" customHeight="1" x14ac:dyDescent="0.25">
      <c r="V628" s="13"/>
      <c r="W628" s="13"/>
      <c r="X628" s="13"/>
    </row>
    <row r="629" spans="22:24" ht="15.75" customHeight="1" x14ac:dyDescent="0.25">
      <c r="V629" s="13"/>
      <c r="W629" s="13"/>
      <c r="X629" s="13"/>
    </row>
    <row r="630" spans="22:24" ht="15.75" customHeight="1" x14ac:dyDescent="0.25">
      <c r="V630" s="13"/>
      <c r="W630" s="13"/>
      <c r="X630" s="13"/>
    </row>
    <row r="631" spans="22:24" ht="15.75" customHeight="1" x14ac:dyDescent="0.25">
      <c r="V631" s="13"/>
      <c r="W631" s="13"/>
      <c r="X631" s="13"/>
    </row>
    <row r="632" spans="22:24" ht="15.75" customHeight="1" x14ac:dyDescent="0.25">
      <c r="V632" s="13"/>
      <c r="W632" s="13"/>
      <c r="X632" s="13"/>
    </row>
    <row r="633" spans="22:24" ht="15.75" customHeight="1" x14ac:dyDescent="0.25">
      <c r="V633" s="13"/>
      <c r="W633" s="13"/>
      <c r="X633" s="13"/>
    </row>
    <row r="634" spans="22:24" ht="15.75" customHeight="1" x14ac:dyDescent="0.25">
      <c r="V634" s="13"/>
      <c r="W634" s="13"/>
      <c r="X634" s="13"/>
    </row>
    <row r="635" spans="22:24" ht="15.75" customHeight="1" x14ac:dyDescent="0.25">
      <c r="V635" s="13"/>
      <c r="W635" s="13"/>
      <c r="X635" s="13"/>
    </row>
    <row r="636" spans="22:24" ht="15.75" customHeight="1" x14ac:dyDescent="0.25">
      <c r="V636" s="13"/>
      <c r="W636" s="13"/>
      <c r="X636" s="13"/>
    </row>
    <row r="637" spans="22:24" ht="15.75" customHeight="1" x14ac:dyDescent="0.25">
      <c r="V637" s="13"/>
      <c r="W637" s="13"/>
      <c r="X637" s="13"/>
    </row>
    <row r="638" spans="22:24" ht="15.75" customHeight="1" x14ac:dyDescent="0.25">
      <c r="V638" s="13"/>
      <c r="W638" s="13"/>
      <c r="X638" s="13"/>
    </row>
    <row r="639" spans="22:24" ht="15.75" customHeight="1" x14ac:dyDescent="0.25">
      <c r="V639" s="13"/>
      <c r="W639" s="13"/>
      <c r="X639" s="13"/>
    </row>
    <row r="640" spans="22:24" ht="15.75" customHeight="1" x14ac:dyDescent="0.25">
      <c r="V640" s="13"/>
      <c r="W640" s="13"/>
      <c r="X640" s="13"/>
    </row>
    <row r="641" spans="22:24" ht="15.75" customHeight="1" x14ac:dyDescent="0.25">
      <c r="V641" s="13"/>
      <c r="W641" s="13"/>
      <c r="X641" s="13"/>
    </row>
    <row r="642" spans="22:24" ht="15.75" customHeight="1" x14ac:dyDescent="0.25">
      <c r="V642" s="13"/>
      <c r="W642" s="13"/>
      <c r="X642" s="13"/>
    </row>
    <row r="643" spans="22:24" ht="15.75" customHeight="1" x14ac:dyDescent="0.25">
      <c r="V643" s="13"/>
      <c r="W643" s="13"/>
      <c r="X643" s="13"/>
    </row>
    <row r="644" spans="22:24" ht="15.75" customHeight="1" x14ac:dyDescent="0.25">
      <c r="V644" s="13"/>
      <c r="W644" s="13"/>
      <c r="X644" s="13"/>
    </row>
    <row r="645" spans="22:24" ht="15.75" customHeight="1" x14ac:dyDescent="0.25">
      <c r="V645" s="13"/>
      <c r="W645" s="13"/>
      <c r="X645" s="13"/>
    </row>
    <row r="646" spans="22:24" ht="15.75" customHeight="1" x14ac:dyDescent="0.25">
      <c r="V646" s="13"/>
      <c r="W646" s="13"/>
      <c r="X646" s="13"/>
    </row>
    <row r="647" spans="22:24" ht="15.75" customHeight="1" x14ac:dyDescent="0.25">
      <c r="V647" s="13"/>
      <c r="W647" s="13"/>
      <c r="X647" s="13"/>
    </row>
    <row r="648" spans="22:24" ht="15.75" customHeight="1" x14ac:dyDescent="0.25">
      <c r="V648" s="13"/>
      <c r="W648" s="13"/>
      <c r="X648" s="13"/>
    </row>
    <row r="649" spans="22:24" ht="15.75" customHeight="1" x14ac:dyDescent="0.25">
      <c r="V649" s="13"/>
      <c r="W649" s="13"/>
      <c r="X649" s="13"/>
    </row>
    <row r="650" spans="22:24" ht="15.75" customHeight="1" x14ac:dyDescent="0.25">
      <c r="V650" s="13"/>
      <c r="W650" s="13"/>
      <c r="X650" s="13"/>
    </row>
    <row r="651" spans="22:24" ht="15.75" customHeight="1" x14ac:dyDescent="0.25">
      <c r="V651" s="13"/>
      <c r="W651" s="13"/>
      <c r="X651" s="13"/>
    </row>
    <row r="652" spans="22:24" ht="15.75" customHeight="1" x14ac:dyDescent="0.25">
      <c r="V652" s="13"/>
      <c r="W652" s="13"/>
      <c r="X652" s="13"/>
    </row>
    <row r="653" spans="22:24" ht="15.75" customHeight="1" x14ac:dyDescent="0.25">
      <c r="V653" s="13"/>
      <c r="W653" s="13"/>
      <c r="X653" s="13"/>
    </row>
    <row r="654" spans="22:24" ht="15.75" customHeight="1" x14ac:dyDescent="0.25">
      <c r="V654" s="13"/>
      <c r="W654" s="13"/>
      <c r="X654" s="13"/>
    </row>
    <row r="655" spans="22:24" ht="15.75" customHeight="1" x14ac:dyDescent="0.25">
      <c r="V655" s="13"/>
      <c r="W655" s="13"/>
      <c r="X655" s="13"/>
    </row>
    <row r="656" spans="22:24" ht="15.75" customHeight="1" x14ac:dyDescent="0.25">
      <c r="V656" s="13"/>
      <c r="W656" s="13"/>
      <c r="X656" s="13"/>
    </row>
    <row r="657" spans="22:24" ht="15.75" customHeight="1" x14ac:dyDescent="0.25">
      <c r="V657" s="13"/>
      <c r="W657" s="13"/>
      <c r="X657" s="13"/>
    </row>
    <row r="658" spans="22:24" ht="15.75" customHeight="1" x14ac:dyDescent="0.25">
      <c r="V658" s="13"/>
      <c r="W658" s="13"/>
      <c r="X658" s="13"/>
    </row>
    <row r="659" spans="22:24" ht="15.75" customHeight="1" x14ac:dyDescent="0.25">
      <c r="V659" s="13"/>
      <c r="W659" s="13"/>
      <c r="X659" s="13"/>
    </row>
    <row r="660" spans="22:24" ht="15.75" customHeight="1" x14ac:dyDescent="0.25">
      <c r="V660" s="13"/>
      <c r="W660" s="13"/>
      <c r="X660" s="13"/>
    </row>
    <row r="661" spans="22:24" ht="15.75" customHeight="1" x14ac:dyDescent="0.25">
      <c r="V661" s="13"/>
      <c r="W661" s="13"/>
      <c r="X661" s="13"/>
    </row>
    <row r="662" spans="22:24" ht="15.75" customHeight="1" x14ac:dyDescent="0.25">
      <c r="V662" s="13"/>
      <c r="W662" s="13"/>
      <c r="X662" s="13"/>
    </row>
    <row r="663" spans="22:24" ht="15.75" customHeight="1" x14ac:dyDescent="0.25">
      <c r="V663" s="13"/>
      <c r="W663" s="13"/>
      <c r="X663" s="13"/>
    </row>
    <row r="664" spans="22:24" ht="15.75" customHeight="1" x14ac:dyDescent="0.25">
      <c r="V664" s="13"/>
      <c r="W664" s="13"/>
      <c r="X664" s="13"/>
    </row>
    <row r="665" spans="22:24" ht="15.75" customHeight="1" x14ac:dyDescent="0.25">
      <c r="V665" s="13"/>
      <c r="W665" s="13"/>
      <c r="X665" s="13"/>
    </row>
    <row r="666" spans="22:24" ht="15.75" customHeight="1" x14ac:dyDescent="0.25">
      <c r="V666" s="13"/>
      <c r="W666" s="13"/>
      <c r="X666" s="13"/>
    </row>
    <row r="667" spans="22:24" ht="15.75" customHeight="1" x14ac:dyDescent="0.25">
      <c r="V667" s="13"/>
      <c r="W667" s="13"/>
      <c r="X667" s="13"/>
    </row>
    <row r="668" spans="22:24" ht="15.75" customHeight="1" x14ac:dyDescent="0.25">
      <c r="V668" s="13"/>
      <c r="W668" s="13"/>
      <c r="X668" s="13"/>
    </row>
    <row r="669" spans="22:24" ht="15.75" customHeight="1" x14ac:dyDescent="0.25">
      <c r="V669" s="13"/>
      <c r="W669" s="13"/>
      <c r="X669" s="13"/>
    </row>
    <row r="670" spans="22:24" ht="15.75" customHeight="1" x14ac:dyDescent="0.25">
      <c r="V670" s="13"/>
      <c r="W670" s="13"/>
      <c r="X670" s="13"/>
    </row>
    <row r="671" spans="22:24" ht="15.75" customHeight="1" x14ac:dyDescent="0.25">
      <c r="V671" s="13"/>
      <c r="W671" s="13"/>
      <c r="X671" s="13"/>
    </row>
    <row r="672" spans="22:24" ht="15.75" customHeight="1" x14ac:dyDescent="0.25">
      <c r="V672" s="13"/>
      <c r="W672" s="13"/>
      <c r="X672" s="13"/>
    </row>
    <row r="673" spans="22:24" ht="15.75" customHeight="1" x14ac:dyDescent="0.25">
      <c r="V673" s="13"/>
      <c r="W673" s="13"/>
      <c r="X673" s="13"/>
    </row>
    <row r="674" spans="22:24" ht="15.75" customHeight="1" x14ac:dyDescent="0.25">
      <c r="V674" s="13"/>
      <c r="W674" s="13"/>
      <c r="X674" s="13"/>
    </row>
    <row r="675" spans="22:24" ht="15.75" customHeight="1" x14ac:dyDescent="0.25">
      <c r="V675" s="13"/>
      <c r="W675" s="13"/>
      <c r="X675" s="13"/>
    </row>
    <row r="676" spans="22:24" ht="15.75" customHeight="1" x14ac:dyDescent="0.25">
      <c r="V676" s="13"/>
      <c r="W676" s="13"/>
      <c r="X676" s="13"/>
    </row>
    <row r="677" spans="22:24" ht="15.75" customHeight="1" x14ac:dyDescent="0.25">
      <c r="V677" s="13"/>
      <c r="W677" s="13"/>
      <c r="X677" s="13"/>
    </row>
    <row r="678" spans="22:24" ht="15.75" customHeight="1" x14ac:dyDescent="0.25">
      <c r="V678" s="13"/>
      <c r="W678" s="13"/>
      <c r="X678" s="13"/>
    </row>
    <row r="679" spans="22:24" ht="15.75" customHeight="1" x14ac:dyDescent="0.25">
      <c r="V679" s="13"/>
      <c r="W679" s="13"/>
      <c r="X679" s="13"/>
    </row>
    <row r="680" spans="22:24" ht="15.75" customHeight="1" x14ac:dyDescent="0.25">
      <c r="V680" s="13"/>
      <c r="W680" s="13"/>
      <c r="X680" s="13"/>
    </row>
    <row r="681" spans="22:24" ht="15.75" customHeight="1" x14ac:dyDescent="0.25">
      <c r="V681" s="13"/>
      <c r="W681" s="13"/>
      <c r="X681" s="13"/>
    </row>
    <row r="682" spans="22:24" ht="15.75" customHeight="1" x14ac:dyDescent="0.25">
      <c r="V682" s="13"/>
      <c r="W682" s="13"/>
      <c r="X682" s="13"/>
    </row>
    <row r="683" spans="22:24" ht="15.75" customHeight="1" x14ac:dyDescent="0.25">
      <c r="V683" s="13"/>
      <c r="W683" s="13"/>
      <c r="X683" s="13"/>
    </row>
    <row r="684" spans="22:24" ht="15.75" customHeight="1" x14ac:dyDescent="0.25">
      <c r="V684" s="13"/>
      <c r="W684" s="13"/>
      <c r="X684" s="13"/>
    </row>
    <row r="685" spans="22:24" ht="15.75" customHeight="1" x14ac:dyDescent="0.25">
      <c r="V685" s="13"/>
      <c r="W685" s="13"/>
      <c r="X685" s="13"/>
    </row>
    <row r="686" spans="22:24" ht="15.75" customHeight="1" x14ac:dyDescent="0.25">
      <c r="V686" s="13"/>
      <c r="W686" s="13"/>
      <c r="X686" s="13"/>
    </row>
    <row r="687" spans="22:24" ht="15.75" customHeight="1" x14ac:dyDescent="0.25">
      <c r="V687" s="13"/>
      <c r="W687" s="13"/>
      <c r="X687" s="13"/>
    </row>
    <row r="688" spans="22:24" ht="15.75" customHeight="1" x14ac:dyDescent="0.25">
      <c r="V688" s="13"/>
      <c r="W688" s="13"/>
      <c r="X688" s="13"/>
    </row>
    <row r="689" spans="22:24" ht="15.75" customHeight="1" x14ac:dyDescent="0.25">
      <c r="V689" s="13"/>
      <c r="W689" s="13"/>
      <c r="X689" s="13"/>
    </row>
    <row r="690" spans="22:24" ht="15.75" customHeight="1" x14ac:dyDescent="0.25">
      <c r="V690" s="13"/>
      <c r="W690" s="13"/>
      <c r="X690" s="13"/>
    </row>
    <row r="691" spans="22:24" ht="15.75" customHeight="1" x14ac:dyDescent="0.25">
      <c r="V691" s="13"/>
      <c r="W691" s="13"/>
      <c r="X691" s="13"/>
    </row>
    <row r="692" spans="22:24" ht="15.75" customHeight="1" x14ac:dyDescent="0.25">
      <c r="V692" s="13"/>
      <c r="W692" s="13"/>
      <c r="X692" s="13"/>
    </row>
    <row r="693" spans="22:24" ht="15.75" customHeight="1" x14ac:dyDescent="0.25">
      <c r="V693" s="13"/>
      <c r="W693" s="13"/>
      <c r="X693" s="13"/>
    </row>
    <row r="694" spans="22:24" ht="15.75" customHeight="1" x14ac:dyDescent="0.25">
      <c r="V694" s="13"/>
      <c r="W694" s="13"/>
      <c r="X694" s="13"/>
    </row>
    <row r="695" spans="22:24" ht="15.75" customHeight="1" x14ac:dyDescent="0.25">
      <c r="V695" s="13"/>
      <c r="W695" s="13"/>
      <c r="X695" s="13"/>
    </row>
    <row r="696" spans="22:24" ht="15.75" customHeight="1" x14ac:dyDescent="0.25">
      <c r="V696" s="13"/>
      <c r="W696" s="13"/>
      <c r="X696" s="13"/>
    </row>
    <row r="697" spans="22:24" ht="15.75" customHeight="1" x14ac:dyDescent="0.25">
      <c r="V697" s="13"/>
      <c r="W697" s="13"/>
      <c r="X697" s="13"/>
    </row>
    <row r="698" spans="22:24" ht="15.75" customHeight="1" x14ac:dyDescent="0.25">
      <c r="V698" s="13"/>
      <c r="W698" s="13"/>
      <c r="X698" s="13"/>
    </row>
    <row r="699" spans="22:24" ht="15.75" customHeight="1" x14ac:dyDescent="0.25">
      <c r="V699" s="13"/>
      <c r="W699" s="13"/>
      <c r="X699" s="13"/>
    </row>
    <row r="700" spans="22:24" ht="15.75" customHeight="1" x14ac:dyDescent="0.25">
      <c r="V700" s="13"/>
      <c r="W700" s="13"/>
      <c r="X700" s="13"/>
    </row>
    <row r="701" spans="22:24" ht="15.75" customHeight="1" x14ac:dyDescent="0.25">
      <c r="V701" s="13"/>
      <c r="W701" s="13"/>
      <c r="X701" s="13"/>
    </row>
    <row r="702" spans="22:24" ht="15.75" customHeight="1" x14ac:dyDescent="0.25">
      <c r="V702" s="13"/>
      <c r="W702" s="13"/>
      <c r="X702" s="13"/>
    </row>
    <row r="703" spans="22:24" ht="15.75" customHeight="1" x14ac:dyDescent="0.25">
      <c r="V703" s="13"/>
      <c r="W703" s="13"/>
      <c r="X703" s="13"/>
    </row>
    <row r="704" spans="22:24" ht="15.75" customHeight="1" x14ac:dyDescent="0.25">
      <c r="V704" s="13"/>
      <c r="W704" s="13"/>
      <c r="X704" s="13"/>
    </row>
    <row r="705" spans="22:24" ht="15.75" customHeight="1" x14ac:dyDescent="0.25">
      <c r="V705" s="13"/>
      <c r="W705" s="13"/>
      <c r="X705" s="13"/>
    </row>
    <row r="706" spans="22:24" ht="15.75" customHeight="1" x14ac:dyDescent="0.25">
      <c r="V706" s="13"/>
      <c r="W706" s="13"/>
      <c r="X706" s="13"/>
    </row>
    <row r="707" spans="22:24" ht="15.75" customHeight="1" x14ac:dyDescent="0.25">
      <c r="V707" s="13"/>
      <c r="W707" s="13"/>
      <c r="X707" s="13"/>
    </row>
    <row r="708" spans="22:24" ht="15.75" customHeight="1" x14ac:dyDescent="0.25">
      <c r="V708" s="13"/>
      <c r="W708" s="13"/>
      <c r="X708" s="13"/>
    </row>
    <row r="709" spans="22:24" ht="15.75" customHeight="1" x14ac:dyDescent="0.25">
      <c r="V709" s="13"/>
      <c r="W709" s="13"/>
      <c r="X709" s="13"/>
    </row>
    <row r="710" spans="22:24" ht="15.75" customHeight="1" x14ac:dyDescent="0.25">
      <c r="V710" s="13"/>
      <c r="W710" s="13"/>
      <c r="X710" s="13"/>
    </row>
    <row r="711" spans="22:24" ht="15.75" customHeight="1" x14ac:dyDescent="0.25">
      <c r="V711" s="13"/>
      <c r="W711" s="13"/>
      <c r="X711" s="13"/>
    </row>
    <row r="712" spans="22:24" ht="15.75" customHeight="1" x14ac:dyDescent="0.25">
      <c r="V712" s="13"/>
      <c r="W712" s="13"/>
      <c r="X712" s="13"/>
    </row>
    <row r="713" spans="22:24" ht="15.75" customHeight="1" x14ac:dyDescent="0.25">
      <c r="V713" s="13"/>
      <c r="W713" s="13"/>
      <c r="X713" s="13"/>
    </row>
    <row r="714" spans="22:24" ht="15.75" customHeight="1" x14ac:dyDescent="0.25">
      <c r="V714" s="13"/>
      <c r="W714" s="13"/>
      <c r="X714" s="13"/>
    </row>
    <row r="715" spans="22:24" ht="15.75" customHeight="1" x14ac:dyDescent="0.25">
      <c r="V715" s="13"/>
      <c r="W715" s="13"/>
      <c r="X715" s="13"/>
    </row>
    <row r="716" spans="22:24" ht="15.75" customHeight="1" x14ac:dyDescent="0.25">
      <c r="V716" s="13"/>
      <c r="W716" s="13"/>
      <c r="X716" s="13"/>
    </row>
    <row r="717" spans="22:24" ht="15.75" customHeight="1" x14ac:dyDescent="0.25">
      <c r="V717" s="13"/>
      <c r="W717" s="13"/>
      <c r="X717" s="13"/>
    </row>
    <row r="718" spans="22:24" ht="15.75" customHeight="1" x14ac:dyDescent="0.25">
      <c r="V718" s="13"/>
      <c r="W718" s="13"/>
      <c r="X718" s="13"/>
    </row>
    <row r="719" spans="22:24" ht="15.75" customHeight="1" x14ac:dyDescent="0.25">
      <c r="V719" s="13"/>
      <c r="W719" s="13"/>
      <c r="X719" s="13"/>
    </row>
    <row r="720" spans="22:24" ht="15.75" customHeight="1" x14ac:dyDescent="0.25">
      <c r="V720" s="13"/>
      <c r="W720" s="13"/>
      <c r="X720" s="13"/>
    </row>
    <row r="721" spans="22:24" ht="15.75" customHeight="1" x14ac:dyDescent="0.25">
      <c r="V721" s="13"/>
      <c r="W721" s="13"/>
      <c r="X721" s="13"/>
    </row>
    <row r="722" spans="22:24" ht="15.75" customHeight="1" x14ac:dyDescent="0.25">
      <c r="V722" s="13"/>
      <c r="W722" s="13"/>
      <c r="X722" s="13"/>
    </row>
    <row r="723" spans="22:24" ht="15.75" customHeight="1" x14ac:dyDescent="0.25">
      <c r="V723" s="13"/>
      <c r="W723" s="13"/>
      <c r="X723" s="13"/>
    </row>
    <row r="724" spans="22:24" ht="15.75" customHeight="1" x14ac:dyDescent="0.25">
      <c r="V724" s="13"/>
      <c r="W724" s="13"/>
      <c r="X724" s="13"/>
    </row>
    <row r="725" spans="22:24" ht="15.75" customHeight="1" x14ac:dyDescent="0.25">
      <c r="V725" s="13"/>
      <c r="W725" s="13"/>
      <c r="X725" s="13"/>
    </row>
    <row r="726" spans="22:24" ht="15.75" customHeight="1" x14ac:dyDescent="0.25">
      <c r="V726" s="13"/>
      <c r="W726" s="13"/>
      <c r="X726" s="13"/>
    </row>
    <row r="727" spans="22:24" ht="15.75" customHeight="1" x14ac:dyDescent="0.25">
      <c r="V727" s="13"/>
      <c r="W727" s="13"/>
      <c r="X727" s="13"/>
    </row>
    <row r="728" spans="22:24" ht="15.75" customHeight="1" x14ac:dyDescent="0.25">
      <c r="V728" s="13"/>
      <c r="W728" s="13"/>
      <c r="X728" s="13"/>
    </row>
    <row r="729" spans="22:24" ht="15.75" customHeight="1" x14ac:dyDescent="0.25">
      <c r="V729" s="13"/>
      <c r="W729" s="13"/>
      <c r="X729" s="13"/>
    </row>
    <row r="730" spans="22:24" ht="15.75" customHeight="1" x14ac:dyDescent="0.25">
      <c r="V730" s="13"/>
      <c r="W730" s="13"/>
      <c r="X730" s="13"/>
    </row>
    <row r="731" spans="22:24" ht="15.75" customHeight="1" x14ac:dyDescent="0.25">
      <c r="V731" s="13"/>
      <c r="W731" s="13"/>
      <c r="X731" s="13"/>
    </row>
    <row r="732" spans="22:24" ht="15.75" customHeight="1" x14ac:dyDescent="0.25">
      <c r="V732" s="13"/>
      <c r="W732" s="13"/>
      <c r="X732" s="13"/>
    </row>
    <row r="733" spans="22:24" ht="15.75" customHeight="1" x14ac:dyDescent="0.25">
      <c r="V733" s="13"/>
      <c r="W733" s="13"/>
      <c r="X733" s="13"/>
    </row>
    <row r="734" spans="22:24" ht="15.75" customHeight="1" x14ac:dyDescent="0.25">
      <c r="V734" s="13"/>
      <c r="W734" s="13"/>
      <c r="X734" s="13"/>
    </row>
    <row r="735" spans="22:24" ht="15.75" customHeight="1" x14ac:dyDescent="0.25">
      <c r="V735" s="13"/>
      <c r="W735" s="13"/>
      <c r="X735" s="13"/>
    </row>
    <row r="736" spans="22:24" ht="15.75" customHeight="1" x14ac:dyDescent="0.25">
      <c r="V736" s="13"/>
      <c r="W736" s="13"/>
      <c r="X736" s="13"/>
    </row>
    <row r="737" spans="22:24" ht="15.75" customHeight="1" x14ac:dyDescent="0.25">
      <c r="V737" s="13"/>
      <c r="W737" s="13"/>
      <c r="X737" s="13"/>
    </row>
    <row r="738" spans="22:24" ht="15.75" customHeight="1" x14ac:dyDescent="0.25">
      <c r="V738" s="13"/>
      <c r="W738" s="13"/>
      <c r="X738" s="13"/>
    </row>
    <row r="739" spans="22:24" ht="15.75" customHeight="1" x14ac:dyDescent="0.25">
      <c r="V739" s="13"/>
      <c r="W739" s="13"/>
      <c r="X739" s="13"/>
    </row>
    <row r="740" spans="22:24" ht="15.75" customHeight="1" x14ac:dyDescent="0.25">
      <c r="V740" s="13"/>
      <c r="W740" s="13"/>
      <c r="X740" s="13"/>
    </row>
    <row r="741" spans="22:24" ht="15.75" customHeight="1" x14ac:dyDescent="0.25">
      <c r="V741" s="13"/>
      <c r="W741" s="13"/>
      <c r="X741" s="13"/>
    </row>
    <row r="742" spans="22:24" ht="15.75" customHeight="1" x14ac:dyDescent="0.25">
      <c r="V742" s="13"/>
      <c r="W742" s="13"/>
      <c r="X742" s="13"/>
    </row>
    <row r="743" spans="22:24" ht="15.75" customHeight="1" x14ac:dyDescent="0.25">
      <c r="V743" s="13"/>
      <c r="W743" s="13"/>
      <c r="X743" s="13"/>
    </row>
    <row r="744" spans="22:24" ht="15.75" customHeight="1" x14ac:dyDescent="0.25">
      <c r="V744" s="13"/>
      <c r="W744" s="13"/>
      <c r="X744" s="13"/>
    </row>
    <row r="745" spans="22:24" ht="15.75" customHeight="1" x14ac:dyDescent="0.25">
      <c r="V745" s="13"/>
      <c r="W745" s="13"/>
      <c r="X745" s="13"/>
    </row>
    <row r="746" spans="22:24" ht="15.75" customHeight="1" x14ac:dyDescent="0.25">
      <c r="V746" s="13"/>
      <c r="W746" s="13"/>
      <c r="X746" s="13"/>
    </row>
    <row r="747" spans="22:24" ht="15.75" customHeight="1" x14ac:dyDescent="0.25">
      <c r="V747" s="13"/>
      <c r="W747" s="13"/>
      <c r="X747" s="13"/>
    </row>
    <row r="748" spans="22:24" ht="15.75" customHeight="1" x14ac:dyDescent="0.25">
      <c r="V748" s="13"/>
      <c r="W748" s="13"/>
      <c r="X748" s="13"/>
    </row>
    <row r="749" spans="22:24" ht="15.75" customHeight="1" x14ac:dyDescent="0.25">
      <c r="V749" s="13"/>
      <c r="W749" s="13"/>
      <c r="X749" s="13"/>
    </row>
    <row r="750" spans="22:24" ht="15.75" customHeight="1" x14ac:dyDescent="0.25">
      <c r="V750" s="13"/>
      <c r="W750" s="13"/>
      <c r="X750" s="13"/>
    </row>
    <row r="751" spans="22:24" ht="15.75" customHeight="1" x14ac:dyDescent="0.25">
      <c r="V751" s="13"/>
      <c r="W751" s="13"/>
      <c r="X751" s="13"/>
    </row>
    <row r="752" spans="22:24" ht="15.75" customHeight="1" x14ac:dyDescent="0.25">
      <c r="V752" s="13"/>
      <c r="W752" s="13"/>
      <c r="X752" s="13"/>
    </row>
    <row r="753" spans="22:24" ht="15.75" customHeight="1" x14ac:dyDescent="0.25">
      <c r="V753" s="13"/>
      <c r="W753" s="13"/>
      <c r="X753" s="13"/>
    </row>
    <row r="754" spans="22:24" ht="15.75" customHeight="1" x14ac:dyDescent="0.25">
      <c r="V754" s="13"/>
      <c r="W754" s="13"/>
      <c r="X754" s="13"/>
    </row>
    <row r="755" spans="22:24" ht="15.75" customHeight="1" x14ac:dyDescent="0.25">
      <c r="V755" s="13"/>
      <c r="W755" s="13"/>
      <c r="X755" s="13"/>
    </row>
    <row r="756" spans="22:24" ht="15.75" customHeight="1" x14ac:dyDescent="0.25">
      <c r="V756" s="13"/>
      <c r="W756" s="13"/>
      <c r="X756" s="13"/>
    </row>
    <row r="757" spans="22:24" ht="15.75" customHeight="1" x14ac:dyDescent="0.25">
      <c r="V757" s="13"/>
      <c r="W757" s="13"/>
      <c r="X757" s="13"/>
    </row>
    <row r="758" spans="22:24" ht="15.75" customHeight="1" x14ac:dyDescent="0.25">
      <c r="V758" s="13"/>
      <c r="W758" s="13"/>
      <c r="X758" s="13"/>
    </row>
    <row r="759" spans="22:24" ht="15.75" customHeight="1" x14ac:dyDescent="0.25">
      <c r="V759" s="13"/>
      <c r="W759" s="13"/>
      <c r="X759" s="13"/>
    </row>
    <row r="760" spans="22:24" ht="15.75" customHeight="1" x14ac:dyDescent="0.25">
      <c r="V760" s="13"/>
      <c r="W760" s="13"/>
      <c r="X760" s="13"/>
    </row>
    <row r="761" spans="22:24" ht="15.75" customHeight="1" x14ac:dyDescent="0.25">
      <c r="V761" s="13"/>
      <c r="W761" s="13"/>
      <c r="X761" s="13"/>
    </row>
    <row r="762" spans="22:24" ht="15.75" customHeight="1" x14ac:dyDescent="0.25">
      <c r="V762" s="13"/>
      <c r="W762" s="13"/>
      <c r="X762" s="13"/>
    </row>
    <row r="763" spans="22:24" ht="15.75" customHeight="1" x14ac:dyDescent="0.25">
      <c r="V763" s="13"/>
      <c r="W763" s="13"/>
      <c r="X763" s="13"/>
    </row>
    <row r="764" spans="22:24" ht="15.75" customHeight="1" x14ac:dyDescent="0.25">
      <c r="V764" s="13"/>
      <c r="W764" s="13"/>
      <c r="X764" s="13"/>
    </row>
    <row r="765" spans="22:24" ht="15.75" customHeight="1" x14ac:dyDescent="0.25">
      <c r="V765" s="13"/>
      <c r="W765" s="13"/>
      <c r="X765" s="13"/>
    </row>
    <row r="766" spans="22:24" ht="15.75" customHeight="1" x14ac:dyDescent="0.25">
      <c r="V766" s="13"/>
      <c r="W766" s="13"/>
      <c r="X766" s="13"/>
    </row>
    <row r="767" spans="22:24" ht="15.75" customHeight="1" x14ac:dyDescent="0.25">
      <c r="V767" s="13"/>
      <c r="W767" s="13"/>
      <c r="X767" s="13"/>
    </row>
    <row r="768" spans="22:24" ht="15.75" customHeight="1" x14ac:dyDescent="0.25">
      <c r="V768" s="13"/>
      <c r="W768" s="13"/>
      <c r="X768" s="13"/>
    </row>
    <row r="769" spans="22:24" ht="15.75" customHeight="1" x14ac:dyDescent="0.25">
      <c r="V769" s="13"/>
      <c r="W769" s="13"/>
      <c r="X769" s="13"/>
    </row>
    <row r="770" spans="22:24" ht="15.75" customHeight="1" x14ac:dyDescent="0.25">
      <c r="V770" s="13"/>
      <c r="W770" s="13"/>
      <c r="X770" s="13"/>
    </row>
    <row r="771" spans="22:24" ht="15.75" customHeight="1" x14ac:dyDescent="0.25">
      <c r="V771" s="13"/>
      <c r="W771" s="13"/>
      <c r="X771" s="13"/>
    </row>
    <row r="772" spans="22:24" ht="15.75" customHeight="1" x14ac:dyDescent="0.25">
      <c r="V772" s="13"/>
      <c r="W772" s="13"/>
      <c r="X772" s="13"/>
    </row>
    <row r="773" spans="22:24" ht="15.75" customHeight="1" x14ac:dyDescent="0.25">
      <c r="V773" s="13"/>
      <c r="W773" s="13"/>
      <c r="X773" s="13"/>
    </row>
    <row r="774" spans="22:24" ht="15.75" customHeight="1" x14ac:dyDescent="0.25">
      <c r="V774" s="13"/>
      <c r="W774" s="13"/>
      <c r="X774" s="13"/>
    </row>
    <row r="775" spans="22:24" ht="15.75" customHeight="1" x14ac:dyDescent="0.25">
      <c r="V775" s="13"/>
      <c r="W775" s="13"/>
      <c r="X775" s="13"/>
    </row>
    <row r="776" spans="22:24" ht="15.75" customHeight="1" x14ac:dyDescent="0.25">
      <c r="V776" s="13"/>
      <c r="W776" s="13"/>
      <c r="X776" s="13"/>
    </row>
    <row r="777" spans="22:24" ht="15.75" customHeight="1" x14ac:dyDescent="0.25">
      <c r="V777" s="13"/>
      <c r="W777" s="13"/>
      <c r="X777" s="13"/>
    </row>
    <row r="778" spans="22:24" ht="15.75" customHeight="1" x14ac:dyDescent="0.25">
      <c r="V778" s="13"/>
      <c r="W778" s="13"/>
      <c r="X778" s="13"/>
    </row>
    <row r="779" spans="22:24" ht="15.75" customHeight="1" x14ac:dyDescent="0.25">
      <c r="V779" s="13"/>
      <c r="W779" s="13"/>
      <c r="X779" s="13"/>
    </row>
    <row r="780" spans="22:24" ht="15.75" customHeight="1" x14ac:dyDescent="0.25">
      <c r="V780" s="13"/>
      <c r="W780" s="13"/>
      <c r="X780" s="13"/>
    </row>
    <row r="781" spans="22:24" ht="15.75" customHeight="1" x14ac:dyDescent="0.25">
      <c r="V781" s="13"/>
      <c r="W781" s="13"/>
      <c r="X781" s="13"/>
    </row>
    <row r="782" spans="22:24" ht="15.75" customHeight="1" x14ac:dyDescent="0.25">
      <c r="V782" s="13"/>
      <c r="W782" s="13"/>
      <c r="X782" s="13"/>
    </row>
    <row r="783" spans="22:24" ht="15.75" customHeight="1" x14ac:dyDescent="0.25">
      <c r="V783" s="13"/>
      <c r="W783" s="13"/>
      <c r="X783" s="13"/>
    </row>
    <row r="784" spans="22:24" ht="15.75" customHeight="1" x14ac:dyDescent="0.25">
      <c r="V784" s="13"/>
      <c r="W784" s="13"/>
      <c r="X784" s="13"/>
    </row>
    <row r="785" spans="22:24" ht="15.75" customHeight="1" x14ac:dyDescent="0.25">
      <c r="V785" s="13"/>
      <c r="W785" s="13"/>
      <c r="X785" s="13"/>
    </row>
    <row r="786" spans="22:24" ht="15.75" customHeight="1" x14ac:dyDescent="0.25">
      <c r="V786" s="13"/>
      <c r="W786" s="13"/>
      <c r="X786" s="13"/>
    </row>
    <row r="787" spans="22:24" ht="15.75" customHeight="1" x14ac:dyDescent="0.25">
      <c r="V787" s="13"/>
      <c r="W787" s="13"/>
      <c r="X787" s="13"/>
    </row>
    <row r="788" spans="22:24" ht="15.75" customHeight="1" x14ac:dyDescent="0.25">
      <c r="V788" s="13"/>
      <c r="W788" s="13"/>
      <c r="X788" s="13"/>
    </row>
    <row r="789" spans="22:24" ht="15.75" customHeight="1" x14ac:dyDescent="0.25">
      <c r="V789" s="13"/>
      <c r="W789" s="13"/>
      <c r="X789" s="13"/>
    </row>
    <row r="790" spans="22:24" ht="15.75" customHeight="1" x14ac:dyDescent="0.25">
      <c r="V790" s="13"/>
      <c r="W790" s="13"/>
      <c r="X790" s="13"/>
    </row>
    <row r="791" spans="22:24" ht="15.75" customHeight="1" x14ac:dyDescent="0.25">
      <c r="V791" s="13"/>
      <c r="W791" s="13"/>
      <c r="X791" s="13"/>
    </row>
    <row r="792" spans="22:24" ht="15.75" customHeight="1" x14ac:dyDescent="0.25">
      <c r="V792" s="13"/>
      <c r="W792" s="13"/>
      <c r="X792" s="13"/>
    </row>
    <row r="793" spans="22:24" ht="15.75" customHeight="1" x14ac:dyDescent="0.25">
      <c r="V793" s="13"/>
      <c r="W793" s="13"/>
      <c r="X793" s="13"/>
    </row>
    <row r="794" spans="22:24" ht="15.75" customHeight="1" x14ac:dyDescent="0.25">
      <c r="V794" s="13"/>
      <c r="W794" s="13"/>
      <c r="X794" s="13"/>
    </row>
    <row r="795" spans="22:24" ht="15.75" customHeight="1" x14ac:dyDescent="0.25">
      <c r="V795" s="13"/>
      <c r="W795" s="13"/>
      <c r="X795" s="13"/>
    </row>
    <row r="796" spans="22:24" ht="15.75" customHeight="1" x14ac:dyDescent="0.25">
      <c r="V796" s="13"/>
      <c r="W796" s="13"/>
      <c r="X796" s="13"/>
    </row>
    <row r="797" spans="22:24" ht="15.75" customHeight="1" x14ac:dyDescent="0.25">
      <c r="V797" s="13"/>
      <c r="W797" s="13"/>
      <c r="X797" s="13"/>
    </row>
    <row r="798" spans="22:24" ht="15.75" customHeight="1" x14ac:dyDescent="0.25">
      <c r="V798" s="13"/>
      <c r="W798" s="13"/>
      <c r="X798" s="13"/>
    </row>
    <row r="799" spans="22:24" ht="15.75" customHeight="1" x14ac:dyDescent="0.25">
      <c r="V799" s="13"/>
      <c r="W799" s="13"/>
      <c r="X799" s="13"/>
    </row>
    <row r="800" spans="22:24" ht="15.75" customHeight="1" x14ac:dyDescent="0.25">
      <c r="V800" s="13"/>
      <c r="W800" s="13"/>
      <c r="X800" s="13"/>
    </row>
    <row r="801" spans="22:24" ht="15.75" customHeight="1" x14ac:dyDescent="0.25">
      <c r="V801" s="13"/>
      <c r="W801" s="13"/>
      <c r="X801" s="13"/>
    </row>
    <row r="802" spans="22:24" ht="15.75" customHeight="1" x14ac:dyDescent="0.25">
      <c r="V802" s="13"/>
      <c r="W802" s="13"/>
      <c r="X802" s="13"/>
    </row>
    <row r="803" spans="22:24" ht="15.75" customHeight="1" x14ac:dyDescent="0.25">
      <c r="V803" s="13"/>
      <c r="W803" s="13"/>
      <c r="X803" s="13"/>
    </row>
    <row r="804" spans="22:24" ht="15.75" customHeight="1" x14ac:dyDescent="0.25">
      <c r="V804" s="13"/>
      <c r="W804" s="13"/>
      <c r="X804" s="13"/>
    </row>
    <row r="805" spans="22:24" ht="15.75" customHeight="1" x14ac:dyDescent="0.25">
      <c r="V805" s="13"/>
      <c r="W805" s="13"/>
      <c r="X805" s="13"/>
    </row>
    <row r="806" spans="22:24" ht="15.75" customHeight="1" x14ac:dyDescent="0.25">
      <c r="V806" s="13"/>
      <c r="W806" s="13"/>
      <c r="X806" s="13"/>
    </row>
    <row r="807" spans="22:24" ht="15.75" customHeight="1" x14ac:dyDescent="0.25">
      <c r="V807" s="13"/>
      <c r="W807" s="13"/>
      <c r="X807" s="13"/>
    </row>
    <row r="808" spans="22:24" ht="15.75" customHeight="1" x14ac:dyDescent="0.25">
      <c r="V808" s="13"/>
      <c r="W808" s="13"/>
      <c r="X808" s="13"/>
    </row>
    <row r="809" spans="22:24" ht="15.75" customHeight="1" x14ac:dyDescent="0.25">
      <c r="V809" s="13"/>
      <c r="W809" s="13"/>
      <c r="X809" s="13"/>
    </row>
    <row r="810" spans="22:24" ht="15.75" customHeight="1" x14ac:dyDescent="0.25">
      <c r="V810" s="13"/>
      <c r="W810" s="13"/>
      <c r="X810" s="13"/>
    </row>
    <row r="811" spans="22:24" ht="15.75" customHeight="1" x14ac:dyDescent="0.25">
      <c r="V811" s="13"/>
      <c r="W811" s="13"/>
      <c r="X811" s="13"/>
    </row>
    <row r="812" spans="22:24" ht="15.75" customHeight="1" x14ac:dyDescent="0.25">
      <c r="V812" s="13"/>
      <c r="W812" s="13"/>
      <c r="X812" s="13"/>
    </row>
    <row r="813" spans="22:24" ht="15.75" customHeight="1" x14ac:dyDescent="0.25">
      <c r="V813" s="13"/>
      <c r="W813" s="13"/>
      <c r="X813" s="13"/>
    </row>
    <row r="814" spans="22:24" ht="15.75" customHeight="1" x14ac:dyDescent="0.25">
      <c r="V814" s="13"/>
      <c r="W814" s="13"/>
      <c r="X814" s="13"/>
    </row>
    <row r="815" spans="22:24" ht="15.75" customHeight="1" x14ac:dyDescent="0.25">
      <c r="V815" s="13"/>
      <c r="W815" s="13"/>
      <c r="X815" s="13"/>
    </row>
    <row r="816" spans="22:24" ht="15.75" customHeight="1" x14ac:dyDescent="0.25">
      <c r="V816" s="13"/>
      <c r="W816" s="13"/>
      <c r="X816" s="13"/>
    </row>
    <row r="817" spans="22:24" ht="15.75" customHeight="1" x14ac:dyDescent="0.25">
      <c r="V817" s="13"/>
      <c r="W817" s="13"/>
      <c r="X817" s="13"/>
    </row>
    <row r="818" spans="22:24" ht="15.75" customHeight="1" x14ac:dyDescent="0.25">
      <c r="V818" s="13"/>
      <c r="W818" s="13"/>
      <c r="X818" s="13"/>
    </row>
    <row r="819" spans="22:24" ht="15.75" customHeight="1" x14ac:dyDescent="0.25">
      <c r="V819" s="13"/>
      <c r="W819" s="13"/>
      <c r="X819" s="13"/>
    </row>
    <row r="820" spans="22:24" ht="15.75" customHeight="1" x14ac:dyDescent="0.25">
      <c r="V820" s="13"/>
      <c r="W820" s="13"/>
      <c r="X820" s="13"/>
    </row>
    <row r="821" spans="22:24" ht="15.75" customHeight="1" x14ac:dyDescent="0.25">
      <c r="V821" s="13"/>
      <c r="W821" s="13"/>
      <c r="X821" s="13"/>
    </row>
    <row r="822" spans="22:24" ht="15.75" customHeight="1" x14ac:dyDescent="0.25">
      <c r="V822" s="13"/>
      <c r="W822" s="13"/>
      <c r="X822" s="13"/>
    </row>
    <row r="823" spans="22:24" ht="15.75" customHeight="1" x14ac:dyDescent="0.25">
      <c r="V823" s="13"/>
      <c r="W823" s="13"/>
      <c r="X823" s="13"/>
    </row>
    <row r="824" spans="22:24" ht="15.75" customHeight="1" x14ac:dyDescent="0.25">
      <c r="V824" s="13"/>
      <c r="W824" s="13"/>
      <c r="X824" s="13"/>
    </row>
    <row r="825" spans="22:24" ht="15.75" customHeight="1" x14ac:dyDescent="0.25">
      <c r="V825" s="13"/>
      <c r="W825" s="13"/>
      <c r="X825" s="13"/>
    </row>
    <row r="826" spans="22:24" ht="15.75" customHeight="1" x14ac:dyDescent="0.25">
      <c r="V826" s="13"/>
      <c r="W826" s="13"/>
      <c r="X826" s="13"/>
    </row>
    <row r="827" spans="22:24" ht="15.75" customHeight="1" x14ac:dyDescent="0.25">
      <c r="V827" s="13"/>
      <c r="W827" s="13"/>
      <c r="X827" s="13"/>
    </row>
    <row r="828" spans="22:24" ht="15.75" customHeight="1" x14ac:dyDescent="0.25">
      <c r="V828" s="13"/>
      <c r="W828" s="13"/>
      <c r="X828" s="13"/>
    </row>
    <row r="829" spans="22:24" ht="15.75" customHeight="1" x14ac:dyDescent="0.25">
      <c r="V829" s="13"/>
      <c r="W829" s="13"/>
      <c r="X829" s="13"/>
    </row>
    <row r="830" spans="22:24" ht="15.75" customHeight="1" x14ac:dyDescent="0.25">
      <c r="V830" s="13"/>
      <c r="W830" s="13"/>
      <c r="X830" s="13"/>
    </row>
    <row r="831" spans="22:24" ht="15.75" customHeight="1" x14ac:dyDescent="0.25">
      <c r="V831" s="13"/>
      <c r="W831" s="13"/>
      <c r="X831" s="13"/>
    </row>
    <row r="832" spans="22:24" ht="15.75" customHeight="1" x14ac:dyDescent="0.25">
      <c r="V832" s="13"/>
      <c r="W832" s="13"/>
      <c r="X832" s="13"/>
    </row>
    <row r="833" spans="22:24" ht="15.75" customHeight="1" x14ac:dyDescent="0.25">
      <c r="V833" s="13"/>
      <c r="W833" s="13"/>
      <c r="X833" s="13"/>
    </row>
    <row r="834" spans="22:24" ht="15.75" customHeight="1" x14ac:dyDescent="0.25">
      <c r="V834" s="13"/>
      <c r="W834" s="13"/>
      <c r="X834" s="13"/>
    </row>
    <row r="835" spans="22:24" ht="15.75" customHeight="1" x14ac:dyDescent="0.25">
      <c r="V835" s="13"/>
      <c r="W835" s="13"/>
      <c r="X835" s="13"/>
    </row>
    <row r="836" spans="22:24" ht="15.75" customHeight="1" x14ac:dyDescent="0.25">
      <c r="V836" s="13"/>
      <c r="W836" s="13"/>
      <c r="X836" s="13"/>
    </row>
    <row r="837" spans="22:24" ht="15.75" customHeight="1" x14ac:dyDescent="0.25">
      <c r="V837" s="13"/>
      <c r="W837" s="13"/>
      <c r="X837" s="13"/>
    </row>
    <row r="838" spans="22:24" ht="15.75" customHeight="1" x14ac:dyDescent="0.25">
      <c r="V838" s="13"/>
      <c r="W838" s="13"/>
      <c r="X838" s="13"/>
    </row>
    <row r="839" spans="22:24" ht="15.75" customHeight="1" x14ac:dyDescent="0.25">
      <c r="V839" s="13"/>
      <c r="W839" s="13"/>
      <c r="X839" s="13"/>
    </row>
    <row r="840" spans="22:24" ht="15.75" customHeight="1" x14ac:dyDescent="0.25">
      <c r="V840" s="13"/>
      <c r="W840" s="13"/>
      <c r="X840" s="13"/>
    </row>
    <row r="841" spans="22:24" ht="15.75" customHeight="1" x14ac:dyDescent="0.25">
      <c r="V841" s="13"/>
      <c r="W841" s="13"/>
      <c r="X841" s="13"/>
    </row>
    <row r="842" spans="22:24" ht="15.75" customHeight="1" x14ac:dyDescent="0.25">
      <c r="V842" s="13"/>
      <c r="W842" s="13"/>
      <c r="X842" s="13"/>
    </row>
    <row r="843" spans="22:24" ht="15.75" customHeight="1" x14ac:dyDescent="0.25">
      <c r="V843" s="13"/>
      <c r="W843" s="13"/>
      <c r="X843" s="13"/>
    </row>
    <row r="844" spans="22:24" ht="15.75" customHeight="1" x14ac:dyDescent="0.25">
      <c r="V844" s="13"/>
      <c r="W844" s="13"/>
      <c r="X844" s="13"/>
    </row>
    <row r="845" spans="22:24" ht="15.75" customHeight="1" x14ac:dyDescent="0.25">
      <c r="V845" s="13"/>
      <c r="W845" s="13"/>
      <c r="X845" s="13"/>
    </row>
    <row r="846" spans="22:24" ht="15.75" customHeight="1" x14ac:dyDescent="0.25">
      <c r="V846" s="13"/>
      <c r="W846" s="13"/>
      <c r="X846" s="13"/>
    </row>
    <row r="847" spans="22:24" ht="15.75" customHeight="1" x14ac:dyDescent="0.25">
      <c r="V847" s="13"/>
      <c r="W847" s="13"/>
      <c r="X847" s="13"/>
    </row>
    <row r="848" spans="22:24" ht="15.75" customHeight="1" x14ac:dyDescent="0.25">
      <c r="V848" s="13"/>
      <c r="W848" s="13"/>
      <c r="X848" s="13"/>
    </row>
    <row r="849" spans="22:24" ht="15.75" customHeight="1" x14ac:dyDescent="0.25">
      <c r="V849" s="13"/>
      <c r="W849" s="13"/>
      <c r="X849" s="13"/>
    </row>
    <row r="850" spans="22:24" ht="15.75" customHeight="1" x14ac:dyDescent="0.25">
      <c r="V850" s="13"/>
      <c r="W850" s="13"/>
      <c r="X850" s="13"/>
    </row>
    <row r="851" spans="22:24" ht="15.75" customHeight="1" x14ac:dyDescent="0.25">
      <c r="V851" s="13"/>
      <c r="W851" s="13"/>
      <c r="X851" s="13"/>
    </row>
    <row r="852" spans="22:24" ht="15.75" customHeight="1" x14ac:dyDescent="0.25">
      <c r="V852" s="13"/>
      <c r="W852" s="13"/>
      <c r="X852" s="13"/>
    </row>
    <row r="853" spans="22:24" ht="15.75" customHeight="1" x14ac:dyDescent="0.25">
      <c r="V853" s="13"/>
      <c r="W853" s="13"/>
      <c r="X853" s="13"/>
    </row>
    <row r="854" spans="22:24" ht="15.75" customHeight="1" x14ac:dyDescent="0.25">
      <c r="V854" s="13"/>
      <c r="W854" s="13"/>
      <c r="X854" s="13"/>
    </row>
    <row r="855" spans="22:24" ht="15.75" customHeight="1" x14ac:dyDescent="0.25">
      <c r="V855" s="13"/>
      <c r="W855" s="13"/>
      <c r="X855" s="13"/>
    </row>
    <row r="856" spans="22:24" ht="15.75" customHeight="1" x14ac:dyDescent="0.25">
      <c r="V856" s="13"/>
      <c r="W856" s="13"/>
      <c r="X856" s="13"/>
    </row>
    <row r="857" spans="22:24" ht="15.75" customHeight="1" x14ac:dyDescent="0.25">
      <c r="V857" s="13"/>
      <c r="W857" s="13"/>
      <c r="X857" s="13"/>
    </row>
    <row r="858" spans="22:24" ht="15.75" customHeight="1" x14ac:dyDescent="0.25">
      <c r="V858" s="13"/>
      <c r="W858" s="13"/>
      <c r="X858" s="13"/>
    </row>
    <row r="859" spans="22:24" ht="15.75" customHeight="1" x14ac:dyDescent="0.25">
      <c r="V859" s="13"/>
      <c r="W859" s="13"/>
      <c r="X859" s="13"/>
    </row>
    <row r="860" spans="22:24" ht="15.75" customHeight="1" x14ac:dyDescent="0.25">
      <c r="V860" s="13"/>
      <c r="W860" s="13"/>
      <c r="X860" s="13"/>
    </row>
    <row r="861" spans="22:24" ht="15.75" customHeight="1" x14ac:dyDescent="0.25">
      <c r="V861" s="13"/>
      <c r="W861" s="13"/>
      <c r="X861" s="13"/>
    </row>
    <row r="862" spans="22:24" ht="15.75" customHeight="1" x14ac:dyDescent="0.25">
      <c r="V862" s="13"/>
      <c r="W862" s="13"/>
      <c r="X862" s="13"/>
    </row>
    <row r="863" spans="22:24" ht="15.75" customHeight="1" x14ac:dyDescent="0.25">
      <c r="V863" s="13"/>
      <c r="W863" s="13"/>
      <c r="X863" s="13"/>
    </row>
    <row r="864" spans="22:24" ht="15.75" customHeight="1" x14ac:dyDescent="0.25">
      <c r="V864" s="13"/>
      <c r="W864" s="13"/>
      <c r="X864" s="13"/>
    </row>
    <row r="865" spans="22:24" ht="15.75" customHeight="1" x14ac:dyDescent="0.25">
      <c r="V865" s="13"/>
      <c r="W865" s="13"/>
      <c r="X865" s="13"/>
    </row>
    <row r="866" spans="22:24" ht="15.75" customHeight="1" x14ac:dyDescent="0.25">
      <c r="V866" s="13"/>
      <c r="W866" s="13"/>
      <c r="X866" s="13"/>
    </row>
    <row r="867" spans="22:24" ht="15.75" customHeight="1" x14ac:dyDescent="0.25">
      <c r="V867" s="13"/>
      <c r="W867" s="13"/>
      <c r="X867" s="13"/>
    </row>
    <row r="868" spans="22:24" ht="15.75" customHeight="1" x14ac:dyDescent="0.25">
      <c r="V868" s="13"/>
      <c r="W868" s="13"/>
      <c r="X868" s="13"/>
    </row>
    <row r="869" spans="22:24" ht="15.75" customHeight="1" x14ac:dyDescent="0.25">
      <c r="V869" s="13"/>
      <c r="W869" s="13"/>
      <c r="X869" s="13"/>
    </row>
    <row r="870" spans="22:24" ht="15.75" customHeight="1" x14ac:dyDescent="0.25">
      <c r="V870" s="13"/>
      <c r="W870" s="13"/>
      <c r="X870" s="13"/>
    </row>
    <row r="871" spans="22:24" ht="15.75" customHeight="1" x14ac:dyDescent="0.25">
      <c r="V871" s="13"/>
      <c r="W871" s="13"/>
      <c r="X871" s="13"/>
    </row>
    <row r="872" spans="22:24" ht="15.75" customHeight="1" x14ac:dyDescent="0.25">
      <c r="V872" s="13"/>
      <c r="W872" s="13"/>
      <c r="X872" s="13"/>
    </row>
    <row r="873" spans="22:24" ht="15.75" customHeight="1" x14ac:dyDescent="0.25">
      <c r="V873" s="13"/>
      <c r="W873" s="13"/>
      <c r="X873" s="13"/>
    </row>
    <row r="874" spans="22:24" ht="15.75" customHeight="1" x14ac:dyDescent="0.25">
      <c r="V874" s="13"/>
      <c r="W874" s="13"/>
      <c r="X874" s="13"/>
    </row>
    <row r="875" spans="22:24" ht="15.75" customHeight="1" x14ac:dyDescent="0.25">
      <c r="V875" s="13"/>
      <c r="W875" s="13"/>
      <c r="X875" s="13"/>
    </row>
    <row r="876" spans="22:24" ht="15.75" customHeight="1" x14ac:dyDescent="0.25">
      <c r="V876" s="13"/>
      <c r="W876" s="13"/>
      <c r="X876" s="13"/>
    </row>
    <row r="877" spans="22:24" ht="15.75" customHeight="1" x14ac:dyDescent="0.25">
      <c r="V877" s="13"/>
      <c r="W877" s="13"/>
      <c r="X877" s="13"/>
    </row>
    <row r="878" spans="22:24" ht="15.75" customHeight="1" x14ac:dyDescent="0.25">
      <c r="V878" s="13"/>
      <c r="W878" s="13"/>
      <c r="X878" s="13"/>
    </row>
    <row r="879" spans="22:24" ht="15.75" customHeight="1" x14ac:dyDescent="0.25">
      <c r="V879" s="13"/>
      <c r="W879" s="13"/>
      <c r="X879" s="13"/>
    </row>
    <row r="880" spans="22:24" ht="15.75" customHeight="1" x14ac:dyDescent="0.25">
      <c r="V880" s="13"/>
      <c r="W880" s="13"/>
      <c r="X880" s="13"/>
    </row>
    <row r="881" spans="22:24" ht="15.75" customHeight="1" x14ac:dyDescent="0.25">
      <c r="V881" s="13"/>
      <c r="W881" s="13"/>
      <c r="X881" s="13"/>
    </row>
    <row r="882" spans="22:24" ht="15.75" customHeight="1" x14ac:dyDescent="0.25">
      <c r="V882" s="13"/>
      <c r="W882" s="13"/>
      <c r="X882" s="13"/>
    </row>
    <row r="883" spans="22:24" ht="15.75" customHeight="1" x14ac:dyDescent="0.25">
      <c r="V883" s="13"/>
      <c r="W883" s="13"/>
      <c r="X883" s="13"/>
    </row>
    <row r="884" spans="22:24" ht="15.75" customHeight="1" x14ac:dyDescent="0.25">
      <c r="V884" s="13"/>
      <c r="W884" s="13"/>
      <c r="X884" s="13"/>
    </row>
    <row r="885" spans="22:24" ht="15.75" customHeight="1" x14ac:dyDescent="0.25">
      <c r="V885" s="13"/>
      <c r="W885" s="13"/>
      <c r="X885" s="13"/>
    </row>
    <row r="886" spans="22:24" ht="15.75" customHeight="1" x14ac:dyDescent="0.25">
      <c r="V886" s="13"/>
      <c r="W886" s="13"/>
      <c r="X886" s="13"/>
    </row>
    <row r="887" spans="22:24" ht="15.75" customHeight="1" x14ac:dyDescent="0.25">
      <c r="V887" s="13"/>
      <c r="W887" s="13"/>
      <c r="X887" s="13"/>
    </row>
    <row r="888" spans="22:24" ht="15.75" customHeight="1" x14ac:dyDescent="0.25">
      <c r="V888" s="13"/>
      <c r="W888" s="13"/>
      <c r="X888" s="13"/>
    </row>
    <row r="889" spans="22:24" ht="15.75" customHeight="1" x14ac:dyDescent="0.25">
      <c r="V889" s="13"/>
      <c r="W889" s="13"/>
      <c r="X889" s="13"/>
    </row>
    <row r="890" spans="22:24" ht="15.75" customHeight="1" x14ac:dyDescent="0.25">
      <c r="V890" s="13"/>
      <c r="W890" s="13"/>
      <c r="X890" s="13"/>
    </row>
    <row r="891" spans="22:24" ht="15.75" customHeight="1" x14ac:dyDescent="0.25">
      <c r="V891" s="13"/>
      <c r="W891" s="13"/>
      <c r="X891" s="13"/>
    </row>
    <row r="892" spans="22:24" ht="15.75" customHeight="1" x14ac:dyDescent="0.25">
      <c r="V892" s="13"/>
      <c r="W892" s="13"/>
      <c r="X892" s="13"/>
    </row>
    <row r="893" spans="22:24" ht="15.75" customHeight="1" x14ac:dyDescent="0.25">
      <c r="V893" s="13"/>
      <c r="W893" s="13"/>
      <c r="X893" s="13"/>
    </row>
    <row r="894" spans="22:24" ht="15.75" customHeight="1" x14ac:dyDescent="0.25">
      <c r="V894" s="13"/>
      <c r="W894" s="13"/>
      <c r="X894" s="13"/>
    </row>
    <row r="895" spans="22:24" ht="15.75" customHeight="1" x14ac:dyDescent="0.25">
      <c r="V895" s="13"/>
      <c r="W895" s="13"/>
      <c r="X895" s="13"/>
    </row>
    <row r="896" spans="22:24" ht="15.75" customHeight="1" x14ac:dyDescent="0.25">
      <c r="V896" s="13"/>
      <c r="W896" s="13"/>
      <c r="X896" s="13"/>
    </row>
    <row r="897" spans="22:24" ht="15.75" customHeight="1" x14ac:dyDescent="0.25">
      <c r="V897" s="13"/>
      <c r="W897" s="13"/>
      <c r="X897" s="13"/>
    </row>
    <row r="898" spans="22:24" ht="15.75" customHeight="1" x14ac:dyDescent="0.25">
      <c r="V898" s="13"/>
      <c r="W898" s="13"/>
      <c r="X898" s="13"/>
    </row>
    <row r="899" spans="22:24" ht="15.75" customHeight="1" x14ac:dyDescent="0.25">
      <c r="V899" s="13"/>
      <c r="W899" s="13"/>
      <c r="X899" s="13"/>
    </row>
    <row r="900" spans="22:24" ht="15.75" customHeight="1" x14ac:dyDescent="0.25">
      <c r="V900" s="13"/>
      <c r="W900" s="13"/>
      <c r="X900" s="13"/>
    </row>
    <row r="901" spans="22:24" ht="15.75" customHeight="1" x14ac:dyDescent="0.25">
      <c r="V901" s="13"/>
      <c r="W901" s="13"/>
      <c r="X901" s="13"/>
    </row>
    <row r="902" spans="22:24" ht="15.75" customHeight="1" x14ac:dyDescent="0.25">
      <c r="V902" s="13"/>
      <c r="W902" s="13"/>
      <c r="X902" s="13"/>
    </row>
    <row r="903" spans="22:24" ht="15.75" customHeight="1" x14ac:dyDescent="0.25">
      <c r="V903" s="13"/>
      <c r="W903" s="13"/>
      <c r="X903" s="13"/>
    </row>
    <row r="904" spans="22:24" ht="15.75" customHeight="1" x14ac:dyDescent="0.25">
      <c r="V904" s="13"/>
      <c r="W904" s="13"/>
      <c r="X904" s="13"/>
    </row>
    <row r="905" spans="22:24" ht="15.75" customHeight="1" x14ac:dyDescent="0.25">
      <c r="V905" s="13"/>
      <c r="W905" s="13"/>
      <c r="X905" s="13"/>
    </row>
    <row r="906" spans="22:24" ht="15.75" customHeight="1" x14ac:dyDescent="0.25">
      <c r="V906" s="13"/>
      <c r="W906" s="13"/>
      <c r="X906" s="13"/>
    </row>
    <row r="907" spans="22:24" ht="15.75" customHeight="1" x14ac:dyDescent="0.25">
      <c r="V907" s="13"/>
      <c r="W907" s="13"/>
      <c r="X907" s="13"/>
    </row>
    <row r="908" spans="22:24" ht="15.75" customHeight="1" x14ac:dyDescent="0.25">
      <c r="V908" s="13"/>
      <c r="W908" s="13"/>
      <c r="X908" s="13"/>
    </row>
    <row r="909" spans="22:24" ht="15.75" customHeight="1" x14ac:dyDescent="0.25">
      <c r="V909" s="13"/>
      <c r="W909" s="13"/>
      <c r="X909" s="13"/>
    </row>
    <row r="910" spans="22:24" ht="15.75" customHeight="1" x14ac:dyDescent="0.25">
      <c r="V910" s="13"/>
      <c r="W910" s="13"/>
      <c r="X910" s="13"/>
    </row>
    <row r="911" spans="22:24" ht="15.75" customHeight="1" x14ac:dyDescent="0.25">
      <c r="V911" s="13"/>
      <c r="W911" s="13"/>
      <c r="X911" s="13"/>
    </row>
    <row r="912" spans="22:24" ht="15.75" customHeight="1" x14ac:dyDescent="0.25">
      <c r="V912" s="13"/>
      <c r="W912" s="13"/>
      <c r="X912" s="13"/>
    </row>
    <row r="913" spans="22:24" ht="15.75" customHeight="1" x14ac:dyDescent="0.25">
      <c r="V913" s="13"/>
      <c r="W913" s="13"/>
      <c r="X913" s="13"/>
    </row>
    <row r="914" spans="22:24" ht="15.75" customHeight="1" x14ac:dyDescent="0.25">
      <c r="V914" s="13"/>
      <c r="W914" s="13"/>
      <c r="X914" s="13"/>
    </row>
    <row r="915" spans="22:24" ht="15.75" customHeight="1" x14ac:dyDescent="0.25">
      <c r="V915" s="13"/>
      <c r="W915" s="13"/>
      <c r="X915" s="13"/>
    </row>
    <row r="916" spans="22:24" ht="15.75" customHeight="1" x14ac:dyDescent="0.25">
      <c r="V916" s="13"/>
      <c r="W916" s="13"/>
      <c r="X916" s="13"/>
    </row>
    <row r="917" spans="22:24" ht="15.75" customHeight="1" x14ac:dyDescent="0.25">
      <c r="V917" s="13"/>
      <c r="W917" s="13"/>
      <c r="X917" s="13"/>
    </row>
    <row r="918" spans="22:24" ht="15.75" customHeight="1" x14ac:dyDescent="0.25">
      <c r="V918" s="13"/>
      <c r="W918" s="13"/>
      <c r="X918" s="13"/>
    </row>
    <row r="919" spans="22:24" ht="15.75" customHeight="1" x14ac:dyDescent="0.25">
      <c r="V919" s="13"/>
      <c r="W919" s="13"/>
      <c r="X919" s="13"/>
    </row>
    <row r="920" spans="22:24" ht="15.75" customHeight="1" x14ac:dyDescent="0.25">
      <c r="V920" s="13"/>
      <c r="W920" s="13"/>
      <c r="X920" s="13"/>
    </row>
    <row r="921" spans="22:24" ht="15.75" customHeight="1" x14ac:dyDescent="0.25">
      <c r="V921" s="13"/>
      <c r="W921" s="13"/>
      <c r="X921" s="13"/>
    </row>
    <row r="922" spans="22:24" ht="15.75" customHeight="1" x14ac:dyDescent="0.25">
      <c r="V922" s="13"/>
      <c r="W922" s="13"/>
      <c r="X922" s="13"/>
    </row>
    <row r="923" spans="22:24" ht="15.75" customHeight="1" x14ac:dyDescent="0.25">
      <c r="V923" s="13"/>
      <c r="W923" s="13"/>
      <c r="X923" s="13"/>
    </row>
    <row r="924" spans="22:24" ht="15.75" customHeight="1" x14ac:dyDescent="0.25">
      <c r="V924" s="13"/>
      <c r="W924" s="13"/>
      <c r="X924" s="13"/>
    </row>
    <row r="925" spans="22:24" ht="15.75" customHeight="1" x14ac:dyDescent="0.25">
      <c r="V925" s="13"/>
      <c r="W925" s="13"/>
      <c r="X925" s="13"/>
    </row>
    <row r="926" spans="22:24" ht="15.75" customHeight="1" x14ac:dyDescent="0.25">
      <c r="V926" s="13"/>
      <c r="W926" s="13"/>
      <c r="X926" s="13"/>
    </row>
    <row r="927" spans="22:24" ht="15.75" customHeight="1" x14ac:dyDescent="0.25">
      <c r="V927" s="13"/>
      <c r="W927" s="13"/>
      <c r="X927" s="13"/>
    </row>
    <row r="928" spans="22:24" ht="15.75" customHeight="1" x14ac:dyDescent="0.25">
      <c r="V928" s="13"/>
      <c r="W928" s="13"/>
      <c r="X928" s="13"/>
    </row>
    <row r="929" spans="22:24" ht="15.75" customHeight="1" x14ac:dyDescent="0.25">
      <c r="V929" s="13"/>
      <c r="W929" s="13"/>
      <c r="X929" s="13"/>
    </row>
    <row r="930" spans="22:24" ht="15.75" customHeight="1" x14ac:dyDescent="0.25">
      <c r="V930" s="13"/>
      <c r="W930" s="13"/>
      <c r="X930" s="13"/>
    </row>
    <row r="931" spans="22:24" ht="15.75" customHeight="1" x14ac:dyDescent="0.25">
      <c r="V931" s="13"/>
      <c r="W931" s="13"/>
      <c r="X931" s="13"/>
    </row>
    <row r="932" spans="22:24" ht="15.75" customHeight="1" x14ac:dyDescent="0.25">
      <c r="V932" s="13"/>
      <c r="W932" s="13"/>
      <c r="X932" s="13"/>
    </row>
    <row r="933" spans="22:24" ht="15.75" customHeight="1" x14ac:dyDescent="0.25">
      <c r="V933" s="13"/>
      <c r="W933" s="13"/>
      <c r="X933" s="13"/>
    </row>
    <row r="934" spans="22:24" ht="15.75" customHeight="1" x14ac:dyDescent="0.25">
      <c r="V934" s="13"/>
      <c r="W934" s="13"/>
      <c r="X934" s="13"/>
    </row>
    <row r="935" spans="22:24" ht="15.75" customHeight="1" x14ac:dyDescent="0.25">
      <c r="V935" s="13"/>
      <c r="W935" s="13"/>
      <c r="X935" s="13"/>
    </row>
    <row r="936" spans="22:24" ht="15.75" customHeight="1" x14ac:dyDescent="0.25">
      <c r="V936" s="13"/>
      <c r="W936" s="13"/>
      <c r="X936" s="13"/>
    </row>
    <row r="937" spans="22:24" ht="15.75" customHeight="1" x14ac:dyDescent="0.25">
      <c r="V937" s="13"/>
      <c r="W937" s="13"/>
      <c r="X937" s="13"/>
    </row>
    <row r="938" spans="22:24" ht="15.75" customHeight="1" x14ac:dyDescent="0.25">
      <c r="V938" s="13"/>
      <c r="W938" s="13"/>
      <c r="X938" s="13"/>
    </row>
    <row r="939" spans="22:24" ht="15.75" customHeight="1" x14ac:dyDescent="0.25">
      <c r="V939" s="13"/>
      <c r="W939" s="13"/>
      <c r="X939" s="13"/>
    </row>
    <row r="940" spans="22:24" ht="15.75" customHeight="1" x14ac:dyDescent="0.25">
      <c r="V940" s="13"/>
      <c r="W940" s="13"/>
      <c r="X940" s="13"/>
    </row>
    <row r="941" spans="22:24" ht="15.75" customHeight="1" x14ac:dyDescent="0.25">
      <c r="V941" s="13"/>
      <c r="W941" s="13"/>
      <c r="X941" s="13"/>
    </row>
    <row r="942" spans="22:24" ht="15.75" customHeight="1" x14ac:dyDescent="0.25">
      <c r="V942" s="13"/>
      <c r="W942" s="13"/>
      <c r="X942" s="13"/>
    </row>
    <row r="943" spans="22:24" ht="15.75" customHeight="1" x14ac:dyDescent="0.25">
      <c r="V943" s="13"/>
      <c r="W943" s="13"/>
      <c r="X943" s="13"/>
    </row>
    <row r="944" spans="22:24" ht="15.75" customHeight="1" x14ac:dyDescent="0.25">
      <c r="V944" s="13"/>
      <c r="W944" s="13"/>
      <c r="X944" s="13"/>
    </row>
    <row r="945" spans="22:24" ht="15.75" customHeight="1" x14ac:dyDescent="0.25">
      <c r="V945" s="13"/>
      <c r="W945" s="13"/>
      <c r="X945" s="13"/>
    </row>
    <row r="946" spans="22:24" ht="15.75" customHeight="1" x14ac:dyDescent="0.25">
      <c r="V946" s="13"/>
      <c r="W946" s="13"/>
      <c r="X946" s="13"/>
    </row>
    <row r="947" spans="22:24" ht="15.75" customHeight="1" x14ac:dyDescent="0.25">
      <c r="V947" s="13"/>
      <c r="W947" s="13"/>
      <c r="X947" s="13"/>
    </row>
    <row r="948" spans="22:24" ht="15.75" customHeight="1" x14ac:dyDescent="0.25">
      <c r="V948" s="13"/>
      <c r="W948" s="13"/>
      <c r="X948" s="13"/>
    </row>
    <row r="949" spans="22:24" ht="15.75" customHeight="1" x14ac:dyDescent="0.25">
      <c r="V949" s="13"/>
      <c r="W949" s="13"/>
      <c r="X949" s="13"/>
    </row>
    <row r="950" spans="22:24" ht="15.75" customHeight="1" x14ac:dyDescent="0.25">
      <c r="V950" s="13"/>
      <c r="W950" s="13"/>
      <c r="X950" s="13"/>
    </row>
    <row r="951" spans="22:24" ht="15.75" customHeight="1" x14ac:dyDescent="0.25">
      <c r="V951" s="13"/>
      <c r="W951" s="13"/>
      <c r="X951" s="13"/>
    </row>
    <row r="952" spans="22:24" ht="15.75" customHeight="1" x14ac:dyDescent="0.25">
      <c r="V952" s="13"/>
      <c r="W952" s="13"/>
      <c r="X952" s="13"/>
    </row>
    <row r="953" spans="22:24" ht="15.75" customHeight="1" x14ac:dyDescent="0.25">
      <c r="V953" s="13"/>
      <c r="W953" s="13"/>
      <c r="X953" s="13"/>
    </row>
    <row r="954" spans="22:24" ht="15.75" customHeight="1" x14ac:dyDescent="0.25">
      <c r="V954" s="13"/>
      <c r="W954" s="13"/>
      <c r="X954" s="13"/>
    </row>
    <row r="955" spans="22:24" ht="15.75" customHeight="1" x14ac:dyDescent="0.25">
      <c r="V955" s="13"/>
      <c r="W955" s="13"/>
      <c r="X955" s="13"/>
    </row>
    <row r="956" spans="22:24" ht="15.75" customHeight="1" x14ac:dyDescent="0.25">
      <c r="V956" s="13"/>
      <c r="W956" s="13"/>
      <c r="X956" s="13"/>
    </row>
    <row r="957" spans="22:24" ht="15.75" customHeight="1" x14ac:dyDescent="0.25">
      <c r="V957" s="13"/>
      <c r="W957" s="13"/>
      <c r="X957" s="13"/>
    </row>
    <row r="958" spans="22:24" ht="15.75" customHeight="1" x14ac:dyDescent="0.25">
      <c r="V958" s="13"/>
      <c r="W958" s="13"/>
      <c r="X958" s="13"/>
    </row>
    <row r="959" spans="22:24" ht="15.75" customHeight="1" x14ac:dyDescent="0.25">
      <c r="V959" s="13"/>
      <c r="W959" s="13"/>
      <c r="X959" s="13"/>
    </row>
    <row r="960" spans="22:24" ht="15.75" customHeight="1" x14ac:dyDescent="0.25">
      <c r="V960" s="13"/>
      <c r="W960" s="13"/>
      <c r="X960" s="13"/>
    </row>
    <row r="961" spans="22:24" ht="15.75" customHeight="1" x14ac:dyDescent="0.25">
      <c r="V961" s="13"/>
      <c r="W961" s="13"/>
      <c r="X961" s="13"/>
    </row>
    <row r="962" spans="22:24" ht="15.75" customHeight="1" x14ac:dyDescent="0.25">
      <c r="V962" s="13"/>
      <c r="W962" s="13"/>
      <c r="X962" s="13"/>
    </row>
    <row r="963" spans="22:24" ht="15.75" customHeight="1" x14ac:dyDescent="0.25">
      <c r="V963" s="13"/>
      <c r="W963" s="13"/>
      <c r="X963" s="13"/>
    </row>
    <row r="964" spans="22:24" ht="15.75" customHeight="1" x14ac:dyDescent="0.25">
      <c r="V964" s="13"/>
      <c r="W964" s="13"/>
      <c r="X964" s="13"/>
    </row>
    <row r="965" spans="22:24" ht="15.75" customHeight="1" x14ac:dyDescent="0.25">
      <c r="V965" s="13"/>
      <c r="W965" s="13"/>
      <c r="X965" s="13"/>
    </row>
    <row r="966" spans="22:24" ht="15.75" customHeight="1" x14ac:dyDescent="0.25">
      <c r="V966" s="13"/>
      <c r="W966" s="13"/>
      <c r="X966" s="13"/>
    </row>
    <row r="967" spans="22:24" ht="15.75" customHeight="1" x14ac:dyDescent="0.25">
      <c r="V967" s="13"/>
      <c r="W967" s="13"/>
      <c r="X967" s="13"/>
    </row>
    <row r="968" spans="22:24" ht="15.75" customHeight="1" x14ac:dyDescent="0.25">
      <c r="V968" s="13"/>
      <c r="W968" s="13"/>
      <c r="X968" s="13"/>
    </row>
    <row r="969" spans="22:24" ht="15.75" customHeight="1" x14ac:dyDescent="0.25">
      <c r="V969" s="13"/>
      <c r="W969" s="13"/>
      <c r="X969" s="13"/>
    </row>
    <row r="970" spans="22:24" ht="15.75" customHeight="1" x14ac:dyDescent="0.25">
      <c r="V970" s="13"/>
      <c r="W970" s="13"/>
      <c r="X970" s="13"/>
    </row>
    <row r="971" spans="22:24" ht="15.75" customHeight="1" x14ac:dyDescent="0.25">
      <c r="V971" s="13"/>
      <c r="W971" s="13"/>
      <c r="X971" s="13"/>
    </row>
    <row r="972" spans="22:24" ht="15.75" customHeight="1" x14ac:dyDescent="0.25"/>
    <row r="973" spans="22:24" ht="15.75" customHeight="1" x14ac:dyDescent="0.25"/>
    <row r="974" spans="22:24" ht="15.75" customHeight="1" x14ac:dyDescent="0.25"/>
    <row r="975" spans="22:24" ht="15.75" customHeight="1" x14ac:dyDescent="0.25"/>
    <row r="976" spans="22:24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autoFilter ref="A1:AU355" xr:uid="{00000000-0009-0000-0000-000003000000}"/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gestores</vt:lpstr>
      <vt:lpstr>2º ANO</vt:lpstr>
      <vt:lpstr>5º ANO</vt:lpstr>
      <vt:lpstr>6º 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Adriano</dc:creator>
  <cp:lastModifiedBy>Marcos Adriano</cp:lastModifiedBy>
  <dcterms:created xsi:type="dcterms:W3CDTF">2025-05-29T13:30:25Z</dcterms:created>
  <dcterms:modified xsi:type="dcterms:W3CDTF">2026-01-13T17:30:41Z</dcterms:modified>
</cp:coreProperties>
</file>